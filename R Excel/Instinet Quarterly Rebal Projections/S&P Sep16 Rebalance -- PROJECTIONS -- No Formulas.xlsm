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120" yWindow="45" windowWidth="18975" windowHeight="10935"/>
  </bookViews>
  <sheets>
    <sheet name="Overall" sheetId="5" r:id="rId1"/>
    <sheet name="Summary" sheetId="4" r:id="rId2"/>
    <sheet name="TopNames" sheetId="16" r:id="rId3"/>
    <sheet name="S&amp;P500" sheetId="1" r:id="rId4"/>
    <sheet name="Contact" sheetId="17" r:id="rId5"/>
  </sheets>
  <functionGroups builtInGroupCount="17"/>
  <externalReferences>
    <externalReference r:id="rId6"/>
    <externalReference r:id="rId7"/>
    <externalReference r:id="rId8"/>
    <externalReference r:id="rId9"/>
    <externalReference r:id="rId10"/>
  </externalReferences>
  <definedNames>
    <definedName name="_xlnm._FilterDatabase" localSheetId="0" hidden="1">Overall!$A$11:$L$11</definedName>
    <definedName name="_xlnm._FilterDatabase" localSheetId="1" hidden="1">Summary!$B$23:$C$23</definedName>
    <definedName name="BLPH1" localSheetId="4" hidden="1">[1]USA!#REF!</definedName>
    <definedName name="BLPH1" hidden="1">[2]USA!#REF!</definedName>
    <definedName name="BLPH105" localSheetId="4" hidden="1">#REF!</definedName>
    <definedName name="BLPH105" hidden="1">#REF!</definedName>
    <definedName name="BLPH106" localSheetId="4" hidden="1">#REF!</definedName>
    <definedName name="BLPH106" hidden="1">#REF!</definedName>
    <definedName name="BLPH92" localSheetId="4" hidden="1">#REF!</definedName>
    <definedName name="BLPH92" hidden="1">#REF!</definedName>
    <definedName name="BLPH93" localSheetId="4" hidden="1">#REF!</definedName>
    <definedName name="BLPH93" hidden="1">#REF!</definedName>
    <definedName name="Input" localSheetId="4">[3]Summary!#REF!</definedName>
    <definedName name="Input">[4]Summary!#REF!</definedName>
    <definedName name="IQ_ADDIN" hidden="1">"AUTO"</definedName>
    <definedName name="IQ_CH" hidden="1">110000</definedName>
    <definedName name="IQ_CQ" hidden="1">5000</definedName>
    <definedName name="IQ_CY" hidden="1">10000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MONTH" hidden="1">15000</definedName>
    <definedName name="IQ_NAMES_REVISION_DATE_" hidden="1">40226.5955439815</definedName>
    <definedName name="IQ_NTM" hidden="1">6000</definedName>
    <definedName name="IQ_TODAY" hidden="1">0</definedName>
    <definedName name="IQ_WEEK" hidden="1">50000</definedName>
    <definedName name="IQ_YTD" hidden="1">3000</definedName>
    <definedName name="LOL" localSheetId="4" hidden="1">[1]USA!#REF!</definedName>
    <definedName name="LOL" hidden="1">[5]USA!#REF!</definedName>
    <definedName name="whatever" localSheetId="4" hidden="1">[1]USA!#REF!</definedName>
    <definedName name="whatever" hidden="1">[1]USA!#REF!</definedName>
  </definedNames>
  <calcPr calcId="145621"/>
</workbook>
</file>

<file path=xl/calcChain.xml><?xml version="1.0" encoding="utf-8"?>
<calcChain xmlns="http://schemas.openxmlformats.org/spreadsheetml/2006/main">
  <c r="AL112" i="1" l="1"/>
  <c r="AL103" i="1"/>
  <c r="AL208" i="1"/>
  <c r="AL192" i="1"/>
  <c r="AL178" i="1"/>
  <c r="AL291" i="1"/>
  <c r="AL522" i="1"/>
  <c r="AL430" i="1"/>
  <c r="AL427" i="1"/>
  <c r="AL224" i="1"/>
  <c r="AL260" i="1"/>
  <c r="AL114" i="1"/>
  <c r="AL163" i="1"/>
  <c r="AL28" i="1"/>
  <c r="AL45" i="1"/>
  <c r="AL40" i="1"/>
  <c r="AL237" i="1"/>
  <c r="AL253" i="1"/>
  <c r="AL229" i="1"/>
  <c r="AL396" i="1"/>
  <c r="AL251" i="1"/>
  <c r="AL282" i="1"/>
  <c r="AL379" i="1"/>
  <c r="AL456" i="1"/>
  <c r="AL462" i="1"/>
  <c r="AL443" i="1"/>
  <c r="AL283" i="1"/>
  <c r="AL187" i="1"/>
  <c r="AL235" i="1"/>
  <c r="AL256" i="1"/>
  <c r="AL523" i="1"/>
  <c r="AL52" i="1"/>
  <c r="AL118" i="1"/>
  <c r="AL450" i="1"/>
  <c r="AL357" i="1"/>
  <c r="AL478" i="1"/>
  <c r="AL350" i="1"/>
  <c r="AL380" i="1"/>
  <c r="AL381" i="1"/>
  <c r="AL316" i="1"/>
  <c r="AL363" i="1"/>
  <c r="AL449" i="1"/>
  <c r="AL318" i="1"/>
  <c r="AL269" i="1"/>
  <c r="AL281" i="1"/>
  <c r="AL218" i="1"/>
  <c r="AL119" i="1"/>
  <c r="AL196" i="1"/>
  <c r="AL244" i="1"/>
  <c r="AL128" i="1"/>
  <c r="AL166" i="1"/>
  <c r="AL370" i="1"/>
  <c r="AL407" i="1"/>
  <c r="AL447" i="1"/>
  <c r="AL121" i="1"/>
  <c r="AL57" i="1"/>
  <c r="AL284" i="1"/>
  <c r="AL292" i="1"/>
  <c r="AL452" i="1"/>
  <c r="AL510" i="1"/>
  <c r="AL373" i="1"/>
  <c r="AL347" i="1"/>
  <c r="AL502" i="1"/>
  <c r="AL48" i="1"/>
  <c r="AL480" i="1"/>
  <c r="AL425" i="1"/>
  <c r="AL67" i="1"/>
  <c r="AL69" i="1"/>
  <c r="AL140" i="1"/>
  <c r="AL83" i="1"/>
  <c r="AL99" i="1"/>
  <c r="AL141" i="1"/>
  <c r="AL153" i="1"/>
  <c r="AL179" i="1"/>
  <c r="AL127" i="1"/>
  <c r="AL234" i="1"/>
  <c r="AL302" i="1"/>
  <c r="AL501" i="1"/>
  <c r="AL65" i="1"/>
  <c r="AL24" i="1"/>
  <c r="AL101" i="1"/>
  <c r="AL110" i="1"/>
  <c r="AL160" i="1"/>
  <c r="AL197" i="1"/>
  <c r="AL173" i="1"/>
  <c r="AL231" i="1"/>
  <c r="AL279" i="1"/>
  <c r="AL311" i="1"/>
  <c r="AL333" i="1"/>
  <c r="AL419" i="1"/>
  <c r="AL514" i="1"/>
  <c r="AL390" i="1"/>
  <c r="AL457" i="1"/>
  <c r="AL275" i="1"/>
  <c r="AL322" i="1"/>
  <c r="AL491" i="1"/>
  <c r="AL358" i="1"/>
  <c r="AL298" i="1"/>
  <c r="AL217" i="1"/>
  <c r="AL518" i="1"/>
  <c r="AL513" i="1"/>
  <c r="AL395" i="1"/>
  <c r="AL20" i="1"/>
  <c r="AL39" i="1"/>
  <c r="AL32" i="1"/>
  <c r="AL92" i="1"/>
  <c r="AL125" i="1"/>
  <c r="AL150" i="1"/>
  <c r="AL181" i="1"/>
  <c r="AL248" i="1"/>
  <c r="AL261" i="1"/>
  <c r="AL232" i="1"/>
  <c r="AL335" i="1"/>
  <c r="AL294" i="1"/>
  <c r="AL82" i="1"/>
  <c r="AL328" i="1"/>
  <c r="AL223" i="1"/>
  <c r="AL84" i="1"/>
  <c r="AL512" i="1"/>
  <c r="AL102" i="1"/>
  <c r="AL76" i="1"/>
  <c r="AL138" i="1"/>
  <c r="AL199" i="1"/>
  <c r="AL245" i="1"/>
  <c r="AL198" i="1"/>
  <c r="AL249" i="1"/>
  <c r="AL397" i="1"/>
  <c r="AL429" i="1"/>
  <c r="AL238" i="1"/>
  <c r="AL257" i="1"/>
  <c r="AL228" i="1"/>
  <c r="AL270" i="1"/>
  <c r="AL300" i="1"/>
  <c r="AL479" i="1"/>
  <c r="AL485" i="1"/>
  <c r="AL53" i="1"/>
  <c r="AL47" i="1"/>
  <c r="AL68" i="1"/>
  <c r="AL215" i="1"/>
  <c r="AL295" i="1"/>
  <c r="AL437" i="1"/>
  <c r="AL276" i="1"/>
  <c r="AL241" i="1"/>
  <c r="AL285" i="1"/>
  <c r="AL406" i="1"/>
  <c r="AL30" i="1"/>
  <c r="AL164" i="1"/>
  <c r="AL148" i="1"/>
  <c r="AL371" i="1"/>
  <c r="AL484" i="1"/>
  <c r="AL503" i="1"/>
  <c r="AL364" i="1"/>
  <c r="AL336" i="1"/>
  <c r="AL329" i="1"/>
  <c r="AL394" i="1"/>
  <c r="AL517" i="1"/>
  <c r="AL378" i="1"/>
  <c r="AL468" i="1"/>
  <c r="AL252" i="1"/>
  <c r="AL147" i="1"/>
  <c r="AL106" i="1"/>
  <c r="AL507" i="1"/>
  <c r="AL474" i="1"/>
  <c r="AL79" i="1"/>
  <c r="AL139" i="1"/>
  <c r="AL107" i="1"/>
  <c r="AL185" i="1"/>
  <c r="AL190" i="1"/>
  <c r="AL356" i="1"/>
  <c r="AL387" i="1"/>
  <c r="AL353" i="1"/>
  <c r="AL38" i="1"/>
  <c r="AL129" i="1"/>
  <c r="AL142" i="1"/>
  <c r="AL122" i="1"/>
  <c r="AL174" i="1"/>
  <c r="AL207" i="1"/>
  <c r="AL307" i="1"/>
  <c r="AL361" i="1"/>
  <c r="AL389" i="1"/>
  <c r="AL506" i="1"/>
  <c r="AL340" i="1"/>
  <c r="AL345" i="1"/>
  <c r="AL391" i="1"/>
  <c r="AL267" i="1"/>
  <c r="AL189" i="1"/>
  <c r="AL135" i="1"/>
  <c r="AL193" i="1"/>
  <c r="AL365" i="1"/>
  <c r="AL36" i="1"/>
  <c r="AL21" i="1"/>
  <c r="AL111" i="1"/>
  <c r="AL100" i="1"/>
  <c r="AL124" i="1"/>
  <c r="AL332" i="1"/>
  <c r="AL436" i="1"/>
  <c r="AL359" i="1"/>
  <c r="AL268" i="1"/>
  <c r="AL376" i="1"/>
  <c r="AL508" i="1"/>
  <c r="AL467" i="1"/>
  <c r="AL493" i="1"/>
  <c r="AL89" i="1"/>
  <c r="AL195" i="1"/>
  <c r="AL402" i="1"/>
  <c r="AL435" i="1"/>
  <c r="AL454" i="1"/>
  <c r="AL362" i="1"/>
  <c r="AL492" i="1"/>
  <c r="AL230" i="1"/>
  <c r="AL348" i="1"/>
  <c r="AL377" i="1"/>
  <c r="AL521" i="1"/>
  <c r="AL477" i="1"/>
  <c r="AL172" i="1"/>
  <c r="AL90" i="1"/>
  <c r="AL431" i="1"/>
  <c r="AL63" i="1"/>
  <c r="AL94" i="1"/>
  <c r="AL171" i="1"/>
  <c r="AL272" i="1"/>
  <c r="AL317" i="1"/>
  <c r="AL343" i="1"/>
  <c r="AL519" i="1"/>
  <c r="AL74" i="1"/>
  <c r="AL59" i="1"/>
  <c r="AL354" i="1"/>
  <c r="AL339" i="1"/>
  <c r="AL466" i="1"/>
  <c r="AL320" i="1"/>
  <c r="AL524" i="1"/>
  <c r="AL303" i="1"/>
  <c r="AL439" i="1"/>
  <c r="AL246" i="1"/>
  <c r="AL162" i="1"/>
  <c r="AL131" i="1"/>
  <c r="AL440" i="1"/>
  <c r="AL392" i="1"/>
  <c r="AL29" i="1"/>
  <c r="AL27" i="1"/>
  <c r="AL104" i="1"/>
  <c r="AL156" i="1"/>
  <c r="AL220" i="1"/>
  <c r="AL154" i="1"/>
  <c r="AL167" i="1"/>
  <c r="AL266" i="1"/>
  <c r="AL516" i="1"/>
  <c r="AL375" i="1"/>
  <c r="AL520" i="1"/>
  <c r="AL242" i="1" l="1"/>
  <c r="AL80" i="1"/>
  <c r="AL418" i="1"/>
  <c r="AL473" i="1"/>
  <c r="AL262" i="1"/>
  <c r="AL184" i="1"/>
  <c r="AL62" i="1"/>
  <c r="AL222" i="1"/>
  <c r="AL152" i="1"/>
  <c r="AL476" i="1"/>
  <c r="AL495" i="1"/>
  <c r="AL120" i="1"/>
  <c r="AL146" i="1"/>
  <c r="AL489" i="1"/>
  <c r="AL226" i="1"/>
  <c r="AL206" i="1"/>
  <c r="AL117" i="1"/>
  <c r="AL274" i="1"/>
  <c r="AL441" i="1"/>
  <c r="AL323" i="1"/>
  <c r="AL509" i="1"/>
  <c r="AL188" i="1"/>
  <c r="AL342" i="1"/>
  <c r="AL321" i="1"/>
  <c r="AL250" i="1"/>
  <c r="AL374" i="1"/>
  <c r="AL73" i="1"/>
  <c r="AL368" i="1"/>
  <c r="AL78" i="1"/>
  <c r="AL475" i="1"/>
  <c r="AL132" i="1"/>
  <c r="AL314" i="1"/>
  <c r="AL66" i="1"/>
  <c r="AL159" i="1"/>
  <c r="AL233" i="1"/>
  <c r="AL56" i="1"/>
  <c r="AL497" i="1"/>
  <c r="AL42" i="1"/>
  <c r="AL165" i="1"/>
  <c r="AL96" i="1"/>
  <c r="AL236" i="1"/>
  <c r="AL168" i="1"/>
  <c r="AL313" i="1"/>
  <c r="AL55" i="1"/>
  <c r="AL72" i="1"/>
  <c r="AL286" i="1"/>
  <c r="AL145" i="1"/>
  <c r="AL299" i="1"/>
  <c r="AL149" i="1"/>
  <c r="AL488" i="1"/>
  <c r="AL504" i="1"/>
  <c r="AL183" i="1"/>
  <c r="AL225" i="1"/>
  <c r="AL451" i="1"/>
  <c r="AL499" i="1"/>
  <c r="AL471" i="1"/>
  <c r="AL70" i="1"/>
  <c r="AL483" i="1"/>
  <c r="AL352" i="1"/>
  <c r="AL273" i="1"/>
  <c r="AL265" i="1"/>
  <c r="AL115" i="1"/>
  <c r="AL31" i="1"/>
  <c r="AL416" i="1"/>
  <c r="AL51" i="1"/>
  <c r="AL469" i="1"/>
  <c r="AL360" i="1"/>
  <c r="AL133" i="1"/>
  <c r="AL306" i="1"/>
  <c r="AL388" i="1"/>
  <c r="AL88" i="1"/>
  <c r="AL255" i="1"/>
  <c r="AL464" i="1"/>
  <c r="AL367" i="1"/>
  <c r="AL254" i="1"/>
  <c r="AL315" i="1"/>
  <c r="AL490" i="1"/>
  <c r="AL405" i="1"/>
  <c r="AL446" i="1"/>
  <c r="AL460" i="1"/>
  <c r="AL143" i="1"/>
  <c r="AL289" i="1"/>
  <c r="AL327" i="1"/>
  <c r="AL43" i="1"/>
  <c r="AL293" i="1"/>
  <c r="AL444" i="1"/>
  <c r="AL227" i="1"/>
  <c r="AL169" i="1"/>
  <c r="AL355" i="1"/>
  <c r="AL271" i="1"/>
  <c r="AL134" i="1"/>
  <c r="AL240" i="1"/>
  <c r="AL421" i="1"/>
  <c r="AL126" i="1"/>
  <c r="AL91" i="1"/>
  <c r="AL386" i="1"/>
  <c r="AL330" i="1"/>
  <c r="AL116" i="1"/>
  <c r="AL161" i="1"/>
  <c r="AL151" i="1"/>
  <c r="AL81" i="1"/>
  <c r="AL351" i="1"/>
  <c r="AL243" i="1"/>
  <c r="AL210" i="1"/>
  <c r="AL455" i="1"/>
  <c r="AL334" i="1"/>
  <c r="AL170" i="1"/>
  <c r="AL400" i="1"/>
  <c r="AL505" i="1"/>
  <c r="AL258" i="1"/>
  <c r="AL308" i="1"/>
  <c r="AL312" i="1"/>
  <c r="AL409" i="1"/>
  <c r="AL109" i="1"/>
  <c r="AL60" i="1"/>
  <c r="AL22" i="1"/>
  <c r="AL414" i="1"/>
  <c r="AL482" i="1"/>
  <c r="AL87" i="1"/>
  <c r="AL278" i="1"/>
  <c r="AL498" i="1"/>
  <c r="AL191" i="1"/>
  <c r="AL393" i="1"/>
  <c r="AL472" i="1"/>
  <c r="AL369" i="1"/>
  <c r="AL432" i="1"/>
  <c r="AL108" i="1"/>
  <c r="AL411" i="1"/>
  <c r="AL500" i="1"/>
  <c r="AL41" i="1"/>
  <c r="AL337" i="1"/>
  <c r="AL423" i="1"/>
  <c r="AL157" i="1"/>
  <c r="AL461" i="1"/>
  <c r="AL201" i="1"/>
  <c r="AL366" i="1"/>
  <c r="AL304" i="1"/>
  <c r="AL37" i="1"/>
  <c r="AL34" i="1"/>
  <c r="AL180" i="1"/>
  <c r="AL212" i="1"/>
  <c r="AL75" i="1"/>
  <c r="AL287" i="1"/>
  <c r="AL399" i="1"/>
  <c r="AL202" i="1"/>
  <c r="AL49" i="1"/>
  <c r="AL344" i="1"/>
  <c r="AL428" i="1"/>
  <c r="AL58" i="1"/>
  <c r="AL136" i="1"/>
  <c r="AL214" i="1"/>
  <c r="AL97" i="1"/>
  <c r="AL113" i="1"/>
  <c r="AL384" i="1"/>
  <c r="AL288" i="1"/>
  <c r="AL280" i="1"/>
  <c r="AL211" i="1"/>
  <c r="AL176" i="1"/>
  <c r="AL155" i="1"/>
  <c r="AL44" i="1"/>
  <c r="AL177" i="1"/>
  <c r="AL203" i="1"/>
  <c r="AL424" i="1"/>
  <c r="AL341" i="1"/>
  <c r="AL458" i="1"/>
  <c r="AL346" i="1"/>
  <c r="AL85" i="1"/>
  <c r="AL486" i="1"/>
  <c r="AL71" i="1"/>
  <c r="AL398" i="1"/>
  <c r="AL453" i="1"/>
  <c r="AL415" i="1"/>
  <c r="AL301" i="1"/>
  <c r="AL413" i="1"/>
  <c r="AL205" i="1"/>
  <c r="AL86" i="1"/>
  <c r="AL349" i="1"/>
  <c r="AL465" i="1"/>
  <c r="AL204" i="1"/>
  <c r="AL445" i="1"/>
  <c r="AL459" i="1"/>
  <c r="AL496" i="1"/>
  <c r="AL61" i="1"/>
  <c r="AL239" i="1"/>
  <c r="AL326" i="1"/>
  <c r="AL46" i="1"/>
  <c r="AL448" i="1"/>
  <c r="AL422" i="1"/>
  <c r="AL494" i="1"/>
  <c r="AL98" i="1"/>
  <c r="AL263" i="1"/>
  <c r="AL305" i="1"/>
  <c r="AL77" i="1"/>
  <c r="AL35" i="1"/>
  <c r="AL194" i="1"/>
  <c r="AL385" i="1"/>
  <c r="AL319" i="1"/>
  <c r="AL412" i="1"/>
  <c r="AL408" i="1"/>
  <c r="AL296" i="1"/>
  <c r="AL221" i="1"/>
  <c r="AL382" i="1"/>
  <c r="AL64" i="1"/>
  <c r="AL325" i="1"/>
  <c r="AL277" i="1"/>
  <c r="AL25" i="1"/>
  <c r="AL463" i="1"/>
  <c r="AL310" i="1"/>
  <c r="AL213" i="1"/>
  <c r="AL26" i="1"/>
  <c r="AL158" i="1"/>
  <c r="AL95" i="1"/>
  <c r="AL433" i="1"/>
  <c r="AL259" i="1"/>
  <c r="AL434" i="1"/>
  <c r="AL401" i="1"/>
  <c r="AL324" i="1"/>
  <c r="AL309" i="1"/>
  <c r="AL105" i="1"/>
  <c r="AL123" i="1"/>
  <c r="AL50" i="1"/>
  <c r="AL426" i="1"/>
  <c r="AL130" i="1"/>
  <c r="AL487" i="1"/>
  <c r="AL290" i="1"/>
  <c r="AL186" i="1"/>
  <c r="AL54" i="1"/>
  <c r="AL137" i="1"/>
  <c r="AL93" i="1"/>
  <c r="AL144" i="1"/>
  <c r="AL247" i="1"/>
  <c r="AL511" i="1"/>
  <c r="AL442" i="1"/>
  <c r="AL410" i="1"/>
  <c r="AL383" i="1"/>
  <c r="AL403" i="1"/>
  <c r="AL331" i="1"/>
  <c r="AL338" i="1"/>
  <c r="AL182" i="1"/>
  <c r="AL216" i="1"/>
  <c r="AL264" i="1"/>
  <c r="AL420" i="1"/>
  <c r="AL297" i="1"/>
  <c r="AL33" i="1"/>
  <c r="AL417" i="1"/>
  <c r="AL470" i="1"/>
  <c r="AL515" i="1"/>
  <c r="AL219" i="1"/>
  <c r="AL372" i="1"/>
  <c r="AL200" i="1"/>
  <c r="AL23" i="1"/>
  <c r="AL481" i="1"/>
  <c r="AL438" i="1"/>
  <c r="AL175" i="1"/>
  <c r="AL209" i="1"/>
  <c r="AL404" i="1"/>
</calcChain>
</file>

<file path=xl/sharedStrings.xml><?xml version="1.0" encoding="utf-8"?>
<sst xmlns="http://schemas.openxmlformats.org/spreadsheetml/2006/main" count="6311" uniqueCount="2124">
  <si>
    <t>Goodyear Tire &amp; Rubber Co</t>
  </si>
  <si>
    <t>Harman Intl Industries Inc</t>
  </si>
  <si>
    <t>Hasbro Inc</t>
  </si>
  <si>
    <t>Huntington Bancshares (OH)</t>
  </si>
  <si>
    <t>HCP Inc</t>
  </si>
  <si>
    <t>Hess Corp</t>
  </si>
  <si>
    <t>Hartford Finl Services Group</t>
  </si>
  <si>
    <t>Harley-Davidson Inc</t>
  </si>
  <si>
    <t>Starwood Hotel &amp; Resort World</t>
  </si>
  <si>
    <t>Block H &amp; R Inc</t>
  </si>
  <si>
    <t>Hormel Foods Corp</t>
  </si>
  <si>
    <t>Harris Corp</t>
  </si>
  <si>
    <t>Host Hotels &amp; Resorts Inc</t>
  </si>
  <si>
    <t>Hershey Foods Corp</t>
  </si>
  <si>
    <t>Humana Inc</t>
  </si>
  <si>
    <t>Intl Flavors &amp; Fragrances</t>
  </si>
  <si>
    <t>Intuit Inc</t>
  </si>
  <si>
    <t>Intl Paper Co</t>
  </si>
  <si>
    <t>Interpublic Group Cos</t>
  </si>
  <si>
    <t>Iron Mountain Inc</t>
  </si>
  <si>
    <t>Intuitive Surgical Inc</t>
  </si>
  <si>
    <t>Illinois Tool Works Inc</t>
  </si>
  <si>
    <t>Invesco Ltd</t>
  </si>
  <si>
    <t>Jacobs Engineering Group Inc</t>
  </si>
  <si>
    <t>Juniper Networks Inc</t>
  </si>
  <si>
    <t>Nordstrom Inc</t>
  </si>
  <si>
    <t>Kellogg Co</t>
  </si>
  <si>
    <t>KeyCorp</t>
  </si>
  <si>
    <t>Kimco Realty Corp</t>
  </si>
  <si>
    <t>KLA-Tencor Corporation</t>
  </si>
  <si>
    <t>Kimberly-Clark</t>
  </si>
  <si>
    <t>Kroger Co</t>
  </si>
  <si>
    <t>Kohl's Corp</t>
  </si>
  <si>
    <t>Loews Corp</t>
  </si>
  <si>
    <t>Leggett &amp; Platt</t>
  </si>
  <si>
    <t>Lab Corp of America Hldgs</t>
  </si>
  <si>
    <t>L-3 Communications Holdings</t>
  </si>
  <si>
    <t>Linear Technology Corp</t>
  </si>
  <si>
    <t>Legg Mason Inc</t>
  </si>
  <si>
    <t>Lincoln National Corp</t>
  </si>
  <si>
    <t>Leucadia National Corp (NY)</t>
  </si>
  <si>
    <t>Southwest Airlines Co</t>
  </si>
  <si>
    <t>Macy's Inc</t>
  </si>
  <si>
    <t>Marriott Intl A</t>
  </si>
  <si>
    <t>Masco Corp</t>
  </si>
  <si>
    <t>Mattel Inc</t>
  </si>
  <si>
    <t>Microchip Technology Inc</t>
  </si>
  <si>
    <t>McKesson Corp</t>
  </si>
  <si>
    <t>Moody's Corp</t>
  </si>
  <si>
    <t>McCormick &amp; Co</t>
  </si>
  <si>
    <t>Marsh &amp; McLennan Companies</t>
  </si>
  <si>
    <t>Marathon Oil Corp</t>
  </si>
  <si>
    <t>M&amp;T Bank Corp</t>
  </si>
  <si>
    <t>Micron Technology Inc</t>
  </si>
  <si>
    <t>Murphy Oil Corp</t>
  </si>
  <si>
    <t>Noble Energy Inc</t>
  </si>
  <si>
    <t>Newmont Mining Corp</t>
  </si>
  <si>
    <t>Nisource Inc</t>
  </si>
  <si>
    <t>Northrop Grumman Corp</t>
  </si>
  <si>
    <t>NetApp Inc</t>
  </si>
  <si>
    <t>Northern Trust Corp (IL)</t>
  </si>
  <si>
    <t>Nucor Corp</t>
  </si>
  <si>
    <t>Nvidia Corp</t>
  </si>
  <si>
    <t>Owens-Illinois Inc</t>
  </si>
  <si>
    <t>Omnicom Group</t>
  </si>
  <si>
    <t>O'Reilly Automotive</t>
  </si>
  <si>
    <t>Paychex Inc</t>
  </si>
  <si>
    <t>People's United Financial Inc</t>
  </si>
  <si>
    <t>Pitney Bowes Inc</t>
  </si>
  <si>
    <t>PACCAR Inc</t>
  </si>
  <si>
    <t>PG&amp;E Corporation</t>
  </si>
  <si>
    <t>Patterson Cos Inc</t>
  </si>
  <si>
    <t>Public Service Enterprise Grp</t>
  </si>
  <si>
    <t>Principal Financial Group</t>
  </si>
  <si>
    <t>Progressive Corp</t>
  </si>
  <si>
    <t>Parker-Hannifin Corp</t>
  </si>
  <si>
    <t>PerkinElmer Inc</t>
  </si>
  <si>
    <t>PNC Finl Services Group</t>
  </si>
  <si>
    <t>Pinnacle West Capital (AZ)</t>
  </si>
  <si>
    <t>PPG Industries Inc</t>
  </si>
  <si>
    <t>PPL Corp</t>
  </si>
  <si>
    <t>Prudential Financial Inc</t>
  </si>
  <si>
    <t>Public Storage</t>
  </si>
  <si>
    <t>Quanta Services Inc</t>
  </si>
  <si>
    <t>Praxair Inc</t>
  </si>
  <si>
    <t>Pioneer Natural Resources</t>
  </si>
  <si>
    <t>Ryder System Inc</t>
  </si>
  <si>
    <t>Reynolds American Inc</t>
  </si>
  <si>
    <t>Robert Half Intl Inc</t>
  </si>
  <si>
    <t>Red Hat Inc</t>
  </si>
  <si>
    <t>Rockwell Automation Inc</t>
  </si>
  <si>
    <t>Range Resources Corp</t>
  </si>
  <si>
    <t>Republic Services Inc</t>
  </si>
  <si>
    <t>Starbucks Corp</t>
  </si>
  <si>
    <t>SCANA Corp</t>
  </si>
  <si>
    <t>Spectra Energy Corp</t>
  </si>
  <si>
    <t>Sealed Air Corp</t>
  </si>
  <si>
    <t>Sherwin-Williams Co</t>
  </si>
  <si>
    <t>Snap On Inc</t>
  </si>
  <si>
    <t>Staples Inc</t>
  </si>
  <si>
    <t>Stericycle Inc</t>
  </si>
  <si>
    <t>Sempra Energy</t>
  </si>
  <si>
    <t>SunTrust Banks Inc (GA)</t>
  </si>
  <si>
    <t>St Jude Medical Inc</t>
  </si>
  <si>
    <t>State Street Corp</t>
  </si>
  <si>
    <t>Constellation Brands Inc A</t>
  </si>
  <si>
    <t>Southwestern Energy Co</t>
  </si>
  <si>
    <t>Stryker Corp</t>
  </si>
  <si>
    <t>Symantec Corp</t>
  </si>
  <si>
    <t>Sysco Corp</t>
  </si>
  <si>
    <t>Molson Coors Brewing Co B</t>
  </si>
  <si>
    <t>Teradata Corp</t>
  </si>
  <si>
    <t>Tiffany &amp; Co</t>
  </si>
  <si>
    <t>TJX Cos Inc</t>
  </si>
  <si>
    <t>Torchmark Corp</t>
  </si>
  <si>
    <t>Thermo Fisher Scientific</t>
  </si>
  <si>
    <t>T Rowe Price Group Inc</t>
  </si>
  <si>
    <t>Travelers Cos Inc</t>
  </si>
  <si>
    <t>Tyson Foods Inc A</t>
  </si>
  <si>
    <t>Tesoro Corp</t>
  </si>
  <si>
    <t>Total System Services Inc</t>
  </si>
  <si>
    <t>Textron Inc</t>
  </si>
  <si>
    <t>Unum Group</t>
  </si>
  <si>
    <t>Union Pacific Corp</t>
  </si>
  <si>
    <t>Varian Medical Systems Inc</t>
  </si>
  <si>
    <t>VF Corp</t>
  </si>
  <si>
    <t>Valero Energy Corp</t>
  </si>
  <si>
    <t>Vulcan Materials Co</t>
  </si>
  <si>
    <t>Vornado Realty Trust</t>
  </si>
  <si>
    <t>VeriSign Inc</t>
  </si>
  <si>
    <t>Ventas Inc</t>
  </si>
  <si>
    <t>Waters Corp</t>
  </si>
  <si>
    <t>Western Digital Corp</t>
  </si>
  <si>
    <t>Whole Foods Market Inc</t>
  </si>
  <si>
    <t>Whirlpool Corp</t>
  </si>
  <si>
    <t>Waste Management Inc</t>
  </si>
  <si>
    <t>Western Union Co</t>
  </si>
  <si>
    <t>Wyndham Worldwide Corp</t>
  </si>
  <si>
    <t>Wynn Resorts Ltd</t>
  </si>
  <si>
    <t>Xcel Energy Inc</t>
  </si>
  <si>
    <t>Xilinx Inc</t>
  </si>
  <si>
    <t>Yahoo Inc</t>
  </si>
  <si>
    <t>Yum! Brands Inc</t>
  </si>
  <si>
    <t>Zions Bancorp (UT)</t>
  </si>
  <si>
    <t>XEC</t>
  </si>
  <si>
    <t>AAP UN</t>
  </si>
  <si>
    <t>BWA UN</t>
  </si>
  <si>
    <t>CERN UQ</t>
  </si>
  <si>
    <t>CMG UN</t>
  </si>
  <si>
    <t>DLTR UQ</t>
  </si>
  <si>
    <t>ENDP UQ</t>
  </si>
  <si>
    <t>EQIX UQ</t>
  </si>
  <si>
    <t>EW UN</t>
  </si>
  <si>
    <t>FFIV UQ</t>
  </si>
  <si>
    <t>HBI UN</t>
  </si>
  <si>
    <t>HP UN</t>
  </si>
  <si>
    <t>HSIC UQ</t>
  </si>
  <si>
    <t>JBHT UQ</t>
  </si>
  <si>
    <t>KMX UN</t>
  </si>
  <si>
    <t>KSU UN</t>
  </si>
  <si>
    <t>LRCX UQ</t>
  </si>
  <si>
    <t>MAC UN</t>
  </si>
  <si>
    <t>NFLX UQ</t>
  </si>
  <si>
    <t>NFX UN</t>
  </si>
  <si>
    <t>O UN</t>
  </si>
  <si>
    <t>OKE UN</t>
  </si>
  <si>
    <t>PCLN UQ</t>
  </si>
  <si>
    <t>PNR UN</t>
  </si>
  <si>
    <t>PVH UN</t>
  </si>
  <si>
    <t>ROST UQ</t>
  </si>
  <si>
    <t>SLG UN</t>
  </si>
  <si>
    <t>UHS UN</t>
  </si>
  <si>
    <t>URBN UQ</t>
  </si>
  <si>
    <t>URI UN</t>
  </si>
  <si>
    <t>Current Growth %</t>
  </si>
  <si>
    <t>Current Value %</t>
  </si>
  <si>
    <t>New Growth %</t>
  </si>
  <si>
    <t>New Value %</t>
  </si>
  <si>
    <t>S&amp;P 500 Core</t>
  </si>
  <si>
    <t>S&amp;P 500 Growth</t>
  </si>
  <si>
    <t>S&amp;P 500 Value</t>
  </si>
  <si>
    <t>Portfolio</t>
  </si>
  <si>
    <t>(MM USD)</t>
  </si>
  <si>
    <t>By entering the size of your portfolio</t>
  </si>
  <si>
    <t xml:space="preserve">in the box below, this column will </t>
  </si>
  <si>
    <t>generate your portfolio rebalance.</t>
  </si>
  <si>
    <t>S&amp;P U.S. Indices Trade Summary</t>
  </si>
  <si>
    <t>AON</t>
  </si>
  <si>
    <t>FSLR</t>
  </si>
  <si>
    <t>AON UN</t>
  </si>
  <si>
    <t>FSLR UQ</t>
  </si>
  <si>
    <t>JNPR UN</t>
  </si>
  <si>
    <t>MAT UQ</t>
  </si>
  <si>
    <t>First Solar Inc</t>
  </si>
  <si>
    <t>V UN</t>
  </si>
  <si>
    <t>Most Illiquid Net Buys</t>
  </si>
  <si>
    <t>Most Illiquid Net Sells</t>
  </si>
  <si>
    <t>Largest Net Buys by Trade Value</t>
  </si>
  <si>
    <t>Largest Net Sells by Trade Value</t>
  </si>
  <si>
    <t>BMY</t>
  </si>
  <si>
    <t>Regeneron Pharmaceuticals Inc</t>
  </si>
  <si>
    <t>Skyworks Solutions Inc</t>
  </si>
  <si>
    <t>Tractor Supply Co</t>
  </si>
  <si>
    <t>NDAQ</t>
  </si>
  <si>
    <t>NEM</t>
  </si>
  <si>
    <t>NI</t>
  </si>
  <si>
    <t>NOC</t>
  </si>
  <si>
    <t>NTAP</t>
  </si>
  <si>
    <t>NTRS</t>
  </si>
  <si>
    <t>NUE</t>
  </si>
  <si>
    <t>NVDA</t>
  </si>
  <si>
    <t>NWL</t>
  </si>
  <si>
    <t>NWSA</t>
  </si>
  <si>
    <t>OI</t>
  </si>
  <si>
    <t>OMC</t>
  </si>
  <si>
    <t>ORLY</t>
  </si>
  <si>
    <t>PAYX</t>
  </si>
  <si>
    <t>PBCT</t>
  </si>
  <si>
    <t>PBI</t>
  </si>
  <si>
    <t>PCAR</t>
  </si>
  <si>
    <t>PCG</t>
  </si>
  <si>
    <t>PDCO</t>
  </si>
  <si>
    <t>PEG</t>
  </si>
  <si>
    <t>PFG</t>
  </si>
  <si>
    <t>PGR</t>
  </si>
  <si>
    <t>PH</t>
  </si>
  <si>
    <t>PHM</t>
  </si>
  <si>
    <t>PKI</t>
  </si>
  <si>
    <t>PLD</t>
  </si>
  <si>
    <t>PNC</t>
  </si>
  <si>
    <t>PNW</t>
  </si>
  <si>
    <t>PPG</t>
  </si>
  <si>
    <t>PPL</t>
  </si>
  <si>
    <t>PRU</t>
  </si>
  <si>
    <t>PSA</t>
  </si>
  <si>
    <t>PWR</t>
  </si>
  <si>
    <t>PX</t>
  </si>
  <si>
    <t>PXD</t>
  </si>
  <si>
    <t>R</t>
  </si>
  <si>
    <t>RAI</t>
  </si>
  <si>
    <t>RHI</t>
  </si>
  <si>
    <t>RHT</t>
  </si>
  <si>
    <t>RL</t>
  </si>
  <si>
    <t>ROK</t>
  </si>
  <si>
    <t>RRC</t>
  </si>
  <si>
    <t>RSG</t>
  </si>
  <si>
    <t>SBUX</t>
  </si>
  <si>
    <t>SCG</t>
  </si>
  <si>
    <t>SCHW</t>
  </si>
  <si>
    <t>SE</t>
  </si>
  <si>
    <t>SEE</t>
  </si>
  <si>
    <t>SHW</t>
  </si>
  <si>
    <t>SJM</t>
  </si>
  <si>
    <t>SNA</t>
  </si>
  <si>
    <t>SNI</t>
  </si>
  <si>
    <t>SPG</t>
  </si>
  <si>
    <t>SPLS</t>
  </si>
  <si>
    <t>SRCL</t>
  </si>
  <si>
    <t>SRE</t>
  </si>
  <si>
    <t>STI</t>
  </si>
  <si>
    <t>STJ</t>
  </si>
  <si>
    <t>STT</t>
  </si>
  <si>
    <t>STZ</t>
  </si>
  <si>
    <t>SWK</t>
  </si>
  <si>
    <t>SWN</t>
  </si>
  <si>
    <t>SYK</t>
  </si>
  <si>
    <t>SYMC</t>
  </si>
  <si>
    <t>SYY</t>
  </si>
  <si>
    <t>TAP</t>
  </si>
  <si>
    <t>TDC</t>
  </si>
  <si>
    <t>TIF</t>
  </si>
  <si>
    <t>TJX</t>
  </si>
  <si>
    <t>TMK</t>
  </si>
  <si>
    <t>TMO</t>
  </si>
  <si>
    <t>TROW</t>
  </si>
  <si>
    <t>TRV</t>
  </si>
  <si>
    <t>TSN</t>
  </si>
  <si>
    <t>TSO</t>
  </si>
  <si>
    <t>TSS</t>
  </si>
  <si>
    <t>TXT</t>
  </si>
  <si>
    <t>UNM</t>
  </si>
  <si>
    <t>UNP</t>
  </si>
  <si>
    <t>VAR</t>
  </si>
  <si>
    <t>VFC</t>
  </si>
  <si>
    <t>VLO</t>
  </si>
  <si>
    <t>VMC</t>
  </si>
  <si>
    <t>VNO</t>
  </si>
  <si>
    <t>VRSN</t>
  </si>
  <si>
    <t>VTR</t>
  </si>
  <si>
    <t>WAT</t>
  </si>
  <si>
    <t>WDC</t>
  </si>
  <si>
    <t>WEC</t>
  </si>
  <si>
    <t>WHR</t>
  </si>
  <si>
    <t>WM</t>
  </si>
  <si>
    <t>WU</t>
  </si>
  <si>
    <t>WYN</t>
  </si>
  <si>
    <t>WYNN</t>
  </si>
  <si>
    <t>XEL</t>
  </si>
  <si>
    <t>XL</t>
  </si>
  <si>
    <t>XLNX</t>
  </si>
  <si>
    <t>XRAY</t>
  </si>
  <si>
    <t>YHOO</t>
  </si>
  <si>
    <t>YUM</t>
  </si>
  <si>
    <t>ZION</t>
  </si>
  <si>
    <t>REGN</t>
  </si>
  <si>
    <t>SWKS</t>
  </si>
  <si>
    <t>TSCO</t>
  </si>
  <si>
    <t>A UN</t>
  </si>
  <si>
    <t>AAPL UQ</t>
  </si>
  <si>
    <t>ABC UN</t>
  </si>
  <si>
    <t>ADBE UQ</t>
  </si>
  <si>
    <t>ADM UN</t>
  </si>
  <si>
    <t>ADP UQ</t>
  </si>
  <si>
    <t>ADSK UQ</t>
  </si>
  <si>
    <t>AEE UN</t>
  </si>
  <si>
    <t>AES UN</t>
  </si>
  <si>
    <t>AET UN</t>
  </si>
  <si>
    <t>AFL UN</t>
  </si>
  <si>
    <t>AGN UN</t>
  </si>
  <si>
    <t>AIG UN</t>
  </si>
  <si>
    <t>AIV UN</t>
  </si>
  <si>
    <t>AIZ UN</t>
  </si>
  <si>
    <t>AKAM UQ</t>
  </si>
  <si>
    <t>AMAT UQ</t>
  </si>
  <si>
    <t>AMGN UQ</t>
  </si>
  <si>
    <t>AMP UN</t>
  </si>
  <si>
    <t>AMT UN</t>
  </si>
  <si>
    <t>AMZN UQ</t>
  </si>
  <si>
    <t>AN UN</t>
  </si>
  <si>
    <t>APA UN</t>
  </si>
  <si>
    <t>APC UN</t>
  </si>
  <si>
    <t>APD UN</t>
  </si>
  <si>
    <t>APH UN</t>
  </si>
  <si>
    <t>AVB UN</t>
  </si>
  <si>
    <t>AVY UN</t>
  </si>
  <si>
    <t>AZO UN</t>
  </si>
  <si>
    <t>BBBY UQ</t>
  </si>
  <si>
    <t>BBT UN</t>
  </si>
  <si>
    <t>BBY UN</t>
  </si>
  <si>
    <t>BCR UN</t>
  </si>
  <si>
    <t>BDX UN</t>
  </si>
  <si>
    <t>BEN UN</t>
  </si>
  <si>
    <t>BF/B UN</t>
  </si>
  <si>
    <t>BIIB UQ</t>
  </si>
  <si>
    <t>BLL UN</t>
  </si>
  <si>
    <t>BSX UN</t>
  </si>
  <si>
    <t>BXP UN</t>
  </si>
  <si>
    <t>CA UQ</t>
  </si>
  <si>
    <t>CAG UN</t>
  </si>
  <si>
    <t>CAH UN</t>
  </si>
  <si>
    <t>CB UN</t>
  </si>
  <si>
    <t>CBG UN</t>
  </si>
  <si>
    <t>CBS UN</t>
  </si>
  <si>
    <t>CCL UN</t>
  </si>
  <si>
    <t>CELG UQ</t>
  </si>
  <si>
    <t>CF UN</t>
  </si>
  <si>
    <t>CHK UN</t>
  </si>
  <si>
    <t>CHRW UQ</t>
  </si>
  <si>
    <t>CI UN</t>
  </si>
  <si>
    <t>CINF UQ</t>
  </si>
  <si>
    <t>CLX UN</t>
  </si>
  <si>
    <t>CMA UN</t>
  </si>
  <si>
    <t>CMCSA UQ</t>
  </si>
  <si>
    <t>CME UQ</t>
  </si>
  <si>
    <t>CMI UN</t>
  </si>
  <si>
    <t>CMS UN</t>
  </si>
  <si>
    <t>CNP UN</t>
  </si>
  <si>
    <t>COG UN</t>
  </si>
  <si>
    <t>COH UN</t>
  </si>
  <si>
    <t>COL UN</t>
  </si>
  <si>
    <t>COST UQ</t>
  </si>
  <si>
    <t>CRM UN</t>
  </si>
  <si>
    <t>CSCO UQ</t>
  </si>
  <si>
    <t>CTAS UQ</t>
  </si>
  <si>
    <t>CTL UN</t>
  </si>
  <si>
    <t>CTSH UQ</t>
  </si>
  <si>
    <t>CTXS UQ</t>
  </si>
  <si>
    <t>D UN</t>
  </si>
  <si>
    <t>DE UN</t>
  </si>
  <si>
    <t>DFS UN</t>
  </si>
  <si>
    <t>DGX UN</t>
  </si>
  <si>
    <t>DHI UN</t>
  </si>
  <si>
    <t>DHR UN</t>
  </si>
  <si>
    <t>DNB UN</t>
  </si>
  <si>
    <t>DO UN</t>
  </si>
  <si>
    <t>DOV UN</t>
  </si>
  <si>
    <t>DPS UN</t>
  </si>
  <si>
    <t>DRI UN</t>
  </si>
  <si>
    <t>DTE UN</t>
  </si>
  <si>
    <t>DUK UN</t>
  </si>
  <si>
    <t>DVA UN</t>
  </si>
  <si>
    <t>EBAY UQ</t>
  </si>
  <si>
    <t>ECL UN</t>
  </si>
  <si>
    <t>ED UN</t>
  </si>
  <si>
    <t>EFX UN</t>
  </si>
  <si>
    <t>EIX UN</t>
  </si>
  <si>
    <t>EL UN</t>
  </si>
  <si>
    <t>EMN UN</t>
  </si>
  <si>
    <t>EMR UN</t>
  </si>
  <si>
    <t>EOG UN</t>
  </si>
  <si>
    <t>EQR UN</t>
  </si>
  <si>
    <t>EQT UN</t>
  </si>
  <si>
    <t>ESRX UQ</t>
  </si>
  <si>
    <t>ETFC UQ</t>
  </si>
  <si>
    <t>ETN UN</t>
  </si>
  <si>
    <t>EXPD UQ</t>
  </si>
  <si>
    <t>EXPE UQ</t>
  </si>
  <si>
    <t>FAST UQ</t>
  </si>
  <si>
    <t>FCX UN</t>
  </si>
  <si>
    <t>FE UN</t>
  </si>
  <si>
    <t>FIS UN</t>
  </si>
  <si>
    <t>FISV UQ</t>
  </si>
  <si>
    <t>FITB UQ</t>
  </si>
  <si>
    <t>FLIR UQ</t>
  </si>
  <si>
    <t>FLR UN</t>
  </si>
  <si>
    <t>FLS UN</t>
  </si>
  <si>
    <t>FMC UN</t>
  </si>
  <si>
    <t>FTI UN</t>
  </si>
  <si>
    <t>GILD UQ</t>
  </si>
  <si>
    <t>GIS UN</t>
  </si>
  <si>
    <t>GLW UN</t>
  </si>
  <si>
    <t>GOOG UQ</t>
  </si>
  <si>
    <t>GPC UN</t>
  </si>
  <si>
    <t>GPS UN</t>
  </si>
  <si>
    <t>GWW UN</t>
  </si>
  <si>
    <t>HAR UN</t>
  </si>
  <si>
    <t>HBAN UQ</t>
  </si>
  <si>
    <t>HCN UN</t>
  </si>
  <si>
    <t>HCP UN</t>
  </si>
  <si>
    <t>HES UN</t>
  </si>
  <si>
    <t>HIG UN</t>
  </si>
  <si>
    <t>HOG UN</t>
  </si>
  <si>
    <t>HOT UN</t>
  </si>
  <si>
    <t>HRB UN</t>
  </si>
  <si>
    <t>HRL UN</t>
  </si>
  <si>
    <t>HRS UN</t>
  </si>
  <si>
    <t>HST UN</t>
  </si>
  <si>
    <t>HSY UN</t>
  </si>
  <si>
    <t>HUM UN</t>
  </si>
  <si>
    <t>ICE UN</t>
  </si>
  <si>
    <t>IFF UN</t>
  </si>
  <si>
    <t>INTC UQ</t>
  </si>
  <si>
    <t>INTU UQ</t>
  </si>
  <si>
    <t>IP UN</t>
  </si>
  <si>
    <t>IPG UN</t>
  </si>
  <si>
    <t>IRM UN</t>
  </si>
  <si>
    <t>ISRG UQ</t>
  </si>
  <si>
    <t>ITW UN</t>
  </si>
  <si>
    <t>IVZ UN</t>
  </si>
  <si>
    <t>JCI UN</t>
  </si>
  <si>
    <t>JEC UN</t>
  </si>
  <si>
    <t>JWN UN</t>
  </si>
  <si>
    <t>K UN</t>
  </si>
  <si>
    <t>KEY UN</t>
  </si>
  <si>
    <t>KIM UN</t>
  </si>
  <si>
    <t>KLAC UQ</t>
  </si>
  <si>
    <t>KMB UN</t>
  </si>
  <si>
    <t>KR UN</t>
  </si>
  <si>
    <t>KSS UN</t>
  </si>
  <si>
    <t>L UN</t>
  </si>
  <si>
    <t>LEG UN</t>
  </si>
  <si>
    <t>LEN UN</t>
  </si>
  <si>
    <t>LH UN</t>
  </si>
  <si>
    <t>LLL UN</t>
  </si>
  <si>
    <t>LLTC UQ</t>
  </si>
  <si>
    <t>LLY UN</t>
  </si>
  <si>
    <t>LM UN</t>
  </si>
  <si>
    <t>LNC UN</t>
  </si>
  <si>
    <t>LUK UN</t>
  </si>
  <si>
    <t>LUV UN</t>
  </si>
  <si>
    <t>M UN</t>
  </si>
  <si>
    <t>MAS UN</t>
  </si>
  <si>
    <t>MCHP UQ</t>
  </si>
  <si>
    <t>MCK UN</t>
  </si>
  <si>
    <t>MCO UN</t>
  </si>
  <si>
    <t>MKC UN</t>
  </si>
  <si>
    <t>MMC UN</t>
  </si>
  <si>
    <t>MRO UN</t>
  </si>
  <si>
    <t>MSFT UQ</t>
  </si>
  <si>
    <t>MTB UN</t>
  </si>
  <si>
    <t>MUR UN</t>
  </si>
  <si>
    <t>MYL UQ</t>
  </si>
  <si>
    <t>NBL UN</t>
  </si>
  <si>
    <t>NDAQ UQ</t>
  </si>
  <si>
    <t>NEM UN</t>
  </si>
  <si>
    <t>NI UN</t>
  </si>
  <si>
    <t>NOC UN</t>
  </si>
  <si>
    <t>NTAP UQ</t>
  </si>
  <si>
    <t>NTRS UQ</t>
  </si>
  <si>
    <t>NUE UN</t>
  </si>
  <si>
    <t>NVDA UQ</t>
  </si>
  <si>
    <t>NWL UN</t>
  </si>
  <si>
    <t>NWSA UQ</t>
  </si>
  <si>
    <t>OI UN</t>
  </si>
  <si>
    <t>OMC UN</t>
  </si>
  <si>
    <t>ORLY UQ</t>
  </si>
  <si>
    <t>PAYX UQ</t>
  </si>
  <si>
    <t>PBCT UQ</t>
  </si>
  <si>
    <t>PBI UN</t>
  </si>
  <si>
    <t>PCAR UQ</t>
  </si>
  <si>
    <t>PCG UN</t>
  </si>
  <si>
    <t>PDCO UQ</t>
  </si>
  <si>
    <t>PEG UN</t>
  </si>
  <si>
    <t>PFG UN</t>
  </si>
  <si>
    <t>PGR UN</t>
  </si>
  <si>
    <t>PH UN</t>
  </si>
  <si>
    <t>PHM UN</t>
  </si>
  <si>
    <t>PKI UN</t>
  </si>
  <si>
    <t>PLD UN</t>
  </si>
  <si>
    <t>PNC UN</t>
  </si>
  <si>
    <t>PNW UN</t>
  </si>
  <si>
    <t>PPG UN</t>
  </si>
  <si>
    <t>PPL UN</t>
  </si>
  <si>
    <t>PRU UN</t>
  </si>
  <si>
    <t>PSA UN</t>
  </si>
  <si>
    <t>PWR UN</t>
  </si>
  <si>
    <t>PX UN</t>
  </si>
  <si>
    <t>PXD UN</t>
  </si>
  <si>
    <t>QCOM UQ</t>
  </si>
  <si>
    <t>R UN</t>
  </si>
  <si>
    <t>RAI UN</t>
  </si>
  <si>
    <t>RHI UN</t>
  </si>
  <si>
    <t>RHT UN</t>
  </si>
  <si>
    <t>RL UN</t>
  </si>
  <si>
    <t>ROK UN</t>
  </si>
  <si>
    <t>RRC UN</t>
  </si>
  <si>
    <t>RSG UN</t>
  </si>
  <si>
    <t>SBUX UQ</t>
  </si>
  <si>
    <t>SCG UN</t>
  </si>
  <si>
    <t>SE UN</t>
  </si>
  <si>
    <t>SEE UN</t>
  </si>
  <si>
    <t>SHW UN</t>
  </si>
  <si>
    <t>SJM UN</t>
  </si>
  <si>
    <t>SNA UN</t>
  </si>
  <si>
    <t>SPG UN</t>
  </si>
  <si>
    <t>SPLS UQ</t>
  </si>
  <si>
    <t>SRCL UQ</t>
  </si>
  <si>
    <t>SRE UN</t>
  </si>
  <si>
    <t>STI UN</t>
  </si>
  <si>
    <t>STJ UN</t>
  </si>
  <si>
    <t>STT UN</t>
  </si>
  <si>
    <t>STZ UN</t>
  </si>
  <si>
    <t>SWK UN</t>
  </si>
  <si>
    <t>SWN UN</t>
  </si>
  <si>
    <t>SYK UN</t>
  </si>
  <si>
    <t>SYMC UQ</t>
  </si>
  <si>
    <t>SYY UN</t>
  </si>
  <si>
    <t>TAP UN</t>
  </si>
  <si>
    <t>TDC UN</t>
  </si>
  <si>
    <t>TIF UN</t>
  </si>
  <si>
    <t>TJX UN</t>
  </si>
  <si>
    <t>TMK UN</t>
  </si>
  <si>
    <t>TMO UN</t>
  </si>
  <si>
    <t>TROW UQ</t>
  </si>
  <si>
    <t>TRV UN</t>
  </si>
  <si>
    <t>TSN UN</t>
  </si>
  <si>
    <t>TSO UN</t>
  </si>
  <si>
    <t>TSS UN</t>
  </si>
  <si>
    <t>TXT UN</t>
  </si>
  <si>
    <t>UNM UN</t>
  </si>
  <si>
    <t>UNP UN</t>
  </si>
  <si>
    <t>VAR UN</t>
  </si>
  <si>
    <t>VFC UN</t>
  </si>
  <si>
    <t>VLO UN</t>
  </si>
  <si>
    <t>VMC UN</t>
  </si>
  <si>
    <t>VNO UN</t>
  </si>
  <si>
    <t>VRSN UQ</t>
  </si>
  <si>
    <t>VTR UN</t>
  </si>
  <si>
    <t>WAT UN</t>
  </si>
  <si>
    <t>WEC UN</t>
  </si>
  <si>
    <t>WHR UN</t>
  </si>
  <si>
    <t>WM UN</t>
  </si>
  <si>
    <t>WU UN</t>
  </si>
  <si>
    <t>WYN UN</t>
  </si>
  <si>
    <t>WYNN UQ</t>
  </si>
  <si>
    <t>XEL UN</t>
  </si>
  <si>
    <t>XL UN</t>
  </si>
  <si>
    <t>XLNX UQ</t>
  </si>
  <si>
    <t>XRAY UQ</t>
  </si>
  <si>
    <t>YHOO UQ</t>
  </si>
  <si>
    <t>YUM UN</t>
  </si>
  <si>
    <t>ZION UQ</t>
  </si>
  <si>
    <t>Advance Auto Parts Inc</t>
  </si>
  <si>
    <t>Alliance Data Systems Corp</t>
  </si>
  <si>
    <t>REGN UQ</t>
  </si>
  <si>
    <t>SWKS UQ</t>
  </si>
  <si>
    <t>AMETEK Inc</t>
  </si>
  <si>
    <t>Affiliated Managers Grp</t>
  </si>
  <si>
    <t>Borgwarner Inc</t>
  </si>
  <si>
    <t>Cerner Corp</t>
  </si>
  <si>
    <t>Dollar Tree Inc</t>
  </si>
  <si>
    <t>Equinix Inc</t>
  </si>
  <si>
    <t>Essex Property Trust</t>
  </si>
  <si>
    <t>Edwards Lifesciences Corp</t>
  </si>
  <si>
    <t>F5 Networks Inc</t>
  </si>
  <si>
    <t>Hanesbrands Inc</t>
  </si>
  <si>
    <t>Helmerich &amp; Payne Inc</t>
  </si>
  <si>
    <t>Carmax Inc</t>
  </si>
  <si>
    <t>Kansas City Southern Inc</t>
  </si>
  <si>
    <t>Lam Research Corp</t>
  </si>
  <si>
    <t>Macerich Co</t>
  </si>
  <si>
    <t>Mohawk Industries Inc</t>
  </si>
  <si>
    <t>Martin Marietta Materials</t>
  </si>
  <si>
    <t>NetFlix Inc</t>
  </si>
  <si>
    <t>Newfield Exploration Co</t>
  </si>
  <si>
    <t>Realty Income Corp</t>
  </si>
  <si>
    <t>ONEOK Inc</t>
  </si>
  <si>
    <t>Frontier Communications Corp</t>
  </si>
  <si>
    <t>General Mills Inc</t>
  </si>
  <si>
    <t>Corning Inc</t>
  </si>
  <si>
    <t>Genuine Parts Co</t>
  </si>
  <si>
    <t>Gap Inc</t>
  </si>
  <si>
    <t>Ross Stores Inc</t>
  </si>
  <si>
    <t>SL Green Realty Corp</t>
  </si>
  <si>
    <t>Under Armour Inc A</t>
  </si>
  <si>
    <t>Universal Health Services B</t>
  </si>
  <si>
    <t>Urban Outfitters</t>
  </si>
  <si>
    <t>United Rentals Inc</t>
  </si>
  <si>
    <t>Vertex Pharmaceuticals Inc</t>
  </si>
  <si>
    <t>Cimarex Energy Co</t>
  </si>
  <si>
    <t>Agilent Technologies Inc</t>
  </si>
  <si>
    <t>AmerisourceBergen Corp</t>
  </si>
  <si>
    <t>Adobe Systems Inc</t>
  </si>
  <si>
    <t>Analog Devices Inc</t>
  </si>
  <si>
    <t>Archer-Daniels-Midland Co</t>
  </si>
  <si>
    <t>Automatic Data Processing</t>
  </si>
  <si>
    <t>Autodesk Inc</t>
  </si>
  <si>
    <t>Ameren Corp</t>
  </si>
  <si>
    <t>AES Corp</t>
  </si>
  <si>
    <t>Aetna Inc</t>
  </si>
  <si>
    <t>AFLAC Inc</t>
  </si>
  <si>
    <t>American Intl Group Inc</t>
  </si>
  <si>
    <t>Apartment Investment &amp; Mgmt</t>
  </si>
  <si>
    <t>Assurant Inc</t>
  </si>
  <si>
    <t>Akamai Technologies Inc</t>
  </si>
  <si>
    <t>Applied Materials Inc</t>
  </si>
  <si>
    <t>Ameriprise Financial Inc</t>
  </si>
  <si>
    <t>American Tower Corp A</t>
  </si>
  <si>
    <t>AutoNation Inc</t>
  </si>
  <si>
    <t>Apache Corp</t>
  </si>
  <si>
    <t>Anadarko Petroleum Corp</t>
  </si>
  <si>
    <t>Air Products &amp; Chemicals Inc</t>
  </si>
  <si>
    <t>Amphenol Corp A</t>
  </si>
  <si>
    <t>AvalonBay Communities Inc</t>
  </si>
  <si>
    <t>Avery Dennison Corp</t>
  </si>
  <si>
    <t>AutoZone Inc</t>
  </si>
  <si>
    <t>Bed Bath &amp; Beyond Inc</t>
  </si>
  <si>
    <t>BB&amp;T Corp</t>
  </si>
  <si>
    <t>Best Buy Co Inc</t>
  </si>
  <si>
    <t>Franklin Resources Inc</t>
  </si>
  <si>
    <t>Brown-Forman Corp B</t>
  </si>
  <si>
    <t>Ball Corp</t>
  </si>
  <si>
    <t>Boston Scientific Corp</t>
  </si>
  <si>
    <t>Boston Properties Inc</t>
  </si>
  <si>
    <t>CA Inc</t>
  </si>
  <si>
    <t>ConAgra Foods Inc</t>
  </si>
  <si>
    <t>Cardinal Health Inc</t>
  </si>
  <si>
    <t>CBS Corp B</t>
  </si>
  <si>
    <t>Carnival Corp</t>
  </si>
  <si>
    <t>Celgene Corp</t>
  </si>
  <si>
    <t>CF Industries Holdings</t>
  </si>
  <si>
    <t>Chesapeake Energy Corp</t>
  </si>
  <si>
    <t>CH Robinson Worldwide Inc</t>
  </si>
  <si>
    <t>Cincinnati Financial Corp</t>
  </si>
  <si>
    <t>Clorox Co</t>
  </si>
  <si>
    <t>Comerica Inc (MI)</t>
  </si>
  <si>
    <t>Cummins Inc</t>
  </si>
  <si>
    <t>CMS Energy Corp</t>
  </si>
  <si>
    <t>Centerpoint Energy Inc</t>
  </si>
  <si>
    <t>Cabot Oil &amp; Gas A</t>
  </si>
  <si>
    <t>Coach Inc</t>
  </si>
  <si>
    <t>Rockwell Collins</t>
  </si>
  <si>
    <t>Salesforce.com</t>
  </si>
  <si>
    <t>Cintas Corp</t>
  </si>
  <si>
    <t>Cognizant Tech Solutions Corp</t>
  </si>
  <si>
    <t>Citrix Systems Inc</t>
  </si>
  <si>
    <t>Dominion Resources Inc</t>
  </si>
  <si>
    <t>Deere &amp; Co</t>
  </si>
  <si>
    <t>Discover Financial Services</t>
  </si>
  <si>
    <t>Danaher Corp</t>
  </si>
  <si>
    <t>Dun &amp; Bradstreet Corp</t>
  </si>
  <si>
    <t>Diamond Offshore Drilling</t>
  </si>
  <si>
    <t>Dover Corp</t>
  </si>
  <si>
    <t>Dr Pepper Snapple Group</t>
  </si>
  <si>
    <t>Darden Restaurants Inc</t>
  </si>
  <si>
    <t>DTE Energy Co</t>
  </si>
  <si>
    <t>Duke Energy Corp</t>
  </si>
  <si>
    <t>eBay Inc.</t>
  </si>
  <si>
    <t>Ecolab Inc</t>
  </si>
  <si>
    <t>Consolidated Edison Inc</t>
  </si>
  <si>
    <t>Equifax Inc</t>
  </si>
  <si>
    <t>Edison Intl</t>
  </si>
  <si>
    <t>Eastman Chemical Co</t>
  </si>
  <si>
    <t>Emerson Electric Co</t>
  </si>
  <si>
    <t>EOG Resources</t>
  </si>
  <si>
    <t>Equity Residential</t>
  </si>
  <si>
    <t>EQT Corporation</t>
  </si>
  <si>
    <t>Electronic Arts</t>
  </si>
  <si>
    <t>E*TRADE Financial Corp</t>
  </si>
  <si>
    <t>Expeditors Intl of WA Inc</t>
  </si>
  <si>
    <t>Expedia</t>
  </si>
  <si>
    <t>Fastenal Co</t>
  </si>
  <si>
    <t>FirstEnergy Corp</t>
  </si>
  <si>
    <t>Fidelity National Information</t>
  </si>
  <si>
    <t>Fiserv Inc</t>
  </si>
  <si>
    <t>Fifth Third Bancorp (OH)</t>
  </si>
  <si>
    <t>FLIR Systems Inc</t>
  </si>
  <si>
    <t>Fluor Corp</t>
  </si>
  <si>
    <t>Flowserve Corp</t>
  </si>
  <si>
    <t>FMC Corp</t>
  </si>
  <si>
    <t>FMC Technologies Inc</t>
  </si>
  <si>
    <t>AAP</t>
  </si>
  <si>
    <t>ADS</t>
  </si>
  <si>
    <t>AME</t>
  </si>
  <si>
    <t>AMG</t>
  </si>
  <si>
    <t>BWA</t>
  </si>
  <si>
    <t>CERN</t>
  </si>
  <si>
    <t>CMG</t>
  </si>
  <si>
    <t>DLTR</t>
  </si>
  <si>
    <t>ENDP</t>
  </si>
  <si>
    <t>EQIX</t>
  </si>
  <si>
    <t>ESS</t>
  </si>
  <si>
    <t>EW</t>
  </si>
  <si>
    <t>FFIV</t>
  </si>
  <si>
    <t>HBI</t>
  </si>
  <si>
    <t>HP</t>
  </si>
  <si>
    <t>HSIC</t>
  </si>
  <si>
    <t>JBHT</t>
  </si>
  <si>
    <t>KMX</t>
  </si>
  <si>
    <t>KSU</t>
  </si>
  <si>
    <t>LRCX</t>
  </si>
  <si>
    <t>MAC</t>
  </si>
  <si>
    <t>MHK</t>
  </si>
  <si>
    <t>MLM</t>
  </si>
  <si>
    <t>NFLX</t>
  </si>
  <si>
    <t>NFX</t>
  </si>
  <si>
    <t>O</t>
  </si>
  <si>
    <t>OKE</t>
  </si>
  <si>
    <t>PCLN</t>
  </si>
  <si>
    <t>PNR</t>
  </si>
  <si>
    <t>PRGO</t>
  </si>
  <si>
    <t>PVH</t>
  </si>
  <si>
    <t>ROP</t>
  </si>
  <si>
    <t>SLG</t>
  </si>
  <si>
    <t>UA</t>
  </si>
  <si>
    <t>UHS</t>
  </si>
  <si>
    <t>URBN</t>
  </si>
  <si>
    <t>URI</t>
  </si>
  <si>
    <t>VRTX</t>
  </si>
  <si>
    <t>--</t>
  </si>
  <si>
    <t>ORCL</t>
  </si>
  <si>
    <t>OXY</t>
  </si>
  <si>
    <t>PEP</t>
  </si>
  <si>
    <t>PFE</t>
  </si>
  <si>
    <t>PG</t>
  </si>
  <si>
    <t>PM</t>
  </si>
  <si>
    <t>QCOM</t>
  </si>
  <si>
    <t>RF</t>
  </si>
  <si>
    <t>RTN</t>
  </si>
  <si>
    <t>SO</t>
  </si>
  <si>
    <t>T</t>
  </si>
  <si>
    <t>TGT</t>
  </si>
  <si>
    <t>TWX</t>
  </si>
  <si>
    <t>TXN</t>
  </si>
  <si>
    <t>UNH</t>
  </si>
  <si>
    <t>UPS</t>
  </si>
  <si>
    <t>USB</t>
  </si>
  <si>
    <t>UTX</t>
  </si>
  <si>
    <t>VZ</t>
  </si>
  <si>
    <t>WFC</t>
  </si>
  <si>
    <t>WMB</t>
  </si>
  <si>
    <t>WMT</t>
  </si>
  <si>
    <t>WY</t>
  </si>
  <si>
    <t>XOM</t>
  </si>
  <si>
    <t>XRX</t>
  </si>
  <si>
    <t>Alcoa Inc</t>
  </si>
  <si>
    <t>Apple Inc.</t>
  </si>
  <si>
    <t>Abbott Laboratories</t>
  </si>
  <si>
    <t>American Electric Power</t>
  </si>
  <si>
    <t>Allstate Corp</t>
  </si>
  <si>
    <t>Amgen Inc</t>
  </si>
  <si>
    <t>Amazon.com Inc</t>
  </si>
  <si>
    <t>American Express Co</t>
  </si>
  <si>
    <t>Boeing Co</t>
  </si>
  <si>
    <t>Bank of America Corp</t>
  </si>
  <si>
    <t>Baxter Intl Inc</t>
  </si>
  <si>
    <t>Baker Hughes Inc</t>
  </si>
  <si>
    <t>The Bank of New York Mellon Corp</t>
  </si>
  <si>
    <t>Bristol-Myers Squibb</t>
  </si>
  <si>
    <t>Citigroup Inc</t>
  </si>
  <si>
    <t>Caterpillar Inc</t>
  </si>
  <si>
    <t>Colgate-Palmolive Co</t>
  </si>
  <si>
    <t>Capital One Financial</t>
  </si>
  <si>
    <t>ConocoPhillips</t>
  </si>
  <si>
    <t>Costco Wholesale Corp</t>
  </si>
  <si>
    <t>Campbell Soup Co</t>
  </si>
  <si>
    <t>Cisco Systems Inc</t>
  </si>
  <si>
    <t>Chevron Corp</t>
  </si>
  <si>
    <t>Walt Disney Co</t>
  </si>
  <si>
    <t>Dow Chemical</t>
  </si>
  <si>
    <t>Devon Energy Corp</t>
  </si>
  <si>
    <t>EMC Corp</t>
  </si>
  <si>
    <t>Entergy Corp</t>
  </si>
  <si>
    <t>Exelon Corp</t>
  </si>
  <si>
    <t>Ford Motor Co</t>
  </si>
  <si>
    <t>FedEx Corp</t>
  </si>
  <si>
    <t>General Dynamics</t>
  </si>
  <si>
    <t>General Electric Co</t>
  </si>
  <si>
    <t>Gilead Sciences Inc</t>
  </si>
  <si>
    <t>Goldman Sachs Group Inc</t>
  </si>
  <si>
    <t>Halliburton Co</t>
  </si>
  <si>
    <t>Home Depot Inc</t>
  </si>
  <si>
    <t>Honeywell Intl Inc</t>
  </si>
  <si>
    <t>Intl Business Machines Corp</t>
  </si>
  <si>
    <t>Intel Corp</t>
  </si>
  <si>
    <t>Johnson &amp; Johnson</t>
  </si>
  <si>
    <t>JP Morgan Chase &amp; Co</t>
  </si>
  <si>
    <t>Coca-Cola Co</t>
  </si>
  <si>
    <t>Lockheed Martin</t>
  </si>
  <si>
    <t>Lowe's Cos Inc</t>
  </si>
  <si>
    <t>Mastercard Inc A</t>
  </si>
  <si>
    <t>McDonald's Corp</t>
  </si>
  <si>
    <t>Metlife Inc</t>
  </si>
  <si>
    <t>3M Co</t>
  </si>
  <si>
    <t>Altria Group Inc</t>
  </si>
  <si>
    <t>Monsanto Co.</t>
  </si>
  <si>
    <t>Merck &amp; Co Inc</t>
  </si>
  <si>
    <t>Morgan Stanley</t>
  </si>
  <si>
    <t>Microsoft Corp</t>
  </si>
  <si>
    <t>NIKE Inc B</t>
  </si>
  <si>
    <t>National Oilwell Varco Inc</t>
  </si>
  <si>
    <t>Norfolk Southern Corp</t>
  </si>
  <si>
    <t>Oracle Corp</t>
  </si>
  <si>
    <t>Occidental Petroleum</t>
  </si>
  <si>
    <t>Abs. Liquidity</t>
  </si>
  <si>
    <t>Wgt. Increase</t>
  </si>
  <si>
    <t>Wgt. Decrease</t>
  </si>
  <si>
    <t># Buys</t>
  </si>
  <si>
    <t># Sells</t>
  </si>
  <si>
    <t>Ticker</t>
  </si>
  <si>
    <t>Cusip</t>
  </si>
  <si>
    <t>Sedol</t>
  </si>
  <si>
    <t>Name</t>
  </si>
  <si>
    <t>Industry Group</t>
  </si>
  <si>
    <t>New Shares Out</t>
  </si>
  <si>
    <t>Old Shares Out</t>
  </si>
  <si>
    <t>Old Float</t>
  </si>
  <si>
    <t>New Float</t>
  </si>
  <si>
    <t>Old Index Shares</t>
  </si>
  <si>
    <t>New Index Shares</t>
  </si>
  <si>
    <t>Old Mkt Cap (MM USD)</t>
  </si>
  <si>
    <t>New Mkt Cap (MM USD)</t>
  </si>
  <si>
    <t>Marketcap</t>
  </si>
  <si>
    <t>AUM%</t>
  </si>
  <si>
    <t>Assets</t>
  </si>
  <si>
    <t>Old S&amp;P 500 CORE Wgt</t>
  </si>
  <si>
    <t>New S&amp;P 500 CORE Wgt</t>
  </si>
  <si>
    <t>S&amp;P 500 CORE Wgt Change</t>
  </si>
  <si>
    <t>S&amp;P 500 CORE Shares to Trade</t>
  </si>
  <si>
    <t>Old S&amp;P 500 GROWTH Wgt</t>
  </si>
  <si>
    <t>New S&amp;P 500 GROWTH Wgt</t>
  </si>
  <si>
    <t>S&amp;P 500 GROWTH Wgt Change</t>
  </si>
  <si>
    <t>S&amp;P 500 GROWTH Shares to Trade</t>
  </si>
  <si>
    <t>Category</t>
  </si>
  <si>
    <t>Old S&amp;P 500 VALUE Wgt</t>
  </si>
  <si>
    <t>New S&amp;P 500 VALUE Wgt</t>
  </si>
  <si>
    <t>S&amp;P 500 VALUE Wgt Change</t>
  </si>
  <si>
    <t>S&amp;P 500 VALUE Shares to Trade</t>
  </si>
  <si>
    <t>NET TOTAL Shares to Trade</t>
  </si>
  <si>
    <t>20D Avg Volume</t>
  </si>
  <si>
    <t>Liquidity</t>
  </si>
  <si>
    <t>S&amp;P 500 CORE Trade Value (MM)</t>
  </si>
  <si>
    <t>S&amp;P 500 GROWTH Trade Value (MM)</t>
  </si>
  <si>
    <t>S&amp;P 500 VALUE Trade Value (MM)</t>
  </si>
  <si>
    <t>NET TOTAL Trade Value (MM)</t>
  </si>
  <si>
    <t>Index</t>
  </si>
  <si>
    <t>S&amp;P 500</t>
  </si>
  <si>
    <t>Float Increase</t>
  </si>
  <si>
    <t>Float Decrease</t>
  </si>
  <si>
    <t>Share Increase</t>
  </si>
  <si>
    <t>Share Decrease</t>
  </si>
  <si>
    <t>Reinvestment</t>
  </si>
  <si>
    <t>Funding</t>
  </si>
  <si>
    <t>Buys</t>
  </si>
  <si>
    <t>Sells</t>
  </si>
  <si>
    <t>Total Trade</t>
  </si>
  <si>
    <t>Two-way Turnover</t>
  </si>
  <si>
    <t>AA</t>
  </si>
  <si>
    <t>AAPL</t>
  </si>
  <si>
    <t>ABT</t>
  </si>
  <si>
    <t>AEP</t>
  </si>
  <si>
    <t>ALL</t>
  </si>
  <si>
    <t>AMGN</t>
  </si>
  <si>
    <t>AMZN</t>
  </si>
  <si>
    <t>AXP</t>
  </si>
  <si>
    <t>BA</t>
  </si>
  <si>
    <t>BAC</t>
  </si>
  <si>
    <t>BAX</t>
  </si>
  <si>
    <t>BHI</t>
  </si>
  <si>
    <t>BK</t>
  </si>
  <si>
    <t>C</t>
  </si>
  <si>
    <t>CAT</t>
  </si>
  <si>
    <t>CL</t>
  </si>
  <si>
    <t>CMCSA</t>
  </si>
  <si>
    <t>COF</t>
  </si>
  <si>
    <t>COP</t>
  </si>
  <si>
    <t>COST</t>
  </si>
  <si>
    <t>CPB</t>
  </si>
  <si>
    <t>CSCO</t>
  </si>
  <si>
    <t>CVS</t>
  </si>
  <si>
    <t>CVX</t>
  </si>
  <si>
    <t>DD</t>
  </si>
  <si>
    <t>DIS</t>
  </si>
  <si>
    <t>DOW</t>
  </si>
  <si>
    <t>DVN</t>
  </si>
  <si>
    <t>EMC</t>
  </si>
  <si>
    <t>ETR</t>
  </si>
  <si>
    <t>EXC</t>
  </si>
  <si>
    <t>F</t>
  </si>
  <si>
    <t>FDX</t>
  </si>
  <si>
    <t>GD</t>
  </si>
  <si>
    <t>GE</t>
  </si>
  <si>
    <t>GILD</t>
  </si>
  <si>
    <t>GOOG</t>
  </si>
  <si>
    <t>GS</t>
  </si>
  <si>
    <t>HAL</t>
  </si>
  <si>
    <t>HD</t>
  </si>
  <si>
    <t>HON</t>
  </si>
  <si>
    <t>HPQ</t>
  </si>
  <si>
    <t>IBM</t>
  </si>
  <si>
    <t>INTC</t>
  </si>
  <si>
    <t>JNJ</t>
  </si>
  <si>
    <t>JPM</t>
  </si>
  <si>
    <t>KO</t>
  </si>
  <si>
    <t>LMT</t>
  </si>
  <si>
    <t>LOW</t>
  </si>
  <si>
    <t>MA</t>
  </si>
  <si>
    <t>MCD</t>
  </si>
  <si>
    <t>MDT</t>
  </si>
  <si>
    <t>MET</t>
  </si>
  <si>
    <t>MMM</t>
  </si>
  <si>
    <t>MO</t>
  </si>
  <si>
    <t>MON</t>
  </si>
  <si>
    <t>MRK</t>
  </si>
  <si>
    <t>MS</t>
  </si>
  <si>
    <t>MSFT</t>
  </si>
  <si>
    <t>NKE</t>
  </si>
  <si>
    <t>NOV</t>
  </si>
  <si>
    <t>NSC</t>
  </si>
  <si>
    <t>SLB</t>
  </si>
  <si>
    <t>Schlumberger Ltd</t>
  </si>
  <si>
    <t>PepsiCo Inc</t>
  </si>
  <si>
    <t>Pfizer Inc</t>
  </si>
  <si>
    <t>Procter &amp; Gamble</t>
  </si>
  <si>
    <t>Philip Morris International</t>
  </si>
  <si>
    <t>QUALCOMM Inc</t>
  </si>
  <si>
    <t>Regions Financial Corp</t>
  </si>
  <si>
    <t>Raytheon Co</t>
  </si>
  <si>
    <t>Southern Co</t>
  </si>
  <si>
    <t>AT&amp;T Inc</t>
  </si>
  <si>
    <t>Target Corp</t>
  </si>
  <si>
    <t>Time Warner Inc</t>
  </si>
  <si>
    <t>Texas Instruments Inc</t>
  </si>
  <si>
    <t>Unitedhealth Group Inc</t>
  </si>
  <si>
    <t>United Parcel Service Inc B</t>
  </si>
  <si>
    <t>US Bancorp</t>
  </si>
  <si>
    <t>United Technologies Corp</t>
  </si>
  <si>
    <t>Verizon Communications Inc</t>
  </si>
  <si>
    <t>Wells Fargo &amp; Co</t>
  </si>
  <si>
    <t>Wal-Mart Stores</t>
  </si>
  <si>
    <t>Weyerhaeuser Co</t>
  </si>
  <si>
    <t>Exxon Mobil Corp</t>
  </si>
  <si>
    <t>Xerox Corp</t>
  </si>
  <si>
    <t>Prim. Ticker</t>
  </si>
  <si>
    <t>AA UN</t>
  </si>
  <si>
    <t>ABT UN</t>
  </si>
  <si>
    <t>AEP UN</t>
  </si>
  <si>
    <t>ALL UN</t>
  </si>
  <si>
    <t>AXP UN</t>
  </si>
  <si>
    <t>BA UN</t>
  </si>
  <si>
    <t>BAC UN</t>
  </si>
  <si>
    <t>BAX UN</t>
  </si>
  <si>
    <t>BHI UN</t>
  </si>
  <si>
    <t>BK UN</t>
  </si>
  <si>
    <t>BMY UN</t>
  </si>
  <si>
    <t>C UN</t>
  </si>
  <si>
    <t>CAT UN</t>
  </si>
  <si>
    <t>CL UN</t>
  </si>
  <si>
    <t>COF UN</t>
  </si>
  <si>
    <t>COP UN</t>
  </si>
  <si>
    <t>CPB UN</t>
  </si>
  <si>
    <t>CVS UN</t>
  </si>
  <si>
    <t>CVX UN</t>
  </si>
  <si>
    <t>DD UN</t>
  </si>
  <si>
    <t>DIS UN</t>
  </si>
  <si>
    <t>DOW UN</t>
  </si>
  <si>
    <t>DVN UN</t>
  </si>
  <si>
    <t>EMC UN</t>
  </si>
  <si>
    <t>ETR UN</t>
  </si>
  <si>
    <t>EXC UN</t>
  </si>
  <si>
    <t>F UN</t>
  </si>
  <si>
    <t>FDX UN</t>
  </si>
  <si>
    <t>GD UN</t>
  </si>
  <si>
    <t>GE UN</t>
  </si>
  <si>
    <t>GS UN</t>
  </si>
  <si>
    <t>HAL UN</t>
  </si>
  <si>
    <t>HD UN</t>
  </si>
  <si>
    <t>HON UN</t>
  </si>
  <si>
    <t>HPQ UN</t>
  </si>
  <si>
    <t>IBM UN</t>
  </si>
  <si>
    <t>JNJ UN</t>
  </si>
  <si>
    <t>JPM UN</t>
  </si>
  <si>
    <t>KO UN</t>
  </si>
  <si>
    <t>LMT UN</t>
  </si>
  <si>
    <t>LOW UN</t>
  </si>
  <si>
    <t>MA UN</t>
  </si>
  <si>
    <t>MCD UN</t>
  </si>
  <si>
    <t>MDT UN</t>
  </si>
  <si>
    <t>MET UN</t>
  </si>
  <si>
    <t>MMM UN</t>
  </si>
  <si>
    <t>MO UN</t>
  </si>
  <si>
    <t>MON UN</t>
  </si>
  <si>
    <t>MRK UN</t>
  </si>
  <si>
    <t>MS UN</t>
  </si>
  <si>
    <t>NKE UN</t>
  </si>
  <si>
    <t>NOV UN</t>
  </si>
  <si>
    <t>NSC UN</t>
  </si>
  <si>
    <t>OXY UN</t>
  </si>
  <si>
    <t>PEP UN</t>
  </si>
  <si>
    <t>PFE UN</t>
  </si>
  <si>
    <t>PG UN</t>
  </si>
  <si>
    <t>PM UN</t>
  </si>
  <si>
    <t>RF UN</t>
  </si>
  <si>
    <t>RTN UN</t>
  </si>
  <si>
    <t>SO UN</t>
  </si>
  <si>
    <t>T UN</t>
  </si>
  <si>
    <t>TGT UN</t>
  </si>
  <si>
    <t>TWX UN</t>
  </si>
  <si>
    <t>UNH UN</t>
  </si>
  <si>
    <t>UPS UN</t>
  </si>
  <si>
    <t>USB UN</t>
  </si>
  <si>
    <t>UTX UN</t>
  </si>
  <si>
    <t>VZ UN</t>
  </si>
  <si>
    <t>WFC UN</t>
  </si>
  <si>
    <t>WMB UN</t>
  </si>
  <si>
    <t>WMT UN</t>
  </si>
  <si>
    <t>WY UN</t>
  </si>
  <si>
    <t>XOM UN</t>
  </si>
  <si>
    <t>XRX UN</t>
  </si>
  <si>
    <t>SLB UN</t>
  </si>
  <si>
    <t>S&amp;P 500 Net Value to Trade</t>
  </si>
  <si>
    <t>Technology Hardware &amp; Equipmen</t>
  </si>
  <si>
    <t>Materials</t>
  </si>
  <si>
    <t>Health Care Equipment &amp; Servic</t>
  </si>
  <si>
    <t>Pharmaceuticals, Biotechnology</t>
  </si>
  <si>
    <t>Software &amp; Services</t>
  </si>
  <si>
    <t>Semiconductors &amp; Semiconductor</t>
  </si>
  <si>
    <t>Food Beverage &amp; Tobacco</t>
  </si>
  <si>
    <t>Utilities</t>
  </si>
  <si>
    <t>Insurance</t>
  </si>
  <si>
    <t>Real Estate</t>
  </si>
  <si>
    <t>Diversified Financials</t>
  </si>
  <si>
    <t>Telecommunication Services</t>
  </si>
  <si>
    <t>Retailing</t>
  </si>
  <si>
    <t>Energy</t>
  </si>
  <si>
    <t>Consumer Services</t>
  </si>
  <si>
    <t>Household &amp; Personal Products</t>
  </si>
  <si>
    <t>Commercial &amp; Professional Serv</t>
  </si>
  <si>
    <t>Capital Goods</t>
  </si>
  <si>
    <t>Banks</t>
  </si>
  <si>
    <t>Consumer Durables &amp; Apparel</t>
  </si>
  <si>
    <t>Transportation</t>
  </si>
  <si>
    <t>Media</t>
  </si>
  <si>
    <t>Food &amp; Staples Retailing</t>
  </si>
  <si>
    <t>Automobiles &amp; Components</t>
  </si>
  <si>
    <t>A</t>
  </si>
  <si>
    <t>ABC</t>
  </si>
  <si>
    <t>ADBE</t>
  </si>
  <si>
    <t>ADI</t>
  </si>
  <si>
    <t>ADM</t>
  </si>
  <si>
    <t>ADP</t>
  </si>
  <si>
    <t>ADSK</t>
  </si>
  <si>
    <t>AEE</t>
  </si>
  <si>
    <t>AES</t>
  </si>
  <si>
    <t>AET</t>
  </si>
  <si>
    <t>AFL</t>
  </si>
  <si>
    <t>AGN</t>
  </si>
  <si>
    <t>AIG</t>
  </si>
  <si>
    <t>AIV</t>
  </si>
  <si>
    <t>AIZ</t>
  </si>
  <si>
    <t>AKAM</t>
  </si>
  <si>
    <t>AMAT</t>
  </si>
  <si>
    <t>AMP</t>
  </si>
  <si>
    <t>AMT</t>
  </si>
  <si>
    <t>AN</t>
  </si>
  <si>
    <t>APA</t>
  </si>
  <si>
    <t>APC</t>
  </si>
  <si>
    <t>APD</t>
  </si>
  <si>
    <t>APH</t>
  </si>
  <si>
    <t>AVB</t>
  </si>
  <si>
    <t>AVY</t>
  </si>
  <si>
    <t>AZO</t>
  </si>
  <si>
    <t>BBBY</t>
  </si>
  <si>
    <t>BBT</t>
  </si>
  <si>
    <t>BBY</t>
  </si>
  <si>
    <t>BCR</t>
  </si>
  <si>
    <t>BDX</t>
  </si>
  <si>
    <t>BEN</t>
  </si>
  <si>
    <t>BF/B</t>
  </si>
  <si>
    <t>BIIB</t>
  </si>
  <si>
    <t>BLL</t>
  </si>
  <si>
    <t>BSX</t>
  </si>
  <si>
    <t>BXP</t>
  </si>
  <si>
    <t>CA</t>
  </si>
  <si>
    <t>CAG</t>
  </si>
  <si>
    <t>CAH</t>
  </si>
  <si>
    <t>CB</t>
  </si>
  <si>
    <t>CBG</t>
  </si>
  <si>
    <t>CBS</t>
  </si>
  <si>
    <t>CCL</t>
  </si>
  <si>
    <t>CELG</t>
  </si>
  <si>
    <t>CF</t>
  </si>
  <si>
    <t>CHK</t>
  </si>
  <si>
    <t>CHRW</t>
  </si>
  <si>
    <t>CI</t>
  </si>
  <si>
    <t>CINF</t>
  </si>
  <si>
    <t>CLX</t>
  </si>
  <si>
    <t>CMA</t>
  </si>
  <si>
    <t>CME</t>
  </si>
  <si>
    <t>CMI</t>
  </si>
  <si>
    <t>CMS</t>
  </si>
  <si>
    <t>CNP</t>
  </si>
  <si>
    <t>COG</t>
  </si>
  <si>
    <t>COH</t>
  </si>
  <si>
    <t>COL</t>
  </si>
  <si>
    <t>CRM</t>
  </si>
  <si>
    <t>CSX</t>
  </si>
  <si>
    <t>CTAS</t>
  </si>
  <si>
    <t>CTL</t>
  </si>
  <si>
    <t>CTSH</t>
  </si>
  <si>
    <t>CTXS</t>
  </si>
  <si>
    <t>D</t>
  </si>
  <si>
    <t>DE</t>
  </si>
  <si>
    <t>DFS</t>
  </si>
  <si>
    <t>DGX</t>
  </si>
  <si>
    <t>DHI</t>
  </si>
  <si>
    <t>DHR</t>
  </si>
  <si>
    <t>DNB</t>
  </si>
  <si>
    <t>DO</t>
  </si>
  <si>
    <t>DOV</t>
  </si>
  <si>
    <t>DPS</t>
  </si>
  <si>
    <t>DRI</t>
  </si>
  <si>
    <t>DTE</t>
  </si>
  <si>
    <t>DUK</t>
  </si>
  <si>
    <t>DVA</t>
  </si>
  <si>
    <t>EBAY</t>
  </si>
  <si>
    <t>ECL</t>
  </si>
  <si>
    <t>ED</t>
  </si>
  <si>
    <t>EFX</t>
  </si>
  <si>
    <t>EIX</t>
  </si>
  <si>
    <t>EL</t>
  </si>
  <si>
    <t>EMN</t>
  </si>
  <si>
    <t>EMR</t>
  </si>
  <si>
    <t>EOG</t>
  </si>
  <si>
    <t>EQR</t>
  </si>
  <si>
    <t>EQT</t>
  </si>
  <si>
    <t>ESRX</t>
  </si>
  <si>
    <t>ETFC</t>
  </si>
  <si>
    <t>ETN</t>
  </si>
  <si>
    <t>EXPD</t>
  </si>
  <si>
    <t>EXPE</t>
  </si>
  <si>
    <t>FAST</t>
  </si>
  <si>
    <t>FCX</t>
  </si>
  <si>
    <t>FE</t>
  </si>
  <si>
    <t>FIS</t>
  </si>
  <si>
    <t>FISV</t>
  </si>
  <si>
    <t>FITB</t>
  </si>
  <si>
    <t>FLIR</t>
  </si>
  <si>
    <t>FLR</t>
  </si>
  <si>
    <t>FLS</t>
  </si>
  <si>
    <t>FMC</t>
  </si>
  <si>
    <t>FTI</t>
  </si>
  <si>
    <t>FTR</t>
  </si>
  <si>
    <t>GIS</t>
  </si>
  <si>
    <t>GLW</t>
  </si>
  <si>
    <t>GPC</t>
  </si>
  <si>
    <t>GPS</t>
  </si>
  <si>
    <t>GT</t>
  </si>
  <si>
    <t>GWW</t>
  </si>
  <si>
    <t>HAR</t>
  </si>
  <si>
    <t>HAS</t>
  </si>
  <si>
    <t>HBAN</t>
  </si>
  <si>
    <t>HCN</t>
  </si>
  <si>
    <t>HCP</t>
  </si>
  <si>
    <t>HES</t>
  </si>
  <si>
    <t>HIG</t>
  </si>
  <si>
    <t>HOG</t>
  </si>
  <si>
    <t>HOT</t>
  </si>
  <si>
    <t>HRB</t>
  </si>
  <si>
    <t>HRL</t>
  </si>
  <si>
    <t>HRS</t>
  </si>
  <si>
    <t>HST</t>
  </si>
  <si>
    <t>HSY</t>
  </si>
  <si>
    <t>HUM</t>
  </si>
  <si>
    <t>ICE</t>
  </si>
  <si>
    <t>IFF</t>
  </si>
  <si>
    <t>INTU</t>
  </si>
  <si>
    <t>IP</t>
  </si>
  <si>
    <t>IPG</t>
  </si>
  <si>
    <t>IRM</t>
  </si>
  <si>
    <t>ISRG</t>
  </si>
  <si>
    <t>ITW</t>
  </si>
  <si>
    <t>IVZ</t>
  </si>
  <si>
    <t>JCI</t>
  </si>
  <si>
    <t>JEC</t>
  </si>
  <si>
    <t>JNPR</t>
  </si>
  <si>
    <t>JWN</t>
  </si>
  <si>
    <t>K</t>
  </si>
  <si>
    <t>KEY</t>
  </si>
  <si>
    <t>KIM</t>
  </si>
  <si>
    <t>KLAC</t>
  </si>
  <si>
    <t>KMB</t>
  </si>
  <si>
    <t>KR</t>
  </si>
  <si>
    <t>KSS</t>
  </si>
  <si>
    <t>L</t>
  </si>
  <si>
    <t>LEG</t>
  </si>
  <si>
    <t>LEN</t>
  </si>
  <si>
    <t>LH</t>
  </si>
  <si>
    <t>LLL</t>
  </si>
  <si>
    <t>LLTC</t>
  </si>
  <si>
    <t>LLY</t>
  </si>
  <si>
    <t>LM</t>
  </si>
  <si>
    <t>LNC</t>
  </si>
  <si>
    <t>LUK</t>
  </si>
  <si>
    <t>LUV</t>
  </si>
  <si>
    <t>M</t>
  </si>
  <si>
    <t>MAR</t>
  </si>
  <si>
    <t>MAS</t>
  </si>
  <si>
    <t>MAT</t>
  </si>
  <si>
    <t>MCHP</t>
  </si>
  <si>
    <t>MCK</t>
  </si>
  <si>
    <t>MCO</t>
  </si>
  <si>
    <t>MKC</t>
  </si>
  <si>
    <t>MMC</t>
  </si>
  <si>
    <t>MRO</t>
  </si>
  <si>
    <t>MTB</t>
  </si>
  <si>
    <t>MU</t>
  </si>
  <si>
    <t>MUR</t>
  </si>
  <si>
    <t>MYL</t>
  </si>
  <si>
    <t>NBL</t>
  </si>
  <si>
    <t>Chipotle Mexican Grill Inc.</t>
  </si>
  <si>
    <t>BRK/B UN</t>
  </si>
  <si>
    <t>DISCA UQ</t>
  </si>
  <si>
    <t>IR UN</t>
  </si>
  <si>
    <t>MJN UN</t>
  </si>
  <si>
    <t>MU UQ</t>
  </si>
  <si>
    <t>NRG UN</t>
  </si>
  <si>
    <t>NEE UN</t>
  </si>
  <si>
    <t>SCHW UN</t>
  </si>
  <si>
    <t>Berkshire Hathaway B</t>
  </si>
  <si>
    <t>CenturyLink Inc</t>
  </si>
  <si>
    <t>Ingersoll-Rand Plc</t>
  </si>
  <si>
    <t>Mead Johnson Nutrition Co</t>
  </si>
  <si>
    <t>NRG Energy</t>
  </si>
  <si>
    <t>NextEra Energy Inc</t>
  </si>
  <si>
    <t>Pulte Group Inc</t>
  </si>
  <si>
    <t>Stanley Black &amp; Decker</t>
  </si>
  <si>
    <t>Viacom Inc B</t>
  </si>
  <si>
    <t>BRK/B</t>
  </si>
  <si>
    <t>DISCA</t>
  </si>
  <si>
    <t>IR</t>
  </si>
  <si>
    <t>MJN</t>
  </si>
  <si>
    <t>NRG</t>
  </si>
  <si>
    <t>NEE</t>
  </si>
  <si>
    <t>ROST</t>
  </si>
  <si>
    <t>V</t>
  </si>
  <si>
    <t>MSI</t>
  </si>
  <si>
    <t>HAS UQ</t>
  </si>
  <si>
    <t>MSI UN</t>
  </si>
  <si>
    <t>PORTFOLIO TOTAL Shares to Trade</t>
  </si>
  <si>
    <t>NET TOTAL Liquidity</t>
  </si>
  <si>
    <t>WFM UQ</t>
  </si>
  <si>
    <t>BLK UN</t>
  </si>
  <si>
    <t>WFM</t>
  </si>
  <si>
    <t>BLK</t>
  </si>
  <si>
    <t>BlackRock Inc</t>
  </si>
  <si>
    <t>MPC UN</t>
  </si>
  <si>
    <t>ACN UN</t>
  </si>
  <si>
    <t>MPC</t>
  </si>
  <si>
    <t>ACN</t>
  </si>
  <si>
    <t>Marathon Petroleum Corp.</t>
  </si>
  <si>
    <t>PVH Corp</t>
  </si>
  <si>
    <t>MOS UN</t>
  </si>
  <si>
    <t>TEL UN</t>
  </si>
  <si>
    <t>VIAB UQ</t>
  </si>
  <si>
    <t>XYL UN</t>
  </si>
  <si>
    <t>Cigna Corporation</t>
  </si>
  <si>
    <t>Mosaic Co</t>
  </si>
  <si>
    <t>TE Connectivity Ltd.</t>
  </si>
  <si>
    <t>Xylem Inc</t>
  </si>
  <si>
    <t>MOS</t>
  </si>
  <si>
    <t>TEL</t>
  </si>
  <si>
    <t>VIAB</t>
  </si>
  <si>
    <t>XYL</t>
  </si>
  <si>
    <t>SIG UN</t>
  </si>
  <si>
    <t>Signet Jewelers Ltd</t>
  </si>
  <si>
    <t>SIG</t>
  </si>
  <si>
    <t>EA UQ</t>
  </si>
  <si>
    <t>FTR UQ</t>
  </si>
  <si>
    <t>TXN UQ</t>
  </si>
  <si>
    <t>TRIP UQ</t>
  </si>
  <si>
    <t>EA</t>
  </si>
  <si>
    <t>TRIP</t>
  </si>
  <si>
    <t>The Williams Companies Inc</t>
  </si>
  <si>
    <t>MNST UQ</t>
  </si>
  <si>
    <t>MNST</t>
  </si>
  <si>
    <t>ALXN UQ</t>
  </si>
  <si>
    <t>ADI UQ</t>
  </si>
  <si>
    <t>CCI UN</t>
  </si>
  <si>
    <t>KMI UN</t>
  </si>
  <si>
    <t>PSX UN</t>
  </si>
  <si>
    <t>WDC UQ</t>
  </si>
  <si>
    <t>ALXN</t>
  </si>
  <si>
    <t>CCI</t>
  </si>
  <si>
    <t>KMI</t>
  </si>
  <si>
    <t>PSX</t>
  </si>
  <si>
    <t>Alexion Pharmaceuticals Inc</t>
  </si>
  <si>
    <t>Aon plc</t>
  </si>
  <si>
    <t>Crown Castle Intl Corp</t>
  </si>
  <si>
    <t>Express Scripts Holding Co.</t>
  </si>
  <si>
    <t>Kinder Morgan Inc</t>
  </si>
  <si>
    <t>Phillips 66</t>
  </si>
  <si>
    <t>Source: S&amp;P, Bloomberg</t>
  </si>
  <si>
    <t>DG</t>
  </si>
  <si>
    <t>GRMN</t>
  </si>
  <si>
    <t>LYB</t>
  </si>
  <si>
    <t>MDLZ</t>
  </si>
  <si>
    <t>STX</t>
  </si>
  <si>
    <t>DG UN</t>
  </si>
  <si>
    <t>GRMN UQ</t>
  </si>
  <si>
    <t>LYB UN</t>
  </si>
  <si>
    <t>MDLZ UQ</t>
  </si>
  <si>
    <t>STX UQ</t>
  </si>
  <si>
    <t>DaVita HealthCare Partners Inc</t>
  </si>
  <si>
    <t>Dollar General Corp</t>
  </si>
  <si>
    <t>E. I. du Pont de Nemours and Company</t>
  </si>
  <si>
    <t>Eaton Corp plc</t>
  </si>
  <si>
    <t>Garmin Ltd</t>
  </si>
  <si>
    <t>LyondellBasell Industries N.V.</t>
  </si>
  <si>
    <t>Mondelez International Inc</t>
  </si>
  <si>
    <t>Seagate Technology</t>
  </si>
  <si>
    <t>Bard C.R. Inc</t>
  </si>
  <si>
    <t>Becton Dickinson &amp; Co</t>
  </si>
  <si>
    <t>CBRE Group Inc.</t>
  </si>
  <si>
    <t>Grainger W.W. Inc</t>
  </si>
  <si>
    <t>Horton D.R. Inc</t>
  </si>
  <si>
    <t>Lilly Eli &amp; Co</t>
  </si>
  <si>
    <t>Motorola Solutions Inc</t>
  </si>
  <si>
    <t>ProLogis Inc</t>
  </si>
  <si>
    <t>Schwab Charles Corp</t>
  </si>
  <si>
    <t>Smucker J.M. Co</t>
  </si>
  <si>
    <t>Hunt J.B. Transport Services</t>
  </si>
  <si>
    <t>Schein Henry Inc</t>
  </si>
  <si>
    <t>ABBV UN</t>
  </si>
  <si>
    <t>DLPH UN</t>
  </si>
  <si>
    <t>GT UQ</t>
  </si>
  <si>
    <t>ABBV</t>
  </si>
  <si>
    <t>DLPH</t>
  </si>
  <si>
    <t>AbbVie Inc.</t>
  </si>
  <si>
    <t>Delphi Automotive PLC</t>
  </si>
  <si>
    <t>L Brands Inc</t>
  </si>
  <si>
    <t>GM</t>
  </si>
  <si>
    <t>GM UN</t>
  </si>
  <si>
    <t>NLSN UN</t>
  </si>
  <si>
    <t>NLSN</t>
  </si>
  <si>
    <t>ORCL UN</t>
  </si>
  <si>
    <t>FOXA</t>
  </si>
  <si>
    <t>PRGO UN</t>
  </si>
  <si>
    <t>ZTS UN</t>
  </si>
  <si>
    <t>ZTS</t>
  </si>
  <si>
    <t>General Motors Company</t>
  </si>
  <si>
    <t>Zoetis Inc</t>
  </si>
  <si>
    <t>MNK</t>
  </si>
  <si>
    <t>Mallinckrodt plc</t>
  </si>
  <si>
    <t>Endo International plc</t>
  </si>
  <si>
    <t>AME UN</t>
  </si>
  <si>
    <t>AMG UN</t>
  </si>
  <si>
    <t>ALLE UN</t>
  </si>
  <si>
    <t>ADS UN</t>
  </si>
  <si>
    <t>AVGO UQ</t>
  </si>
  <si>
    <t>XEC UN</t>
  </si>
  <si>
    <t>DAL UN</t>
  </si>
  <si>
    <t>DISCK UQ</t>
  </si>
  <si>
    <t>ESS UN</t>
  </si>
  <si>
    <t>FB UQ</t>
  </si>
  <si>
    <t>GGP UN</t>
  </si>
  <si>
    <t>GOOGL UQ</t>
  </si>
  <si>
    <t>LB UN</t>
  </si>
  <si>
    <t>MNK UN</t>
  </si>
  <si>
    <t>MAR UQ</t>
  </si>
  <si>
    <t>MLM UN</t>
  </si>
  <si>
    <t>KORS UN</t>
  </si>
  <si>
    <t>MHK UN</t>
  </si>
  <si>
    <t>NAVI UQ</t>
  </si>
  <si>
    <t>TSCO UQ</t>
  </si>
  <si>
    <t>RIG UN</t>
  </si>
  <si>
    <t>UA UN</t>
  </si>
  <si>
    <t>VRTX UQ</t>
  </si>
  <si>
    <t>ALLE</t>
  </si>
  <si>
    <t>AVGO</t>
  </si>
  <si>
    <t>DAL</t>
  </si>
  <si>
    <t>DISCK</t>
  </si>
  <si>
    <t>FB</t>
  </si>
  <si>
    <t>GGP</t>
  </si>
  <si>
    <t>GOOGL</t>
  </si>
  <si>
    <t>LB</t>
  </si>
  <si>
    <t>KORS</t>
  </si>
  <si>
    <t>NAVI</t>
  </si>
  <si>
    <t>RIG</t>
  </si>
  <si>
    <t>Allegion plc</t>
  </si>
  <si>
    <t>Delta Air Lines</t>
  </si>
  <si>
    <t>Freeport-McMoRan Inc</t>
  </si>
  <si>
    <t>General Growth Properties Inc</t>
  </si>
  <si>
    <t>Intercontinental Exchange Inc</t>
  </si>
  <si>
    <t>Michael Kors Holdings Ltd</t>
  </si>
  <si>
    <t>Navient Corp</t>
  </si>
  <si>
    <t>Pentair PLC</t>
  </si>
  <si>
    <t>Perrigo Company plc</t>
  </si>
  <si>
    <t>The Priceline Group Inc</t>
  </si>
  <si>
    <t>Transocean Ltd</t>
  </si>
  <si>
    <t>AAL UQ</t>
  </si>
  <si>
    <t>ANTM UN</t>
  </si>
  <si>
    <t>ES UN</t>
  </si>
  <si>
    <t>HCA UN</t>
  </si>
  <si>
    <t>KHC UQ</t>
  </si>
  <si>
    <t>LVLT UN</t>
  </si>
  <si>
    <t>PYPL UQ</t>
  </si>
  <si>
    <t>RCL UN</t>
  </si>
  <si>
    <t>TGNA UN</t>
  </si>
  <si>
    <t>WBA UQ</t>
  </si>
  <si>
    <t>WRK UN</t>
  </si>
  <si>
    <t>ZBH UN</t>
  </si>
  <si>
    <t>AAL</t>
  </si>
  <si>
    <t>ANTM</t>
  </si>
  <si>
    <t>ES</t>
  </si>
  <si>
    <t>HCA</t>
  </si>
  <si>
    <t>KHC</t>
  </si>
  <si>
    <t>LVLT</t>
  </si>
  <si>
    <t>PYPL</t>
  </si>
  <si>
    <t>QRVO</t>
  </si>
  <si>
    <t>RCL</t>
  </si>
  <si>
    <t>TGNA</t>
  </si>
  <si>
    <t>WBA</t>
  </si>
  <si>
    <t>WRK</t>
  </si>
  <si>
    <t>ZBH</t>
  </si>
  <si>
    <t>American Airlines Group Inc.</t>
  </si>
  <si>
    <t>Allergan plc</t>
  </si>
  <si>
    <t>Anthem Inc</t>
  </si>
  <si>
    <t>Biogen Inc</t>
  </si>
  <si>
    <t>CVS Health Corporation</t>
  </si>
  <si>
    <t>Discovery Communications Inc A</t>
  </si>
  <si>
    <t>Discovery Communications Inc C</t>
  </si>
  <si>
    <t>Eversource Energy</t>
  </si>
  <si>
    <t>HCA Holdings Inc</t>
  </si>
  <si>
    <t>The Kraft Heinz Company</t>
  </si>
  <si>
    <t>Level 3 Communications</t>
  </si>
  <si>
    <t>Medtronic plc</t>
  </si>
  <si>
    <t>Monster Beverage Corp New</t>
  </si>
  <si>
    <t>Mylan NV</t>
  </si>
  <si>
    <t>PayPal Holdings Inc.</t>
  </si>
  <si>
    <t>Royal Caribbean Cruises Ltd</t>
  </si>
  <si>
    <t>TEGNA Inc</t>
  </si>
  <si>
    <t>Walgreens Boots Alliance Inc</t>
  </si>
  <si>
    <t>WEC Energy Group Inc</t>
  </si>
  <si>
    <t>WestRock Co</t>
  </si>
  <si>
    <t>Zimmer Biomet Holdings Inc</t>
  </si>
  <si>
    <t>FOX</t>
  </si>
  <si>
    <t>NWS</t>
  </si>
  <si>
    <t>Comcast Corp A</t>
  </si>
  <si>
    <t>S&amp;P 500 Index September 2016 Annual Float Review &amp; Quarterly Share Rebalance (PROJECTIONS)</t>
  </si>
  <si>
    <t>Effective at the close on September 16, 2016</t>
  </si>
  <si>
    <t>Price (29Aug16)</t>
  </si>
  <si>
    <t>Note: S&amp;P Annual Float Review and Quarterly Share Rebalance changes will be announced after the U.S. close on September 2, 2016. Trade values are measured in millions of USD.</t>
  </si>
  <si>
    <t>HOLX UQ</t>
  </si>
  <si>
    <t>CSRA UN</t>
  </si>
  <si>
    <t>FTV UN</t>
  </si>
  <si>
    <t>ATVI UQ</t>
  </si>
  <si>
    <t>FRT UN</t>
  </si>
  <si>
    <t>VRSK UQ</t>
  </si>
  <si>
    <t>CHD UN</t>
  </si>
  <si>
    <t>TDG UN</t>
  </si>
  <si>
    <t>UA/C UN</t>
  </si>
  <si>
    <t>CXO UN</t>
  </si>
  <si>
    <t>ROP UN</t>
  </si>
  <si>
    <t>AYI UN</t>
  </si>
  <si>
    <t>LKQ UQ</t>
  </si>
  <si>
    <t>FBHS UN</t>
  </si>
  <si>
    <t>EXR UN</t>
  </si>
  <si>
    <t>HPE UN</t>
  </si>
  <si>
    <t>CNC UN</t>
  </si>
  <si>
    <t>AWK UN</t>
  </si>
  <si>
    <t>LNT UN</t>
  </si>
  <si>
    <t>UDR UN</t>
  </si>
  <si>
    <t>SYF UN</t>
  </si>
  <si>
    <t>SPGI UN</t>
  </si>
  <si>
    <t>NWS UQ</t>
  </si>
  <si>
    <t>DLR UN</t>
  </si>
  <si>
    <t>AJG UN</t>
  </si>
  <si>
    <t>SNI UQ</t>
  </si>
  <si>
    <t>QRVO UQ</t>
  </si>
  <si>
    <t>ALB UN</t>
  </si>
  <si>
    <t>ALK UN</t>
  </si>
  <si>
    <t>GPN UN</t>
  </si>
  <si>
    <t>WLTW UQ</t>
  </si>
  <si>
    <t>ULTA UQ</t>
  </si>
  <si>
    <t>ILMN UQ</t>
  </si>
  <si>
    <t>FL UN</t>
  </si>
  <si>
    <t>MTD UN</t>
  </si>
  <si>
    <t>CSX UQ</t>
  </si>
  <si>
    <t>CFG UN</t>
  </si>
  <si>
    <t>FOXA UQ</t>
  </si>
  <si>
    <t>UAL UN</t>
  </si>
  <si>
    <t>FOX UQ</t>
  </si>
  <si>
    <t>HOLX</t>
  </si>
  <si>
    <t>CSRA</t>
  </si>
  <si>
    <t>FTV</t>
  </si>
  <si>
    <t>ATVI</t>
  </si>
  <si>
    <t>FRT</t>
  </si>
  <si>
    <t>VRSK</t>
  </si>
  <si>
    <t>CHD</t>
  </si>
  <si>
    <t>TDG</t>
  </si>
  <si>
    <t>UA/C</t>
  </si>
  <si>
    <t>CXO</t>
  </si>
  <si>
    <t>AYI</t>
  </si>
  <si>
    <t>LKQ</t>
  </si>
  <si>
    <t>FBHS</t>
  </si>
  <si>
    <t>EXR</t>
  </si>
  <si>
    <t>HPE</t>
  </si>
  <si>
    <t>CNC</t>
  </si>
  <si>
    <t>AWK</t>
  </si>
  <si>
    <t>LNT</t>
  </si>
  <si>
    <t>UDR</t>
  </si>
  <si>
    <t>SYF</t>
  </si>
  <si>
    <t>SPGI</t>
  </si>
  <si>
    <t>DLR</t>
  </si>
  <si>
    <t>AJG</t>
  </si>
  <si>
    <t>ALB</t>
  </si>
  <si>
    <t>ALK</t>
  </si>
  <si>
    <t>GPN</t>
  </si>
  <si>
    <t>WLTW</t>
  </si>
  <si>
    <t>ULTA</t>
  </si>
  <si>
    <t>ILMN</t>
  </si>
  <si>
    <t>FL</t>
  </si>
  <si>
    <t>MTD</t>
  </si>
  <si>
    <t>CFG</t>
  </si>
  <si>
    <t>UAL</t>
  </si>
  <si>
    <t>009158106</t>
  </si>
  <si>
    <t>436440101</t>
  </si>
  <si>
    <t>540424108</t>
  </si>
  <si>
    <t>816851109</t>
  </si>
  <si>
    <t>Y09827109</t>
  </si>
  <si>
    <t>98978V103</t>
  </si>
  <si>
    <t>12673P105</t>
  </si>
  <si>
    <t>48203R104</t>
  </si>
  <si>
    <t>134429109</t>
  </si>
  <si>
    <t>92276F100</t>
  </si>
  <si>
    <t>237194105</t>
  </si>
  <si>
    <t>60871R209</t>
  </si>
  <si>
    <t>842587107</t>
  </si>
  <si>
    <t>49456B101</t>
  </si>
  <si>
    <t>12650T104</t>
  </si>
  <si>
    <t>40412C101</t>
  </si>
  <si>
    <t>09247X101</t>
  </si>
  <si>
    <t>70450Y103</t>
  </si>
  <si>
    <t>847560109</t>
  </si>
  <si>
    <t>828806109</t>
  </si>
  <si>
    <t>418056107</t>
  </si>
  <si>
    <t>42809H107</t>
  </si>
  <si>
    <t>12504L109</t>
  </si>
  <si>
    <t>918204108</t>
  </si>
  <si>
    <t>29444U700</t>
  </si>
  <si>
    <t>023135106</t>
  </si>
  <si>
    <t>626717102</t>
  </si>
  <si>
    <t>25746U109</t>
  </si>
  <si>
    <t>723787107</t>
  </si>
  <si>
    <t>69331C108</t>
  </si>
  <si>
    <t>34959J108</t>
  </si>
  <si>
    <t>46120E602</t>
  </si>
  <si>
    <t>00507V109</t>
  </si>
  <si>
    <t>654106103</t>
  </si>
  <si>
    <t>084670702</t>
  </si>
  <si>
    <t>00287Y109</t>
  </si>
  <si>
    <t>370334104</t>
  </si>
  <si>
    <t>91324P102</t>
  </si>
  <si>
    <t>742718109</t>
  </si>
  <si>
    <t>G0408V102</t>
  </si>
  <si>
    <t>37045V100</t>
  </si>
  <si>
    <t>845467109</t>
  </si>
  <si>
    <t>313747206</t>
  </si>
  <si>
    <t>205887102</t>
  </si>
  <si>
    <t>883556102</t>
  </si>
  <si>
    <t>H1467J104</t>
  </si>
  <si>
    <t>032095101</t>
  </si>
  <si>
    <t>92345Y106</t>
  </si>
  <si>
    <t>02079K305</t>
  </si>
  <si>
    <t>21036P108</t>
  </si>
  <si>
    <t>235851102</t>
  </si>
  <si>
    <t>31620M106</t>
  </si>
  <si>
    <t>260543103</t>
  </si>
  <si>
    <t>714046109</t>
  </si>
  <si>
    <t>263534109</t>
  </si>
  <si>
    <t>075887109</t>
  </si>
  <si>
    <t>718172109</t>
  </si>
  <si>
    <t>911312106</t>
  </si>
  <si>
    <t>172062101</t>
  </si>
  <si>
    <t>053015103</t>
  </si>
  <si>
    <t>883203101</t>
  </si>
  <si>
    <t>28176E108</t>
  </si>
  <si>
    <t>609207105</t>
  </si>
  <si>
    <t>03027X100</t>
  </si>
  <si>
    <t>294429105</t>
  </si>
  <si>
    <t>30231G102</t>
  </si>
  <si>
    <t>166764100</t>
  </si>
  <si>
    <t>458140100</t>
  </si>
  <si>
    <t>171340102</t>
  </si>
  <si>
    <t>824348106</t>
  </si>
  <si>
    <t>893641100</t>
  </si>
  <si>
    <t>747525103</t>
  </si>
  <si>
    <t>101137107</t>
  </si>
  <si>
    <t>30212P303</t>
  </si>
  <si>
    <t>N59465109</t>
  </si>
  <si>
    <t>756109104</t>
  </si>
  <si>
    <t>631103108</t>
  </si>
  <si>
    <t>962166104</t>
  </si>
  <si>
    <t>92343V104</t>
  </si>
  <si>
    <t>12572Q105</t>
  </si>
  <si>
    <t>969457100</t>
  </si>
  <si>
    <t>58155Q103</t>
  </si>
  <si>
    <t>500754106</t>
  </si>
  <si>
    <t>904311206</t>
  </si>
  <si>
    <t>95040Q104</t>
  </si>
  <si>
    <t>806857108</t>
  </si>
  <si>
    <t>913017109</t>
  </si>
  <si>
    <t>30303M102</t>
  </si>
  <si>
    <t>22822V101</t>
  </si>
  <si>
    <t>931427108</t>
  </si>
  <si>
    <t>92532F100</t>
  </si>
  <si>
    <t>20605P101</t>
  </si>
  <si>
    <t>65339F101</t>
  </si>
  <si>
    <t>02079K107</t>
  </si>
  <si>
    <t>532457108</t>
  </si>
  <si>
    <t>854502101</t>
  </si>
  <si>
    <t>101121101</t>
  </si>
  <si>
    <t>98956P102</t>
  </si>
  <si>
    <t>478366107</t>
  </si>
  <si>
    <t>717081103</t>
  </si>
  <si>
    <t>02209S103</t>
  </si>
  <si>
    <t>22160K105</t>
  </si>
  <si>
    <t>297178105</t>
  </si>
  <si>
    <t>776696106</t>
  </si>
  <si>
    <t>00508Y102</t>
  </si>
  <si>
    <t>704326107</t>
  </si>
  <si>
    <t>52729N308</t>
  </si>
  <si>
    <t>053484101</t>
  </si>
  <si>
    <t>45866F104</t>
  </si>
  <si>
    <t>501889208</t>
  </si>
  <si>
    <t>74144T108</t>
  </si>
  <si>
    <t>00206R102</t>
  </si>
  <si>
    <t>025537101</t>
  </si>
  <si>
    <t>34964C106</t>
  </si>
  <si>
    <t>067383109</t>
  </si>
  <si>
    <t>G0176J109</t>
  </si>
  <si>
    <t>855030102</t>
  </si>
  <si>
    <t>177376100</t>
  </si>
  <si>
    <t>125896100</t>
  </si>
  <si>
    <t>693506107</t>
  </si>
  <si>
    <t>913903100</t>
  </si>
  <si>
    <t>958102105</t>
  </si>
  <si>
    <t>502424104</t>
  </si>
  <si>
    <t>85590A401</t>
  </si>
  <si>
    <t>30225T102</t>
  </si>
  <si>
    <t>268648102</t>
  </si>
  <si>
    <t>G47791101</t>
  </si>
  <si>
    <t>98419M100</t>
  </si>
  <si>
    <t>855244109</t>
  </si>
  <si>
    <t>29364G103</t>
  </si>
  <si>
    <t>69351T106</t>
  </si>
  <si>
    <t>80589M102</t>
  </si>
  <si>
    <t>61166W101</t>
  </si>
  <si>
    <t>651290108</t>
  </si>
  <si>
    <t>281020107</t>
  </si>
  <si>
    <t>438516106</t>
  </si>
  <si>
    <t>26441C204</t>
  </si>
  <si>
    <t>151020104</t>
  </si>
  <si>
    <t>015351109</t>
  </si>
  <si>
    <t>00817Y108</t>
  </si>
  <si>
    <t>194162103</t>
  </si>
  <si>
    <t>209115104</t>
  </si>
  <si>
    <t>74005P104</t>
  </si>
  <si>
    <t>693718108</t>
  </si>
  <si>
    <t>674599105</t>
  </si>
  <si>
    <t>30040W108</t>
  </si>
  <si>
    <t>192446102</t>
  </si>
  <si>
    <t>42824C109</t>
  </si>
  <si>
    <t>723484101</t>
  </si>
  <si>
    <t>149123101</t>
  </si>
  <si>
    <t>189054109</t>
  </si>
  <si>
    <t>49446R109</t>
  </si>
  <si>
    <t>46284V101</t>
  </si>
  <si>
    <t>17275R102</t>
  </si>
  <si>
    <t>61174X109</t>
  </si>
  <si>
    <t>26875P101</t>
  </si>
  <si>
    <t>406216101</t>
  </si>
  <si>
    <t>670346105</t>
  </si>
  <si>
    <t>037411105</t>
  </si>
  <si>
    <t>14040H105</t>
  </si>
  <si>
    <t>761713106</t>
  </si>
  <si>
    <t>74340W103</t>
  </si>
  <si>
    <t>036752103</t>
  </si>
  <si>
    <t>125509109</t>
  </si>
  <si>
    <t>26483E100</t>
  </si>
  <si>
    <t>74460D109</t>
  </si>
  <si>
    <t>92939U106</t>
  </si>
  <si>
    <t>311900104</t>
  </si>
  <si>
    <t>744573106</t>
  </si>
  <si>
    <t>15135B101</t>
  </si>
  <si>
    <t>29476L107</t>
  </si>
  <si>
    <t>260003108</t>
  </si>
  <si>
    <t>233331107</t>
  </si>
  <si>
    <t>78440X101</t>
  </si>
  <si>
    <t>40414L109</t>
  </si>
  <si>
    <t>291011104</t>
  </si>
  <si>
    <t>008252108</t>
  </si>
  <si>
    <t>030420103</t>
  </si>
  <si>
    <t>98389B100</t>
  </si>
  <si>
    <t>20825C104</t>
  </si>
  <si>
    <t>023608102</t>
  </si>
  <si>
    <t>535678106</t>
  </si>
  <si>
    <t>018802108</t>
  </si>
  <si>
    <t>487836108</t>
  </si>
  <si>
    <t>902653104</t>
  </si>
  <si>
    <t>002824100</t>
  </si>
  <si>
    <t>655044105</t>
  </si>
  <si>
    <t>171798101</t>
  </si>
  <si>
    <t>30161N101</t>
  </si>
  <si>
    <t>882508104</t>
  </si>
  <si>
    <t>92553P201</t>
  </si>
  <si>
    <t>337932107</t>
  </si>
  <si>
    <t>58933Y105</t>
  </si>
  <si>
    <t>548661107</t>
  </si>
  <si>
    <t>690768403</t>
  </si>
  <si>
    <t>302491303</t>
  </si>
  <si>
    <t>892356106</t>
  </si>
  <si>
    <t>00130H105</t>
  </si>
  <si>
    <t>712704105</t>
  </si>
  <si>
    <t>032654105</t>
  </si>
  <si>
    <t>577081102</t>
  </si>
  <si>
    <t>891906109</t>
  </si>
  <si>
    <t>595017104</t>
  </si>
  <si>
    <t>444859102</t>
  </si>
  <si>
    <t>G0177J108</t>
  </si>
  <si>
    <t>460146103</t>
  </si>
  <si>
    <t>87165B103</t>
  </si>
  <si>
    <t>931142103</t>
  </si>
  <si>
    <t>G1151C101</t>
  </si>
  <si>
    <t>G7945M107</t>
  </si>
  <si>
    <t>637071101</t>
  </si>
  <si>
    <t>34354P105</t>
  </si>
  <si>
    <t>682680103</t>
  </si>
  <si>
    <t>494368103</t>
  </si>
  <si>
    <t>512807108</t>
  </si>
  <si>
    <t>369550108</t>
  </si>
  <si>
    <t>59156R108</t>
  </si>
  <si>
    <t>989701107</t>
  </si>
  <si>
    <t>65473P105</t>
  </si>
  <si>
    <t>03748R101</t>
  </si>
  <si>
    <t>79466L302</t>
  </si>
  <si>
    <t>058498106</t>
  </si>
  <si>
    <t>651229106</t>
  </si>
  <si>
    <t>871503108</t>
  </si>
  <si>
    <t>445658107</t>
  </si>
  <si>
    <t>191216100</t>
  </si>
  <si>
    <t>482480100</t>
  </si>
  <si>
    <t>78409V104</t>
  </si>
  <si>
    <t>343412102</t>
  </si>
  <si>
    <t>25470F302</t>
  </si>
  <si>
    <t>032511107</t>
  </si>
  <si>
    <t>40434L105</t>
  </si>
  <si>
    <t>65249B208</t>
  </si>
  <si>
    <t>345370860</t>
  </si>
  <si>
    <t>984332106</t>
  </si>
  <si>
    <t>09062X103</t>
  </si>
  <si>
    <t>579780206</t>
  </si>
  <si>
    <t>156700106</t>
  </si>
  <si>
    <t>165167107</t>
  </si>
  <si>
    <t>743315103</t>
  </si>
  <si>
    <t>459506101</t>
  </si>
  <si>
    <t>88076W103</t>
  </si>
  <si>
    <t>65249B109</t>
  </si>
  <si>
    <t>189754104</t>
  </si>
  <si>
    <t>485170302</t>
  </si>
  <si>
    <t>253868103</t>
  </si>
  <si>
    <t>50540R409</t>
  </si>
  <si>
    <t>110122108</t>
  </si>
  <si>
    <t>363576109</t>
  </si>
  <si>
    <t>811065101</t>
  </si>
  <si>
    <t>013817101</t>
  </si>
  <si>
    <t>12541W209</t>
  </si>
  <si>
    <t>23918K108</t>
  </si>
  <si>
    <t>26884L109</t>
  </si>
  <si>
    <t>410345102</t>
  </si>
  <si>
    <t>833034101</t>
  </si>
  <si>
    <t>790849103</t>
  </si>
  <si>
    <t>74736K101</t>
  </si>
  <si>
    <t>629377508</t>
  </si>
  <si>
    <t>858912108</t>
  </si>
  <si>
    <t>127097103</t>
  </si>
  <si>
    <t>440452100</t>
  </si>
  <si>
    <t>983919101</t>
  </si>
  <si>
    <t>526057104</t>
  </si>
  <si>
    <t>012653101</t>
  </si>
  <si>
    <t>929160109</t>
  </si>
  <si>
    <t>75281A109</t>
  </si>
  <si>
    <t>256746108</t>
  </si>
  <si>
    <t>075896100</t>
  </si>
  <si>
    <t>774341101</t>
  </si>
  <si>
    <t>61945C103</t>
  </si>
  <si>
    <t>427866108</t>
  </si>
  <si>
    <t>G27823106</t>
  </si>
  <si>
    <t>651639106</t>
  </si>
  <si>
    <t>316773100</t>
  </si>
  <si>
    <t>703395103</t>
  </si>
  <si>
    <t>25470F104</t>
  </si>
  <si>
    <t>423452101</t>
  </si>
  <si>
    <t>573284106</t>
  </si>
  <si>
    <t>00751Y106</t>
  </si>
  <si>
    <t>15189T107</t>
  </si>
  <si>
    <t>756577102</t>
  </si>
  <si>
    <t>011659109</t>
  </si>
  <si>
    <t>02376R102</t>
  </si>
  <si>
    <t>904311107</t>
  </si>
  <si>
    <t>37940X102</t>
  </si>
  <si>
    <t>74762E102</t>
  </si>
  <si>
    <t>64110L106</t>
  </si>
  <si>
    <t>26138E109</t>
  </si>
  <si>
    <t>446150104</t>
  </si>
  <si>
    <t>25179M103</t>
  </si>
  <si>
    <t>595112103</t>
  </si>
  <si>
    <t>V7780T103</t>
  </si>
  <si>
    <t>35906A108</t>
  </si>
  <si>
    <t>G97822103</t>
  </si>
  <si>
    <t>493267108</t>
  </si>
  <si>
    <t>G96629103</t>
  </si>
  <si>
    <t>302445101</t>
  </si>
  <si>
    <t>56585A102</t>
  </si>
  <si>
    <t>81211K100</t>
  </si>
  <si>
    <t>896945201</t>
  </si>
  <si>
    <t>G81276100</t>
  </si>
  <si>
    <t>565849106</t>
  </si>
  <si>
    <t>90384S303</t>
  </si>
  <si>
    <t>125269100</t>
  </si>
  <si>
    <t>55616P104</t>
  </si>
  <si>
    <t>500255104</t>
  </si>
  <si>
    <t>364760108</t>
  </si>
  <si>
    <t>693656100</t>
  </si>
  <si>
    <t>25271C102</t>
  </si>
  <si>
    <t>H8817H100</t>
  </si>
  <si>
    <t>88579Y101</t>
  </si>
  <si>
    <t>285512109</t>
  </si>
  <si>
    <t>806407102</t>
  </si>
  <si>
    <t>713448108</t>
  </si>
  <si>
    <t>30249U101</t>
  </si>
  <si>
    <t>169656105</t>
  </si>
  <si>
    <t>053611109</t>
  </si>
  <si>
    <t>031162100</t>
  </si>
  <si>
    <t>00724F101</t>
  </si>
  <si>
    <t>783549108</t>
  </si>
  <si>
    <t>452327109</t>
  </si>
  <si>
    <t>741503403</t>
  </si>
  <si>
    <t>469814107</t>
  </si>
  <si>
    <t>413875105</t>
  </si>
  <si>
    <t>30219G108</t>
  </si>
  <si>
    <t>031100100</t>
  </si>
  <si>
    <t>460690100</t>
  </si>
  <si>
    <t>96145D105</t>
  </si>
  <si>
    <t>344849104</t>
  </si>
  <si>
    <t>00971T101</t>
  </si>
  <si>
    <t>501044101</t>
  </si>
  <si>
    <t>336433107</t>
  </si>
  <si>
    <t>94106L109</t>
  </si>
  <si>
    <t>524660107</t>
  </si>
  <si>
    <t>966837106</t>
  </si>
  <si>
    <t>256677105</t>
  </si>
  <si>
    <t>018581108</t>
  </si>
  <si>
    <t>67066G104</t>
  </si>
  <si>
    <t>24906P109</t>
  </si>
  <si>
    <t>745867101</t>
  </si>
  <si>
    <t>778296103</t>
  </si>
  <si>
    <t>701094104</t>
  </si>
  <si>
    <t>886547108</t>
  </si>
  <si>
    <t>200340107</t>
  </si>
  <si>
    <t>44107P104</t>
  </si>
  <si>
    <t>681919106</t>
  </si>
  <si>
    <t>372460105</t>
  </si>
  <si>
    <t>038222105</t>
  </si>
  <si>
    <t>302130109</t>
  </si>
  <si>
    <t>881609101</t>
  </si>
  <si>
    <t>277432100</t>
  </si>
  <si>
    <t>963320106</t>
  </si>
  <si>
    <t>060505104</t>
  </si>
  <si>
    <t>751212101</t>
  </si>
  <si>
    <t>G30401106</t>
  </si>
  <si>
    <t>518439104</t>
  </si>
  <si>
    <t>959802109</t>
  </si>
  <si>
    <t>05329W102</t>
  </si>
  <si>
    <t>7591EP100</t>
  </si>
  <si>
    <t>H84989104</t>
  </si>
  <si>
    <t>872540109</t>
  </si>
  <si>
    <t>574599106</t>
  </si>
  <si>
    <t>00846U101</t>
  </si>
  <si>
    <t>413086109</t>
  </si>
  <si>
    <t>755111507</t>
  </si>
  <si>
    <t>G5785G107</t>
  </si>
  <si>
    <t>773903109</t>
  </si>
  <si>
    <t>770323103</t>
  </si>
  <si>
    <t>983134107</t>
  </si>
  <si>
    <t>571748102</t>
  </si>
  <si>
    <t>655664100</t>
  </si>
  <si>
    <t>278865100</t>
  </si>
  <si>
    <t>G29183103</t>
  </si>
  <si>
    <t>478160104</t>
  </si>
  <si>
    <t>375558103</t>
  </si>
  <si>
    <t>412822108</t>
  </si>
  <si>
    <t>891027104</t>
  </si>
  <si>
    <t>086516101</t>
  </si>
  <si>
    <t>143130102</t>
  </si>
  <si>
    <t>126650100</t>
  </si>
  <si>
    <t>902494103</t>
  </si>
  <si>
    <t>83088M102</t>
  </si>
  <si>
    <t>231021106</t>
  </si>
  <si>
    <t>665859104</t>
  </si>
  <si>
    <t>382550101</t>
  </si>
  <si>
    <t>315616102</t>
  </si>
  <si>
    <t>20030N101</t>
  </si>
  <si>
    <t>655844108</t>
  </si>
  <si>
    <t>437076102</t>
  </si>
  <si>
    <t>74251V102</t>
  </si>
  <si>
    <t>020002101</t>
  </si>
  <si>
    <t>254687106</t>
  </si>
  <si>
    <t>054937107</t>
  </si>
  <si>
    <t>91913Y100</t>
  </si>
  <si>
    <t>N53745100</t>
  </si>
  <si>
    <t>172967424</t>
  </si>
  <si>
    <t>03073E105</t>
  </si>
  <si>
    <t>582839106</t>
  </si>
  <si>
    <t>244199105</t>
  </si>
  <si>
    <t>867914103</t>
  </si>
  <si>
    <t>617446448</t>
  </si>
  <si>
    <t>093671105</t>
  </si>
  <si>
    <t>539830109</t>
  </si>
  <si>
    <t>126408103</t>
  </si>
  <si>
    <t>099724106</t>
  </si>
  <si>
    <t>911363109</t>
  </si>
  <si>
    <t>744320102</t>
  </si>
  <si>
    <t>902973304</t>
  </si>
  <si>
    <t>887317303</t>
  </si>
  <si>
    <t>87901J105</t>
  </si>
  <si>
    <t>039483102</t>
  </si>
  <si>
    <t>337738108</t>
  </si>
  <si>
    <t>23331A109</t>
  </si>
  <si>
    <t>064058100</t>
  </si>
  <si>
    <t>91529Y106</t>
  </si>
  <si>
    <t>174610105</t>
  </si>
  <si>
    <t>75886F107</t>
  </si>
  <si>
    <t>666807102</t>
  </si>
  <si>
    <t>907818108</t>
  </si>
  <si>
    <t>98310W108</t>
  </si>
  <si>
    <t>615369105</t>
  </si>
  <si>
    <t>92826C839</t>
  </si>
  <si>
    <t>724479100</t>
  </si>
  <si>
    <t>001055102</t>
  </si>
  <si>
    <t>871829107</t>
  </si>
  <si>
    <t>278642103</t>
  </si>
  <si>
    <t>G491BT108</t>
  </si>
  <si>
    <t>92343E102</t>
  </si>
  <si>
    <t>571903202</t>
  </si>
  <si>
    <t>G5960L103</t>
  </si>
  <si>
    <t>594918104</t>
  </si>
  <si>
    <t>74834L100</t>
  </si>
  <si>
    <t>071813109</t>
  </si>
  <si>
    <t>87612E106</t>
  </si>
  <si>
    <t>416515104</t>
  </si>
  <si>
    <t>269246401</t>
  </si>
  <si>
    <t>247361702</t>
  </si>
  <si>
    <t>124857202</t>
  </si>
  <si>
    <t>92220P105</t>
  </si>
  <si>
    <t>832696405</t>
  </si>
  <si>
    <t>90130A101</t>
  </si>
  <si>
    <t>67103H107</t>
  </si>
  <si>
    <t>857477103</t>
  </si>
  <si>
    <t>452308109</t>
  </si>
  <si>
    <t>55261F104</t>
  </si>
  <si>
    <t>057224107</t>
  </si>
  <si>
    <t>037833100</t>
  </si>
  <si>
    <t>64110D104</t>
  </si>
  <si>
    <t>89417E109</t>
  </si>
  <si>
    <t>917047102</t>
  </si>
  <si>
    <t>844741108</t>
  </si>
  <si>
    <t>053332102</t>
  </si>
  <si>
    <t>760759100</t>
  </si>
  <si>
    <t>156782104</t>
  </si>
  <si>
    <t>46625H100</t>
  </si>
  <si>
    <t>172908105</t>
  </si>
  <si>
    <t>534187109</t>
  </si>
  <si>
    <t>57636Q104</t>
  </si>
  <si>
    <t>693475105</t>
  </si>
  <si>
    <t>459200101</t>
  </si>
  <si>
    <t>254709108</t>
  </si>
  <si>
    <t>910047109</t>
  </si>
  <si>
    <t>219350105</t>
  </si>
  <si>
    <t>14149Y108</t>
  </si>
  <si>
    <t>38141G104</t>
  </si>
  <si>
    <t>354613101</t>
  </si>
  <si>
    <t>097023105</t>
  </si>
  <si>
    <t>G98294104</t>
  </si>
  <si>
    <t>608190104</t>
  </si>
  <si>
    <t>949746101</t>
  </si>
  <si>
    <t>554382101</t>
  </si>
  <si>
    <t>143658300</t>
  </si>
  <si>
    <t>G60754101</t>
  </si>
  <si>
    <t>63938C108</t>
  </si>
  <si>
    <t>35671D857</t>
  </si>
  <si>
    <t>04621X108</t>
  </si>
  <si>
    <t>808513105</t>
  </si>
  <si>
    <t>384802104</t>
  </si>
  <si>
    <t>620076307</t>
  </si>
  <si>
    <t>580135101</t>
  </si>
  <si>
    <t>501797104</t>
  </si>
  <si>
    <t>03076C106</t>
  </si>
  <si>
    <t>052769106</t>
  </si>
  <si>
    <t>31428X106</t>
  </si>
  <si>
    <t>988498101</t>
  </si>
  <si>
    <t>527288104</t>
  </si>
  <si>
    <t>H2906T109</t>
  </si>
  <si>
    <t>718546104</t>
  </si>
  <si>
    <t>369604103</t>
  </si>
  <si>
    <t>025816109</t>
  </si>
  <si>
    <t>461202103</t>
  </si>
  <si>
    <t>026874784</t>
  </si>
  <si>
    <t>68389X105</t>
  </si>
  <si>
    <t>941848103</t>
  </si>
  <si>
    <t>863667101</t>
  </si>
  <si>
    <t>115637209</t>
  </si>
  <si>
    <t>929042109</t>
  </si>
  <si>
    <t>90130A200</t>
  </si>
  <si>
    <t>G7S00T104</t>
  </si>
  <si>
    <t>524901105</t>
  </si>
  <si>
    <t>G6518L108</t>
  </si>
  <si>
    <t>370023103</t>
  </si>
  <si>
    <t>984121103</t>
  </si>
  <si>
    <t>592688105</t>
  </si>
  <si>
    <t>Hologic Inc</t>
  </si>
  <si>
    <t>Broadcom Limited</t>
  </si>
  <si>
    <t>CSRA Inc</t>
  </si>
  <si>
    <t>Simon Property Group A</t>
  </si>
  <si>
    <t>Fortive Corp</t>
  </si>
  <si>
    <t>Activision Blizzard Inc</t>
  </si>
  <si>
    <t>Federal Realty Invt Trust</t>
  </si>
  <si>
    <t>Chubb Limited</t>
  </si>
  <si>
    <t>Verisk Analytics Inc</t>
  </si>
  <si>
    <t>Alphabet Inc A</t>
  </si>
  <si>
    <t>Church &amp; Dwight Co</t>
  </si>
  <si>
    <t>TransDigm Group</t>
  </si>
  <si>
    <t>Nasdaq Inc</t>
  </si>
  <si>
    <t>CME Group Inc A</t>
  </si>
  <si>
    <t>Under Armour Inc-C</t>
  </si>
  <si>
    <t>Welltower Inc</t>
  </si>
  <si>
    <t>Facebook Inc A</t>
  </si>
  <si>
    <t>Concho Resources Inc</t>
  </si>
  <si>
    <t>Alphabet Inc C</t>
  </si>
  <si>
    <t>Tyco Intl / Johnson Controls PLC</t>
  </si>
  <si>
    <t>Roper Technologies, Inc</t>
  </si>
  <si>
    <t>Acuity Brands Inc</t>
  </si>
  <si>
    <t>LKQ Corp</t>
  </si>
  <si>
    <t>Fortune Brands Home &amp; Security Inc</t>
  </si>
  <si>
    <t>Extra Space Storage Inc</t>
  </si>
  <si>
    <t>Hewlett Packard Enterprise Co</t>
  </si>
  <si>
    <t>Centene Corp</t>
  </si>
  <si>
    <t>American Water Works Co Inc</t>
  </si>
  <si>
    <t>Alliant Energy Corp</t>
  </si>
  <si>
    <t>UDR Inc</t>
  </si>
  <si>
    <t>Synchrony Financial</t>
  </si>
  <si>
    <t>Accenture plc A</t>
  </si>
  <si>
    <t>Newell Brands Inc</t>
  </si>
  <si>
    <t>S&amp;P Global Inc</t>
  </si>
  <si>
    <t>HP Inc</t>
  </si>
  <si>
    <t>News Corp B</t>
  </si>
  <si>
    <t>News Corp A</t>
  </si>
  <si>
    <t>Digital Realty Trust</t>
  </si>
  <si>
    <t>Gallagher Arthur J. &amp; Co</t>
  </si>
  <si>
    <t>Scripps Networks Interactive A</t>
  </si>
  <si>
    <t>Qorvo, Inc</t>
  </si>
  <si>
    <t>Lennar Corp A</t>
  </si>
  <si>
    <t>Albemarle Corp</t>
  </si>
  <si>
    <t>Alaska Air Group Inc</t>
  </si>
  <si>
    <t>Global Payments Inc</t>
  </si>
  <si>
    <t>Willis Towers Watson PLC</t>
  </si>
  <si>
    <t>TripAdvisor Inc. A</t>
  </si>
  <si>
    <t>Ulta Salon Cosmetics &amp; Fragr</t>
  </si>
  <si>
    <t>Illumina Inc</t>
  </si>
  <si>
    <t>Foot Locker Inc</t>
  </si>
  <si>
    <t>Dentsply Sirona Inc.</t>
  </si>
  <si>
    <t>Ralph Lauren Corp A</t>
  </si>
  <si>
    <t>Estee Lauder Cos. A</t>
  </si>
  <si>
    <t>Mettler-Toledo</t>
  </si>
  <si>
    <t>CSX Corporation</t>
  </si>
  <si>
    <t>Citizens Financial Group Inc</t>
  </si>
  <si>
    <t>Visa Inc A</t>
  </si>
  <si>
    <t>Twenty-First Century Fox Inc A</t>
  </si>
  <si>
    <t>United Continental Holding Inc</t>
  </si>
  <si>
    <t>XL Group Ltd</t>
  </si>
  <si>
    <t>Twenty-First Century Fox Inc B</t>
  </si>
  <si>
    <t>Nielsen Holdings plc</t>
  </si>
  <si>
    <t>S&amp;P 500 September 2016 Annual Float Review &amp; Quarterly Share Rebalance (PROJECTIONS)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</si>
</sst>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6" formatCode="&quot;$&quot;#,##0_);[Red]\(&quot;$&quot;#,##0\)"/>
    <numFmt numFmtId="8" formatCode="&quot;$&quot;#,##0.00_);[Red]\(&quot;$&quot;#,##0.00\)"/>
    <numFmt numFmtId="164" formatCode="0.0000%"/>
    <numFmt numFmtId="165" formatCode="#,##0.000"/>
    <numFmt numFmtId="166" formatCode="&quot;$&quot;#,##0"/>
  </numFmts>
  <fonts count="17" x14ac:knownFonts="1">
    <font>
      <sz val="11"/>
      <color theme="1"/>
      <name val="Calibri"/>
      <family val="2"/>
      <scheme val="minor"/>
    </font>
    <font>
      <sz val="10"/>
      <color theme="1"/>
      <name val="Arial"/>
      <family val="2"/>
    </font>
    <font>
      <sz val="10"/>
      <name val="Arial"/>
      <family val="2"/>
    </font>
    <font>
      <sz val="11"/>
      <color indexed="8"/>
      <name val="Calibri"/>
      <family val="2"/>
    </font>
    <font>
      <sz val="8"/>
      <name val="Calibri"/>
      <family val="2"/>
    </font>
    <font>
      <b/>
      <sz val="12"/>
      <name val="Arial"/>
      <family val="2"/>
    </font>
    <font>
      <b/>
      <sz val="12"/>
      <color theme="1" tint="0.249977111117893"/>
      <name val="Arial"/>
      <family val="2"/>
    </font>
    <font>
      <b/>
      <sz val="10"/>
      <name val="Arial"/>
      <family val="2"/>
    </font>
    <font>
      <sz val="10"/>
      <color indexed="8"/>
      <name val="Arial"/>
      <family val="2"/>
    </font>
    <font>
      <b/>
      <sz val="8"/>
      <name val="Arial"/>
      <family val="2"/>
    </font>
    <font>
      <b/>
      <sz val="10"/>
      <color indexed="8"/>
      <name val="Arial"/>
      <family val="2"/>
    </font>
    <font>
      <b/>
      <sz val="10"/>
      <color indexed="63"/>
      <name val="Arial"/>
      <family val="2"/>
    </font>
    <font>
      <sz val="8"/>
      <color theme="1"/>
      <name val="Arial"/>
      <family val="2"/>
    </font>
    <font>
      <sz val="12"/>
      <color theme="1" tint="0.249977111117893"/>
      <name val="Arial"/>
      <family val="2"/>
    </font>
    <font>
      <sz val="12"/>
      <name val="Arial"/>
      <family val="2"/>
    </font>
    <font>
      <b/>
      <sz val="11"/>
      <color rgb="FF000000"/>
      <name val="Calibri"/>
      <family val="2"/>
    </font>
    <font>
      <sz val="8"/>
      <name val="Arial"/>
      <family val="2"/>
    </font>
  </fonts>
  <fills count="6">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5" tint="0.79998168889431442"/>
        <bgColor indexed="64"/>
      </patternFill>
    </fill>
    <fill>
      <patternFill patternType="solid">
        <fgColor theme="0"/>
        <bgColor indexed="64"/>
      </patternFill>
    </fill>
  </fills>
  <borders count="20">
    <border>
      <left/>
      <right/>
      <top/>
      <bottom/>
      <diagonal/>
    </border>
    <border>
      <left style="hair">
        <color indexed="64"/>
      </left>
      <right/>
      <top/>
      <bottom/>
      <diagonal/>
    </border>
    <border>
      <left/>
      <right style="hair">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hair">
        <color indexed="64"/>
      </right>
      <top/>
      <bottom style="thin">
        <color indexed="64"/>
      </bottom>
      <diagonal/>
    </border>
    <border>
      <left style="hair">
        <color indexed="64"/>
      </left>
      <right/>
      <top style="thin">
        <color indexed="64"/>
      </top>
      <bottom style="thin">
        <color indexed="64"/>
      </bottom>
      <diagonal/>
    </border>
    <border>
      <left/>
      <right style="hair">
        <color indexed="64"/>
      </right>
      <top style="thin">
        <color indexed="64"/>
      </top>
      <bottom style="thin">
        <color indexed="64"/>
      </bottom>
      <diagonal/>
    </border>
  </borders>
  <cellStyleXfs count="7">
    <xf numFmtId="0" fontId="0" fillId="0" borderId="0"/>
    <xf numFmtId="0" fontId="2" fillId="0" borderId="0"/>
    <xf numFmtId="9" fontId="3" fillId="0" borderId="0" applyFont="0" applyFill="0" applyBorder="0" applyAlignment="0" applyProtection="0"/>
    <xf numFmtId="9" fontId="2" fillId="0" borderId="0" applyFont="0" applyFill="0" applyBorder="0" applyAlignment="0" applyProtection="0"/>
    <xf numFmtId="0" fontId="2" fillId="0" borderId="0"/>
    <xf numFmtId="0" fontId="2" fillId="0" borderId="0"/>
    <xf numFmtId="9" fontId="2" fillId="0" borderId="0" applyFont="0" applyFill="0" applyBorder="0" applyAlignment="0" applyProtection="0"/>
  </cellStyleXfs>
  <cellXfs count="135">
    <xf numFmtId="0" fontId="0" fillId="0" borderId="0" xfId="0"/>
    <xf numFmtId="0" fontId="5" fillId="2" borderId="0" xfId="0" applyFont="1" applyFill="1"/>
    <xf numFmtId="0" fontId="6" fillId="2" borderId="0" xfId="0" applyFont="1" applyFill="1"/>
    <xf numFmtId="0" fontId="2" fillId="2" borderId="0" xfId="0" applyFont="1" applyFill="1"/>
    <xf numFmtId="9" fontId="2" fillId="2" borderId="0" xfId="0" applyNumberFormat="1" applyFont="1" applyFill="1"/>
    <xf numFmtId="0" fontId="2" fillId="3" borderId="0" xfId="0" applyFont="1" applyFill="1"/>
    <xf numFmtId="0" fontId="2" fillId="3" borderId="0" xfId="0" applyFont="1" applyFill="1" applyAlignment="1">
      <alignment horizontal="right"/>
    </xf>
    <xf numFmtId="0" fontId="2" fillId="2" borderId="0" xfId="0" applyFont="1" applyFill="1" applyAlignment="1">
      <alignment horizontal="right"/>
    </xf>
    <xf numFmtId="0" fontId="7" fillId="3" borderId="8" xfId="0" applyFont="1" applyFill="1" applyBorder="1" applyAlignment="1">
      <alignment horizontal="centerContinuous"/>
    </xf>
    <xf numFmtId="0" fontId="7" fillId="3" borderId="9" xfId="0" applyFont="1" applyFill="1" applyBorder="1" applyAlignment="1">
      <alignment horizontal="centerContinuous"/>
    </xf>
    <xf numFmtId="0" fontId="7" fillId="3" borderId="10" xfId="0" applyFont="1" applyFill="1" applyBorder="1" applyAlignment="1">
      <alignment horizontal="centerContinuous"/>
    </xf>
    <xf numFmtId="3" fontId="2" fillId="3" borderId="0" xfId="0" applyNumberFormat="1" applyFont="1" applyFill="1" applyAlignment="1">
      <alignment horizontal="right"/>
    </xf>
    <xf numFmtId="3" fontId="2" fillId="2" borderId="0" xfId="0" applyNumberFormat="1" applyFont="1" applyFill="1" applyAlignment="1">
      <alignment horizontal="right"/>
    </xf>
    <xf numFmtId="0" fontId="7" fillId="3" borderId="3" xfId="0" applyFont="1" applyFill="1" applyBorder="1" applyAlignment="1">
      <alignment horizontal="centerContinuous"/>
    </xf>
    <xf numFmtId="0" fontId="7" fillId="3" borderId="0" xfId="0" applyFont="1" applyFill="1" applyBorder="1" applyAlignment="1">
      <alignment horizontal="centerContinuous"/>
    </xf>
    <xf numFmtId="0" fontId="7" fillId="3" borderId="4" xfId="0" applyFont="1" applyFill="1" applyBorder="1" applyAlignment="1">
      <alignment horizontal="centerContinuous"/>
    </xf>
    <xf numFmtId="10" fontId="2" fillId="3" borderId="0" xfId="0" applyNumberFormat="1" applyFont="1" applyFill="1" applyAlignment="1">
      <alignment horizontal="right"/>
    </xf>
    <xf numFmtId="10" fontId="2" fillId="2" borderId="0" xfId="0" applyNumberFormat="1" applyFont="1" applyFill="1" applyAlignment="1">
      <alignment horizontal="right"/>
    </xf>
    <xf numFmtId="0" fontId="7" fillId="3" borderId="5" xfId="0" applyFont="1" applyFill="1" applyBorder="1" applyAlignment="1">
      <alignment horizontal="centerContinuous"/>
    </xf>
    <xf numFmtId="0" fontId="7" fillId="3" borderId="6" xfId="0" applyFont="1" applyFill="1" applyBorder="1" applyAlignment="1">
      <alignment horizontal="centerContinuous"/>
    </xf>
    <xf numFmtId="0" fontId="7" fillId="3" borderId="7" xfId="0" applyFont="1" applyFill="1" applyBorder="1" applyAlignment="1">
      <alignment horizontal="centerContinuous"/>
    </xf>
    <xf numFmtId="3" fontId="2" fillId="2" borderId="0" xfId="0" applyNumberFormat="1" applyFont="1" applyFill="1"/>
    <xf numFmtId="166" fontId="2" fillId="2" borderId="11" xfId="0" applyNumberFormat="1" applyFont="1" applyFill="1" applyBorder="1" applyAlignment="1">
      <alignment horizontal="center"/>
    </xf>
    <xf numFmtId="10" fontId="2" fillId="3" borderId="0" xfId="2" applyNumberFormat="1" applyFont="1" applyFill="1" applyAlignment="1">
      <alignment horizontal="right"/>
    </xf>
    <xf numFmtId="10" fontId="2" fillId="2" borderId="0" xfId="2" applyNumberFormat="1" applyFont="1" applyFill="1" applyAlignment="1">
      <alignment horizontal="right"/>
    </xf>
    <xf numFmtId="0" fontId="2" fillId="2" borderId="0" xfId="0" applyFont="1" applyFill="1" applyBorder="1"/>
    <xf numFmtId="0" fontId="7" fillId="2" borderId="0" xfId="0" applyFont="1" applyFill="1" applyAlignment="1">
      <alignment horizontal="center" vertical="center" wrapText="1"/>
    </xf>
    <xf numFmtId="0" fontId="2" fillId="2" borderId="0" xfId="0" applyFont="1" applyFill="1" applyAlignment="1">
      <alignment horizontal="center"/>
    </xf>
    <xf numFmtId="3" fontId="2" fillId="2" borderId="0" xfId="0" applyNumberFormat="1" applyFont="1" applyFill="1" applyBorder="1"/>
    <xf numFmtId="2" fontId="2" fillId="2" borderId="0" xfId="0" applyNumberFormat="1" applyFont="1" applyFill="1" applyAlignment="1">
      <alignment horizontal="center"/>
    </xf>
    <xf numFmtId="165" fontId="2" fillId="2" borderId="0" xfId="0" applyNumberFormat="1" applyFont="1" applyFill="1"/>
    <xf numFmtId="9" fontId="2" fillId="2" borderId="0" xfId="2" applyFont="1" applyFill="1"/>
    <xf numFmtId="4" fontId="2" fillId="2" borderId="0" xfId="0" applyNumberFormat="1" applyFont="1" applyFill="1"/>
    <xf numFmtId="164" fontId="2" fillId="3" borderId="1" xfId="0" applyNumberFormat="1" applyFont="1" applyFill="1" applyBorder="1"/>
    <xf numFmtId="164" fontId="2" fillId="3" borderId="0" xfId="0" applyNumberFormat="1" applyFont="1" applyFill="1" applyBorder="1"/>
    <xf numFmtId="8" fontId="2" fillId="3" borderId="0" xfId="0" applyNumberFormat="1" applyFont="1" applyFill="1"/>
    <xf numFmtId="3" fontId="2" fillId="3" borderId="2" xfId="0" applyNumberFormat="1" applyFont="1" applyFill="1" applyBorder="1"/>
    <xf numFmtId="164" fontId="2" fillId="2" borderId="1" xfId="0" applyNumberFormat="1" applyFont="1" applyFill="1" applyBorder="1"/>
    <xf numFmtId="164" fontId="2" fillId="2" borderId="0" xfId="0" applyNumberFormat="1" applyFont="1" applyFill="1" applyBorder="1"/>
    <xf numFmtId="8" fontId="2" fillId="2" borderId="0" xfId="0" applyNumberFormat="1" applyFont="1" applyFill="1"/>
    <xf numFmtId="3" fontId="2" fillId="2" borderId="2" xfId="0" applyNumberFormat="1" applyFont="1" applyFill="1" applyBorder="1"/>
    <xf numFmtId="3" fontId="2" fillId="3" borderId="0" xfId="0" applyNumberFormat="1" applyFont="1" applyFill="1" applyBorder="1"/>
    <xf numFmtId="9" fontId="2" fillId="2" borderId="2" xfId="2" applyFont="1" applyFill="1" applyBorder="1"/>
    <xf numFmtId="9" fontId="2" fillId="2" borderId="0" xfId="2" applyNumberFormat="1" applyFont="1" applyFill="1" applyAlignment="1">
      <alignment horizontal="center"/>
    </xf>
    <xf numFmtId="0" fontId="8" fillId="2" borderId="0" xfId="0" applyFont="1" applyFill="1"/>
    <xf numFmtId="0" fontId="9" fillId="2" borderId="0" xfId="0" applyFont="1" applyFill="1" applyAlignment="1">
      <alignment horizontal="center" vertical="center" wrapText="1"/>
    </xf>
    <xf numFmtId="0" fontId="7" fillId="2" borderId="0" xfId="0" applyFont="1" applyFill="1"/>
    <xf numFmtId="0" fontId="1" fillId="2" borderId="3" xfId="0" applyFont="1" applyFill="1" applyBorder="1"/>
    <xf numFmtId="0" fontId="1" fillId="2" borderId="0" xfId="0" applyFont="1" applyFill="1" applyBorder="1"/>
    <xf numFmtId="8" fontId="2" fillId="2" borderId="0" xfId="0" applyNumberFormat="1" applyFont="1" applyFill="1" applyBorder="1" applyAlignment="1">
      <alignment horizontal="center"/>
    </xf>
    <xf numFmtId="9" fontId="10" fillId="2" borderId="4" xfId="2" applyFont="1" applyFill="1" applyBorder="1"/>
    <xf numFmtId="8" fontId="7" fillId="2" borderId="0" xfId="0" applyNumberFormat="1" applyFont="1" applyFill="1" applyBorder="1" applyAlignment="1">
      <alignment horizontal="center"/>
    </xf>
    <xf numFmtId="9" fontId="8" fillId="2" borderId="4" xfId="2" applyFont="1" applyFill="1" applyBorder="1"/>
    <xf numFmtId="0" fontId="1" fillId="2" borderId="5" xfId="0" applyFont="1" applyFill="1" applyBorder="1"/>
    <xf numFmtId="0" fontId="1" fillId="2" borderId="6" xfId="0" applyFont="1" applyFill="1" applyBorder="1"/>
    <xf numFmtId="8" fontId="2" fillId="2" borderId="6" xfId="0" applyNumberFormat="1" applyFont="1" applyFill="1" applyBorder="1" applyAlignment="1">
      <alignment horizontal="center"/>
    </xf>
    <xf numFmtId="9" fontId="10" fillId="2" borderId="7" xfId="2" applyFont="1" applyFill="1" applyBorder="1"/>
    <xf numFmtId="8" fontId="7" fillId="2" borderId="6" xfId="0" applyNumberFormat="1" applyFont="1" applyFill="1" applyBorder="1" applyAlignment="1">
      <alignment horizontal="center"/>
    </xf>
    <xf numFmtId="9" fontId="8" fillId="2" borderId="7" xfId="2" applyFont="1" applyFill="1" applyBorder="1"/>
    <xf numFmtId="0" fontId="8" fillId="2" borderId="3" xfId="0" applyFont="1" applyFill="1" applyBorder="1"/>
    <xf numFmtId="3" fontId="2" fillId="2" borderId="0" xfId="0" applyNumberFormat="1" applyFont="1" applyFill="1" applyBorder="1" applyAlignment="1">
      <alignment horizontal="center"/>
    </xf>
    <xf numFmtId="3" fontId="2" fillId="2" borderId="4" xfId="0" applyNumberFormat="1" applyFont="1" applyFill="1" applyBorder="1" applyAlignment="1">
      <alignment horizontal="center"/>
    </xf>
    <xf numFmtId="10" fontId="2" fillId="2" borderId="0" xfId="0" applyNumberFormat="1" applyFont="1" applyFill="1" applyBorder="1" applyAlignment="1">
      <alignment horizontal="center"/>
    </xf>
    <xf numFmtId="10" fontId="2" fillId="2" borderId="4" xfId="0" applyNumberFormat="1" applyFont="1" applyFill="1" applyBorder="1" applyAlignment="1">
      <alignment horizontal="center"/>
    </xf>
    <xf numFmtId="6" fontId="2" fillId="2" borderId="0" xfId="0" applyNumberFormat="1" applyFont="1" applyFill="1" applyBorder="1" applyAlignment="1">
      <alignment horizontal="center"/>
    </xf>
    <xf numFmtId="6" fontId="2" fillId="2" borderId="4" xfId="0" applyNumberFormat="1" applyFont="1" applyFill="1" applyBorder="1" applyAlignment="1">
      <alignment horizontal="center"/>
    </xf>
    <xf numFmtId="38" fontId="2" fillId="2" borderId="0" xfId="0" applyNumberFormat="1" applyFont="1" applyFill="1" applyBorder="1" applyAlignment="1">
      <alignment horizontal="center"/>
    </xf>
    <xf numFmtId="38" fontId="2" fillId="2" borderId="0" xfId="0" quotePrefix="1" applyNumberFormat="1" applyFont="1" applyFill="1" applyBorder="1" applyAlignment="1">
      <alignment horizontal="center"/>
    </xf>
    <xf numFmtId="38" fontId="2" fillId="2" borderId="4" xfId="0" applyNumberFormat="1" applyFont="1" applyFill="1" applyBorder="1" applyAlignment="1">
      <alignment horizontal="center"/>
    </xf>
    <xf numFmtId="0" fontId="8" fillId="2" borderId="5" xfId="0" applyFont="1" applyFill="1" applyBorder="1"/>
    <xf numFmtId="38" fontId="2" fillId="2" borderId="6" xfId="0" applyNumberFormat="1" applyFont="1" applyFill="1" applyBorder="1" applyAlignment="1">
      <alignment horizontal="center"/>
    </xf>
    <xf numFmtId="38" fontId="2" fillId="2" borderId="7" xfId="0" applyNumberFormat="1" applyFont="1" applyFill="1" applyBorder="1" applyAlignment="1">
      <alignment horizontal="center"/>
    </xf>
    <xf numFmtId="0" fontId="10" fillId="2" borderId="3" xfId="0" applyFont="1" applyFill="1" applyBorder="1"/>
    <xf numFmtId="0" fontId="10" fillId="2" borderId="5" xfId="0" applyFont="1" applyFill="1" applyBorder="1"/>
    <xf numFmtId="6" fontId="2" fillId="2" borderId="7" xfId="0" applyNumberFormat="1" applyFont="1" applyFill="1" applyBorder="1" applyAlignment="1">
      <alignment horizontal="center"/>
    </xf>
    <xf numFmtId="0" fontId="8" fillId="2" borderId="0" xfId="0" applyFont="1" applyFill="1" applyAlignment="1">
      <alignment horizontal="center" vertical="center" wrapText="1"/>
    </xf>
    <xf numFmtId="0" fontId="14" fillId="2" borderId="0" xfId="0" applyFont="1" applyFill="1"/>
    <xf numFmtId="0" fontId="14" fillId="2" borderId="0" xfId="0" applyFont="1" applyFill="1" applyBorder="1"/>
    <xf numFmtId="2" fontId="2" fillId="2" borderId="0" xfId="0" applyNumberFormat="1" applyFont="1" applyFill="1"/>
    <xf numFmtId="0" fontId="11" fillId="2" borderId="0" xfId="0" applyFont="1" applyFill="1" applyBorder="1" applyAlignment="1">
      <alignment horizontal="center" vertical="center" wrapText="1"/>
    </xf>
    <xf numFmtId="9" fontId="2" fillId="2" borderId="0" xfId="2" applyFont="1" applyFill="1" applyBorder="1"/>
    <xf numFmtId="3" fontId="2" fillId="4" borderId="0" xfId="0" applyNumberFormat="1" applyFont="1" applyFill="1" applyBorder="1" applyAlignment="1">
      <alignment horizontal="center"/>
    </xf>
    <xf numFmtId="9" fontId="2" fillId="4" borderId="2" xfId="2" applyFont="1" applyFill="1" applyBorder="1" applyAlignment="1">
      <alignment horizontal="center"/>
    </xf>
    <xf numFmtId="0" fontId="10" fillId="4" borderId="3" xfId="0" applyFont="1" applyFill="1" applyBorder="1"/>
    <xf numFmtId="6" fontId="7" fillId="4" borderId="0" xfId="0" applyNumberFormat="1" applyFont="1" applyFill="1" applyBorder="1" applyAlignment="1">
      <alignment horizontal="center"/>
    </xf>
    <xf numFmtId="6" fontId="7" fillId="4" borderId="4" xfId="0" applyNumberFormat="1" applyFont="1" applyFill="1" applyBorder="1" applyAlignment="1">
      <alignment horizontal="center"/>
    </xf>
    <xf numFmtId="10" fontId="7" fillId="4" borderId="0" xfId="2" applyNumberFormat="1" applyFont="1" applyFill="1" applyBorder="1" applyAlignment="1">
      <alignment horizontal="center"/>
    </xf>
    <xf numFmtId="10" fontId="7" fillId="4" borderId="4" xfId="2" applyNumberFormat="1" applyFont="1" applyFill="1" applyBorder="1" applyAlignment="1">
      <alignment horizontal="center"/>
    </xf>
    <xf numFmtId="0" fontId="7" fillId="2" borderId="0" xfId="0" applyFont="1" applyFill="1" applyBorder="1"/>
    <xf numFmtId="0" fontId="6" fillId="2" borderId="0" xfId="0" applyFont="1" applyFill="1" applyBorder="1"/>
    <xf numFmtId="0" fontId="13" fillId="2" borderId="0" xfId="0" applyFont="1" applyFill="1" applyBorder="1"/>
    <xf numFmtId="0" fontId="12" fillId="2" borderId="0" xfId="0" applyFont="1" applyFill="1" applyBorder="1"/>
    <xf numFmtId="0" fontId="8" fillId="2" borderId="0" xfId="0" applyFont="1" applyFill="1" applyBorder="1"/>
    <xf numFmtId="0" fontId="7" fillId="5" borderId="14" xfId="0" applyFont="1" applyFill="1" applyBorder="1" applyAlignment="1">
      <alignment horizontal="center" vertical="center" wrapText="1"/>
    </xf>
    <xf numFmtId="0" fontId="7" fillId="5" borderId="15" xfId="0" applyFont="1" applyFill="1" applyBorder="1" applyAlignment="1">
      <alignment horizontal="center" vertical="center" wrapText="1"/>
    </xf>
    <xf numFmtId="0" fontId="7" fillId="5" borderId="16" xfId="0" applyFont="1" applyFill="1" applyBorder="1" applyAlignment="1">
      <alignment horizontal="center" vertical="center" wrapText="1"/>
    </xf>
    <xf numFmtId="0" fontId="16" fillId="5" borderId="0" xfId="0" applyFont="1" applyFill="1" applyBorder="1"/>
    <xf numFmtId="0" fontId="7" fillId="5" borderId="12" xfId="0" applyFont="1" applyFill="1" applyBorder="1" applyAlignment="1">
      <alignment horizontal="center"/>
    </xf>
    <xf numFmtId="0" fontId="7" fillId="5" borderId="13" xfId="0" applyFont="1" applyFill="1" applyBorder="1" applyAlignment="1">
      <alignment horizontal="center"/>
    </xf>
    <xf numFmtId="0" fontId="2" fillId="2" borderId="6" xfId="0" applyFont="1" applyFill="1" applyBorder="1"/>
    <xf numFmtId="49" fontId="2" fillId="2" borderId="6" xfId="0" applyNumberFormat="1" applyFont="1" applyFill="1" applyBorder="1" applyAlignment="1">
      <alignment horizontal="center"/>
    </xf>
    <xf numFmtId="2" fontId="2" fillId="2" borderId="6" xfId="0" applyNumberFormat="1" applyFont="1" applyFill="1" applyBorder="1" applyAlignment="1">
      <alignment horizontal="center"/>
    </xf>
    <xf numFmtId="8" fontId="2" fillId="4" borderId="6" xfId="0" applyNumberFormat="1" applyFont="1" applyFill="1" applyBorder="1" applyAlignment="1">
      <alignment horizontal="center"/>
    </xf>
    <xf numFmtId="3" fontId="2" fillId="4" borderId="6" xfId="0" applyNumberFormat="1" applyFont="1" applyFill="1" applyBorder="1" applyAlignment="1">
      <alignment horizontal="center"/>
    </xf>
    <xf numFmtId="9" fontId="2" fillId="4" borderId="17" xfId="2" applyFont="1" applyFill="1" applyBorder="1" applyAlignment="1">
      <alignment horizontal="center"/>
    </xf>
    <xf numFmtId="49" fontId="2" fillId="2" borderId="0" xfId="0" applyNumberFormat="1" applyFont="1" applyFill="1" applyBorder="1" applyAlignment="1">
      <alignment horizontal="center"/>
    </xf>
    <xf numFmtId="2" fontId="2" fillId="2" borderId="0" xfId="0" applyNumberFormat="1" applyFont="1" applyFill="1" applyBorder="1" applyAlignment="1">
      <alignment horizontal="center"/>
    </xf>
    <xf numFmtId="8" fontId="2" fillId="4" borderId="0" xfId="0" applyNumberFormat="1" applyFont="1" applyFill="1" applyBorder="1" applyAlignment="1">
      <alignment horizontal="center"/>
    </xf>
    <xf numFmtId="165" fontId="7" fillId="2" borderId="0" xfId="0" applyNumberFormat="1" applyFont="1" applyFill="1"/>
    <xf numFmtId="0" fontId="2" fillId="2" borderId="3" xfId="0" applyFont="1" applyFill="1" applyBorder="1"/>
    <xf numFmtId="9" fontId="2" fillId="2" borderId="4" xfId="2" applyFont="1" applyFill="1" applyBorder="1" applyAlignment="1">
      <alignment horizontal="center"/>
    </xf>
    <xf numFmtId="0" fontId="2" fillId="2" borderId="0" xfId="0" applyFont="1" applyFill="1" applyBorder="1" applyAlignment="1">
      <alignment horizontal="center"/>
    </xf>
    <xf numFmtId="0" fontId="2" fillId="2" borderId="5" xfId="0" applyFont="1" applyFill="1" applyBorder="1"/>
    <xf numFmtId="9" fontId="2" fillId="2" borderId="7" xfId="2" applyFont="1" applyFill="1" applyBorder="1" applyAlignment="1">
      <alignment horizontal="center"/>
    </xf>
    <xf numFmtId="9" fontId="7" fillId="5" borderId="15" xfId="0" applyNumberFormat="1" applyFont="1" applyFill="1" applyBorder="1" applyAlignment="1">
      <alignment horizontal="center" vertical="center" wrapText="1"/>
    </xf>
    <xf numFmtId="0" fontId="7" fillId="5" borderId="18" xfId="0" applyFont="1" applyFill="1" applyBorder="1" applyAlignment="1">
      <alignment horizontal="center" vertical="center" wrapText="1"/>
    </xf>
    <xf numFmtId="0" fontId="7" fillId="5" borderId="19" xfId="0" applyFont="1" applyFill="1" applyBorder="1" applyAlignment="1">
      <alignment horizontal="center" vertical="center" wrapText="1"/>
    </xf>
    <xf numFmtId="3" fontId="2" fillId="5" borderId="0" xfId="0" applyNumberFormat="1" applyFont="1" applyFill="1" applyBorder="1" applyAlignment="1">
      <alignment horizontal="center"/>
    </xf>
    <xf numFmtId="10" fontId="2" fillId="5" borderId="0" xfId="0" applyNumberFormat="1" applyFont="1" applyFill="1" applyBorder="1" applyAlignment="1">
      <alignment horizontal="center"/>
    </xf>
    <xf numFmtId="6" fontId="2" fillId="5" borderId="0" xfId="0" applyNumberFormat="1" applyFont="1" applyFill="1" applyBorder="1" applyAlignment="1">
      <alignment horizontal="center"/>
    </xf>
    <xf numFmtId="6" fontId="7" fillId="5" borderId="0" xfId="0" applyNumberFormat="1" applyFont="1" applyFill="1" applyBorder="1" applyAlignment="1">
      <alignment horizontal="center"/>
    </xf>
    <xf numFmtId="10" fontId="7" fillId="5" borderId="0" xfId="2" applyNumberFormat="1" applyFont="1" applyFill="1" applyBorder="1" applyAlignment="1">
      <alignment horizontal="center"/>
    </xf>
    <xf numFmtId="38" fontId="2" fillId="5" borderId="0" xfId="0" applyNumberFormat="1" applyFont="1" applyFill="1" applyBorder="1" applyAlignment="1">
      <alignment horizontal="center"/>
    </xf>
    <xf numFmtId="38" fontId="2" fillId="5" borderId="0" xfId="0" quotePrefix="1" applyNumberFormat="1" applyFont="1" applyFill="1" applyBorder="1" applyAlignment="1">
      <alignment horizontal="center"/>
    </xf>
    <xf numFmtId="0" fontId="7" fillId="5" borderId="0" xfId="0" applyFont="1" applyFill="1" applyBorder="1" applyAlignment="1">
      <alignment horizontal="center" vertical="center" wrapText="1"/>
    </xf>
    <xf numFmtId="0" fontId="8" fillId="5" borderId="0" xfId="0" applyFont="1" applyFill="1" applyBorder="1"/>
    <xf numFmtId="0" fontId="10" fillId="5" borderId="0" xfId="0" applyFont="1" applyFill="1" applyBorder="1"/>
    <xf numFmtId="0" fontId="9" fillId="5" borderId="14" xfId="0" applyFont="1" applyFill="1" applyBorder="1" applyAlignment="1">
      <alignment horizontal="center" vertical="center" wrapText="1"/>
    </xf>
    <xf numFmtId="0" fontId="9" fillId="5" borderId="15" xfId="0" applyFont="1" applyFill="1" applyBorder="1" applyAlignment="1">
      <alignment horizontal="center" vertical="center" wrapText="1"/>
    </xf>
    <xf numFmtId="0" fontId="9" fillId="5" borderId="16" xfId="0" applyFont="1" applyFill="1" applyBorder="1" applyAlignment="1">
      <alignment horizontal="center" vertical="center" wrapText="1"/>
    </xf>
    <xf numFmtId="0" fontId="2" fillId="2" borderId="0" xfId="4" applyNumberFormat="1" applyFill="1"/>
    <xf numFmtId="0" fontId="2" fillId="2" borderId="0" xfId="4" applyFill="1"/>
    <xf numFmtId="0" fontId="2" fillId="2" borderId="0" xfId="0" quotePrefix="1" applyFont="1" applyFill="1"/>
    <xf numFmtId="0" fontId="2" fillId="2" borderId="0" xfId="0" applyNumberFormat="1" applyFont="1" applyFill="1" applyBorder="1"/>
    <xf numFmtId="10" fontId="2" fillId="2" borderId="0" xfId="0" applyNumberFormat="1" applyFont="1" applyFill="1"/>
  </cellXfs>
  <cellStyles count="7">
    <cellStyle name="Normal" xfId="0" builtinId="0"/>
    <cellStyle name="Normal 2" xfId="1"/>
    <cellStyle name="Normal 2 2" xfId="4"/>
    <cellStyle name="Normal 3" xfId="5"/>
    <cellStyle name="Percent" xfId="2" builtinId="5"/>
    <cellStyle name="Percent 2" xfId="3"/>
    <cellStyle name="Percent 2 2" xfId="6"/>
  </cellStyles>
  <dxfs count="0"/>
  <tableStyles count="0" defaultTableStyle="TableStyleMedium9" defaultPivotStyle="PivotStyleLight16"/>
  <colors>
    <mruColors>
      <color rgb="FF8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2" Type="http://schemas.openxmlformats.org/officeDocument/2006/relationships/hyperlink" Target="mailto:cooper.mandelblatt@instinet.com" TargetMode="External"/><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180975</xdr:colOff>
          <xdr:row>2</xdr:row>
          <xdr:rowOff>152400</xdr:rowOff>
        </xdr:from>
        <xdr:to>
          <xdr:col>14</xdr:col>
          <xdr:colOff>257175</xdr:colOff>
          <xdr:row>5</xdr:row>
          <xdr:rowOff>104775</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Ticker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171450</xdr:colOff>
          <xdr:row>6</xdr:row>
          <xdr:rowOff>9525</xdr:rowOff>
        </xdr:from>
        <xdr:to>
          <xdr:col>14</xdr:col>
          <xdr:colOff>247650</xdr:colOff>
          <xdr:row>9</xdr:row>
          <xdr:rowOff>28575</xdr:rowOff>
        </xdr:to>
        <xdr:sp macro="" textlink="">
          <xdr:nvSpPr>
            <xdr:cNvPr id="1074" name="Button 50" hidden="1">
              <a:extLst>
                <a:ext uri="{63B3BB69-23CF-44E3-9099-C40C66FF867C}">
                  <a14:compatExt spid="_x0000_s1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Search by  CUSIP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2</xdr:row>
          <xdr:rowOff>152400</xdr:rowOff>
        </xdr:from>
        <xdr:to>
          <xdr:col>16</xdr:col>
          <xdr:colOff>466725</xdr:colOff>
          <xdr:row>5</xdr:row>
          <xdr:rowOff>104775</xdr:rowOff>
        </xdr:to>
        <xdr:sp macro="" textlink="">
          <xdr:nvSpPr>
            <xdr:cNvPr id="1292" name="Button 268" hidden="1">
              <a:extLst>
                <a:ext uri="{63B3BB69-23CF-44E3-9099-C40C66FF867C}">
                  <a14:compatExt spid="_x0000_s129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Sort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390525</xdr:colOff>
          <xdr:row>5</xdr:row>
          <xdr:rowOff>152400</xdr:rowOff>
        </xdr:from>
        <xdr:to>
          <xdr:col>16</xdr:col>
          <xdr:colOff>466725</xdr:colOff>
          <xdr:row>9</xdr:row>
          <xdr:rowOff>9525</xdr:rowOff>
        </xdr:to>
        <xdr:sp macro="" textlink="">
          <xdr:nvSpPr>
            <xdr:cNvPr id="1293" name="Button 269" hidden="1">
              <a:extLst>
                <a:ext uri="{63B3BB69-23CF-44E3-9099-C40C66FF867C}">
                  <a14:compatExt spid="_x0000_s12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Extract Portfolio</a:t>
              </a:r>
            </a:p>
          </xdr:txBody>
        </xdr:sp>
        <xdr:clientData fPrintsWithSheet="0"/>
      </xdr:twoCellAnchor>
    </mc:Choice>
    <mc:Fallback/>
  </mc:AlternateContent>
  <xdr:twoCellAnchor editAs="oneCell">
    <xdr:from>
      <xdr:col>0</xdr:col>
      <xdr:colOff>0</xdr:colOff>
      <xdr:row>0</xdr:row>
      <xdr:rowOff>0</xdr:rowOff>
    </xdr:from>
    <xdr:to>
      <xdr:col>10</xdr:col>
      <xdr:colOff>782731</xdr:colOff>
      <xdr:row>6</xdr:row>
      <xdr:rowOff>96931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480172</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177613</xdr:colOff>
      <xdr:row>6</xdr:row>
      <xdr:rowOff>96931</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344025" cy="1038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15</xdr:col>
      <xdr:colOff>267260</xdr:colOff>
      <xdr:row>6</xdr:row>
      <xdr:rowOff>96931</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9411260" cy="1068481"/>
        </a:xfrm>
        <a:prstGeom prst="rect">
          <a:avLst/>
        </a:prstGeom>
      </xdr:spPr>
    </xdr:pic>
    <xdr:clientData/>
  </xdr:twoCellAnchor>
  <xdr:twoCellAnchor>
    <xdr:from>
      <xdr:col>0</xdr:col>
      <xdr:colOff>291354</xdr:colOff>
      <xdr:row>15</xdr:row>
      <xdr:rowOff>73958</xdr:rowOff>
    </xdr:from>
    <xdr:to>
      <xdr:col>10</xdr:col>
      <xdr:colOff>231403</xdr:colOff>
      <xdr:row>44</xdr:row>
      <xdr:rowOff>134470</xdr:rowOff>
    </xdr:to>
    <xdr:sp macro="" textlink="">
      <xdr:nvSpPr>
        <xdr:cNvPr id="3" name="TextBox 2"/>
        <xdr:cNvSpPr txBox="1"/>
      </xdr:nvSpPr>
      <xdr:spPr>
        <a:xfrm>
          <a:off x="291354" y="2502833"/>
          <a:ext cx="6036049" cy="47563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a:solidFill>
                <a:schemeClr val="dk1"/>
              </a:solidFill>
              <a:effectLst/>
              <a:latin typeface="Arial" panose="020B0604020202020204" pitchFamily="34" charset="0"/>
              <a:ea typeface="+mn-ea"/>
              <a:cs typeface="Arial" panose="020B0604020202020204" pitchFamily="34" charset="0"/>
            </a:rPr>
            <a:t>Disclaimer</a:t>
          </a: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Notices: The information, tools and material presented in this communication have been prepared or distributed by individual Sales Trading personnel of Instinet, LLC, member SIPC (“Instinet” or the "Firm"), based on observations of various market and trading data, short-term market factors or current market trends, including, but not limited to, trading volumes, oversold/undersold indicators and other technical information, market color, published news stories and research prepared by Instinet affiliates. It is not a research report. It does not constitute an offer or solicitation with respect to the purchase or sale of any security. Any views expressed are those of the individual sender, except where the message states otherwise and the sender is authorized to state them to be the views of any such entity. Any views expressed may differ from, or be inconsistent with the views of other sales and trading personnel or the long-term views of research analysts employed by Instinet's affiliates. This communication is provided on an “as is” basis and is approved for distribution to institutional clients only. Investment research products and services are produced and offered by Nomura Securities International, Inc. member SIPC ("NSI"), an affiliate of Instinet, and not Instinet. Complete copies of any research reports prepared by NSI that are referenced, summarized or excerpted in this commentary should be read in conjunction with the full text of the actual report and related disclosures, available at http://www.nomura.com/research. These reports may contain dated information and are made available for historical purposes only. They should not be relied upon in substitution for the exercise of independent judgment, are intended for your use only, and may not be transmitted to other parties. Contact your Instinet sales representative at 212-310-9510 if you need assistance with accessing the reports. This communication contains material that is owned by Instinet or its licensors, and may not, in whole or in part, be (i) copied, photocopied or duplicated in any form, by any means, or (ii) redistributed, posted, published, excerpted, or quoted without Instinet’s prior written consent. Affiliates of Instinet may receive this communication simultaneously with Instinet clients. Please access the following link for important information and instructions: http://instinet.com/includes/index.jsp?thePage=/html/le_salestradingcomm.txt.</a:t>
          </a:r>
          <a:br>
            <a:rPr lang="en-US" sz="900" b="0" i="0" baseline="0">
              <a:solidFill>
                <a:schemeClr val="dk1"/>
              </a:solidFill>
              <a:effectLst/>
              <a:latin typeface="Arial" panose="020B0604020202020204" pitchFamily="34" charset="0"/>
              <a:ea typeface="+mn-ea"/>
              <a:cs typeface="Arial" panose="020B0604020202020204" pitchFamily="34" charset="0"/>
            </a:rPr>
          </a:b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©2016, Instinet Incorporated and its subsidiaries. All rights reserved. INSTINET is a registered trademark in the United States and other countries throughout the world.</a:t>
          </a:r>
          <a:br>
            <a:rPr lang="en-US" sz="900" b="0" i="0" baseline="0">
              <a:solidFill>
                <a:schemeClr val="dk1"/>
              </a:solidFill>
              <a:effectLst/>
              <a:latin typeface="Arial" panose="020B0604020202020204" pitchFamily="34" charset="0"/>
              <a:ea typeface="+mn-ea"/>
              <a:cs typeface="Arial" panose="020B0604020202020204" pitchFamily="34" charset="0"/>
            </a:rPr>
          </a:b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The Global Industry Classification Standard (GICS) was developed by and is the exclusive property of MSCI Inc. and Standard &amp; Poor’s. GICS is a service mark of MSCI and S&amp;P and has been licensed for use by Instinet or other notice as may be required or provided by MSCI.</a:t>
          </a:r>
          <a:br>
            <a:rPr lang="en-US" sz="900" b="0" i="0" baseline="0">
              <a:solidFill>
                <a:schemeClr val="dk1"/>
              </a:solidFill>
              <a:effectLst/>
              <a:latin typeface="Arial" panose="020B0604020202020204" pitchFamily="34" charset="0"/>
              <a:ea typeface="+mn-ea"/>
              <a:cs typeface="Arial" panose="020B0604020202020204" pitchFamily="34" charset="0"/>
            </a:rPr>
          </a:br>
          <a:endParaRPr lang="en-US" sz="900">
            <a:effectLst/>
            <a:latin typeface="Arial" panose="020B0604020202020204" pitchFamily="34" charset="0"/>
            <a:cs typeface="Arial" panose="020B0604020202020204" pitchFamily="34" charset="0"/>
          </a:endParaRPr>
        </a:p>
        <a:p>
          <a:pPr rtl="0"/>
          <a:r>
            <a:rPr lang="en-US" sz="900" b="0" i="0" baseline="0">
              <a:solidFill>
                <a:schemeClr val="dk1"/>
              </a:solidFill>
              <a:effectLst/>
              <a:latin typeface="Arial" panose="020B0604020202020204" pitchFamily="34" charset="0"/>
              <a:ea typeface="+mn-ea"/>
              <a:cs typeface="Arial" panose="020B0604020202020204" pitchFamily="34" charset="0"/>
            </a:rPr>
            <a:t>You have received this material because you are an institutional investor that has expressed interest in receiving market commentary provided by Instinet, LLC.  If you have received this in error, please alert sender to be immediately removed from the distribution list.</a:t>
          </a:r>
          <a:endParaRPr lang="en-US" sz="900">
            <a:effectLst/>
            <a:latin typeface="Arial" panose="020B0604020202020204" pitchFamily="34" charset="0"/>
            <a:cs typeface="Arial" panose="020B0604020202020204" pitchFamily="34" charset="0"/>
          </a:endParaRPr>
        </a:p>
      </xdr:txBody>
    </xdr:sp>
    <xdr:clientData/>
  </xdr:twoCellAnchor>
  <xdr:twoCellAnchor>
    <xdr:from>
      <xdr:col>0</xdr:col>
      <xdr:colOff>300879</xdr:colOff>
      <xdr:row>7</xdr:row>
      <xdr:rowOff>33618</xdr:rowOff>
    </xdr:from>
    <xdr:to>
      <xdr:col>10</xdr:col>
      <xdr:colOff>231403</xdr:colOff>
      <xdr:row>14</xdr:row>
      <xdr:rowOff>116541</xdr:rowOff>
    </xdr:to>
    <xdr:sp macro="" textlink="">
      <xdr:nvSpPr>
        <xdr:cNvPr id="4" name="TextBox 3">
          <a:hlinkClick xmlns:r="http://schemas.openxmlformats.org/officeDocument/2006/relationships" r:id="rId2"/>
        </xdr:cNvPr>
        <xdr:cNvSpPr txBox="1"/>
      </xdr:nvSpPr>
      <xdr:spPr>
        <a:xfrm>
          <a:off x="300879" y="1167093"/>
          <a:ext cx="6026524" cy="121639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900">
              <a:latin typeface="Arial" pitchFamily="34" charset="0"/>
              <a:cs typeface="Arial" pitchFamily="34" charset="0"/>
            </a:rPr>
            <a:t>Cooper Mandelblatt</a:t>
          </a:r>
          <a:br>
            <a:rPr lang="en-US" sz="900">
              <a:latin typeface="Arial" pitchFamily="34" charset="0"/>
              <a:cs typeface="Arial" pitchFamily="34" charset="0"/>
            </a:rPr>
          </a:br>
          <a:r>
            <a:rPr lang="en-US" sz="900">
              <a:latin typeface="Arial" pitchFamily="34" charset="0"/>
              <a:cs typeface="Arial" pitchFamily="34" charset="0"/>
            </a:rPr>
            <a:t>Instinet LLC</a:t>
          </a:r>
          <a:br>
            <a:rPr lang="en-US" sz="900">
              <a:latin typeface="Arial" pitchFamily="34" charset="0"/>
              <a:cs typeface="Arial" pitchFamily="34" charset="0"/>
            </a:rPr>
          </a:br>
          <a:r>
            <a:rPr lang="en-US" sz="900">
              <a:latin typeface="Arial" pitchFamily="34" charset="0"/>
              <a:cs typeface="Arial" pitchFamily="34" charset="0"/>
            </a:rPr>
            <a:t>cooper.mandelblatt@instinet.com</a:t>
          </a:r>
        </a:p>
        <a:p>
          <a:r>
            <a:rPr lang="en-US" sz="900">
              <a:latin typeface="Arial" pitchFamily="34" charset="0"/>
              <a:cs typeface="Arial" pitchFamily="34" charset="0"/>
            </a:rPr>
            <a:t>415-766-3018</a:t>
          </a:r>
        </a:p>
        <a:p>
          <a:endParaRPr lang="en-US" sz="900">
            <a:latin typeface="Arial" pitchFamily="34" charset="0"/>
            <a:cs typeface="Arial"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TEMP\ie5\Temporary%20Internet%20Files\OLK39\MSCI%20Graphs%20020308.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J:\TEMP\ie5\Temporary%20Internet%20Files\OLK39\MSCI%20Graphs%2002030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20Indices\+FTSE\June%202009%20Review\FTSE%20AW%20Jun09%20Review%20--%20Full%20Rebalance%20--%2010Jun09.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20Indices/+FTSE/June%202009%20Review/FTSE%20AW%20Jun09%20Review%20--%20Full%20Rebalance%20--%2010Jun0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TEMP/ie5/Temporary%20Internet%20Files/OLK39/MSCI%20Graphs%20020308.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Full Rebalance"/>
      <sheetName val="Contact"/>
    </sheetNames>
    <sheetDataSet>
      <sheetData sheetId="0"/>
      <sheetData sheetId="1"/>
      <sheetData sheetId="2"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MC"/>
      <sheetName val="Tracking Error"/>
      <sheetName val="EAFE"/>
      <sheetName val="EAFE Vol"/>
      <sheetName val="Europe"/>
      <sheetName val="Europe Vol"/>
      <sheetName val="Japan"/>
      <sheetName val="Asia"/>
      <sheetName val="USA"/>
      <sheetName val="Kokusai"/>
      <sheetName val="Kokusai Vol"/>
      <sheetName val="World"/>
      <sheetName val="Total Trade"/>
      <sheetName val="Total Trade Vol"/>
      <sheetName val="Disclaimer"/>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3:O520"/>
  <sheetViews>
    <sheetView tabSelected="1" zoomScale="85" zoomScaleNormal="85" workbookViewId="0">
      <pane ySplit="11" topLeftCell="A12" activePane="bottomLeft" state="frozen"/>
      <selection activeCell="Y530" sqref="Y530"/>
      <selection pane="bottomLeft" activeCell="A11" sqref="A11"/>
    </sheetView>
  </sheetViews>
  <sheetFormatPr defaultRowHeight="12.75" x14ac:dyDescent="0.2"/>
  <cols>
    <col min="1" max="1" width="9.140625" style="3"/>
    <col min="2" max="2" width="11" style="3" bestFit="1" customWidth="1"/>
    <col min="3" max="4" width="19.7109375" style="3" customWidth="1"/>
    <col min="5" max="5" width="9.140625" style="3"/>
    <col min="6" max="6" width="15.5703125" style="3" bestFit="1" customWidth="1"/>
    <col min="7" max="7" width="10.140625" style="78" customWidth="1"/>
    <col min="8" max="8" width="10.42578125" style="3" bestFit="1" customWidth="1"/>
    <col min="9" max="9" width="10.85546875" style="3" bestFit="1" customWidth="1"/>
    <col min="10" max="10" width="12.85546875" style="25" bestFit="1" customWidth="1"/>
    <col min="11" max="11" width="12.28515625" style="25" customWidth="1"/>
    <col min="12" max="16" width="9.140625" style="3"/>
    <col min="17" max="17" width="12.42578125" style="3" bestFit="1" customWidth="1"/>
    <col min="18" max="16384" width="9.140625" style="3"/>
  </cols>
  <sheetData>
    <row r="3" spans="1:15" x14ac:dyDescent="0.2">
      <c r="G3" s="3"/>
    </row>
    <row r="4" spans="1:15" x14ac:dyDescent="0.2">
      <c r="G4" s="3"/>
      <c r="L4" s="21"/>
      <c r="M4" s="21"/>
    </row>
    <row r="5" spans="1:15" x14ac:dyDescent="0.2">
      <c r="G5" s="3"/>
    </row>
    <row r="6" spans="1:15" x14ac:dyDescent="0.2">
      <c r="G6" s="3"/>
      <c r="L6" s="21"/>
      <c r="M6" s="21"/>
    </row>
    <row r="7" spans="1:15" x14ac:dyDescent="0.2">
      <c r="G7" s="3"/>
      <c r="L7" s="21"/>
      <c r="M7" s="21"/>
    </row>
    <row r="8" spans="1:15" s="76" customFormat="1" ht="15.75" x14ac:dyDescent="0.25">
      <c r="A8" s="1"/>
      <c r="B8" s="2" t="s">
        <v>1479</v>
      </c>
      <c r="J8" s="77"/>
      <c r="K8" s="77"/>
    </row>
    <row r="9" spans="1:15" s="76" customFormat="1" ht="15.75" x14ac:dyDescent="0.25">
      <c r="A9" s="1"/>
      <c r="B9" s="2" t="s">
        <v>1480</v>
      </c>
      <c r="J9" s="77"/>
      <c r="K9" s="77"/>
    </row>
    <row r="10" spans="1:15" x14ac:dyDescent="0.2">
      <c r="A10" s="46"/>
      <c r="G10" s="3"/>
    </row>
    <row r="11" spans="1:15" s="26" customFormat="1" ht="63.75" x14ac:dyDescent="0.25">
      <c r="A11" s="93" t="s">
        <v>839</v>
      </c>
      <c r="B11" s="94" t="s">
        <v>840</v>
      </c>
      <c r="C11" s="94" t="s">
        <v>842</v>
      </c>
      <c r="D11" s="94" t="s">
        <v>843</v>
      </c>
      <c r="E11" s="94" t="s">
        <v>875</v>
      </c>
      <c r="F11" s="94" t="s">
        <v>863</v>
      </c>
      <c r="G11" s="94" t="s">
        <v>1481</v>
      </c>
      <c r="H11" s="94" t="s">
        <v>874</v>
      </c>
      <c r="I11" s="94" t="s">
        <v>868</v>
      </c>
      <c r="J11" s="94" t="s">
        <v>869</v>
      </c>
      <c r="K11" s="116" t="s">
        <v>1280</v>
      </c>
      <c r="L11" s="95" t="s">
        <v>834</v>
      </c>
      <c r="M11" s="79"/>
    </row>
    <row r="12" spans="1:15" x14ac:dyDescent="0.2">
      <c r="A12" s="109" t="s">
        <v>1097</v>
      </c>
      <c r="B12" s="105" t="s">
        <v>1556</v>
      </c>
      <c r="C12" s="25" t="s">
        <v>641</v>
      </c>
      <c r="D12" s="25" t="s">
        <v>1052</v>
      </c>
      <c r="E12" s="25" t="s">
        <v>876</v>
      </c>
      <c r="F12" s="25" t="s">
        <v>877</v>
      </c>
      <c r="G12" s="106">
        <v>155.88999999999999</v>
      </c>
      <c r="H12" s="107">
        <v>412.87108047105443</v>
      </c>
      <c r="I12" s="81">
        <v>2648477.0060366569</v>
      </c>
      <c r="J12" s="81">
        <v>885528.5</v>
      </c>
      <c r="K12" s="82">
        <v>2.990843328065282</v>
      </c>
      <c r="L12" s="110">
        <v>2.990843328065282</v>
      </c>
      <c r="M12" s="80"/>
    </row>
    <row r="13" spans="1:15" x14ac:dyDescent="0.2">
      <c r="A13" s="109" t="s">
        <v>1523</v>
      </c>
      <c r="B13" s="105" t="s">
        <v>1557</v>
      </c>
      <c r="C13" s="25" t="s">
        <v>2061</v>
      </c>
      <c r="D13" s="25" t="s">
        <v>1053</v>
      </c>
      <c r="E13" s="25" t="s">
        <v>876</v>
      </c>
      <c r="F13" s="25" t="s">
        <v>877</v>
      </c>
      <c r="G13" s="106">
        <v>38.729999999999997</v>
      </c>
      <c r="H13" s="107">
        <v>161.15370468117518</v>
      </c>
      <c r="I13" s="81">
        <v>4160952.870673256</v>
      </c>
      <c r="J13" s="81">
        <v>2186028.5</v>
      </c>
      <c r="K13" s="82">
        <v>1.9034302941033276</v>
      </c>
      <c r="L13" s="110">
        <v>1.9034302941033276</v>
      </c>
      <c r="M13" s="80"/>
      <c r="O13" s="25"/>
    </row>
    <row r="14" spans="1:15" x14ac:dyDescent="0.2">
      <c r="A14" s="109" t="s">
        <v>1224</v>
      </c>
      <c r="B14" s="105" t="s">
        <v>1558</v>
      </c>
      <c r="C14" s="25" t="s">
        <v>33</v>
      </c>
      <c r="D14" s="25" t="s">
        <v>1059</v>
      </c>
      <c r="E14" s="25" t="s">
        <v>876</v>
      </c>
      <c r="F14" s="25" t="s">
        <v>877</v>
      </c>
      <c r="G14" s="106">
        <v>41.77</v>
      </c>
      <c r="H14" s="107">
        <v>46.476061356347621</v>
      </c>
      <c r="I14" s="81">
        <v>1112666.0607217527</v>
      </c>
      <c r="J14" s="81">
        <v>611859.375</v>
      </c>
      <c r="K14" s="82">
        <v>1.8184996523453656</v>
      </c>
      <c r="L14" s="110">
        <v>1.8184996523453656</v>
      </c>
      <c r="M14" s="80"/>
    </row>
    <row r="15" spans="1:15" x14ac:dyDescent="0.2">
      <c r="A15" s="109" t="s">
        <v>258</v>
      </c>
      <c r="B15" s="105" t="s">
        <v>1559</v>
      </c>
      <c r="C15" s="25" t="s">
        <v>101</v>
      </c>
      <c r="D15" s="25" t="s">
        <v>1058</v>
      </c>
      <c r="E15" s="25" t="s">
        <v>876</v>
      </c>
      <c r="F15" s="25" t="s">
        <v>877</v>
      </c>
      <c r="G15" s="106">
        <v>104.75</v>
      </c>
      <c r="H15" s="107">
        <v>165.87300333321994</v>
      </c>
      <c r="I15" s="81">
        <v>1583513.1583123624</v>
      </c>
      <c r="J15" s="81">
        <v>926974.9375</v>
      </c>
      <c r="K15" s="82">
        <v>1.7082588689862637</v>
      </c>
      <c r="L15" s="110">
        <v>1.7082588689862637</v>
      </c>
      <c r="M15" s="80"/>
    </row>
    <row r="16" spans="1:15" x14ac:dyDescent="0.2">
      <c r="A16" s="109" t="s">
        <v>1409</v>
      </c>
      <c r="B16" s="105" t="s">
        <v>1560</v>
      </c>
      <c r="C16" s="25" t="s">
        <v>2062</v>
      </c>
      <c r="D16" s="25" t="s">
        <v>1056</v>
      </c>
      <c r="E16" s="25" t="s">
        <v>876</v>
      </c>
      <c r="F16" s="25" t="s">
        <v>877</v>
      </c>
      <c r="G16" s="106">
        <v>177.4</v>
      </c>
      <c r="H16" s="107">
        <v>536.29328818479428</v>
      </c>
      <c r="I16" s="81">
        <v>3023073.7778173299</v>
      </c>
      <c r="J16" s="81">
        <v>1999311.875</v>
      </c>
      <c r="K16" s="82">
        <v>1.5120571310653221</v>
      </c>
      <c r="L16" s="110">
        <v>1.5120571310653221</v>
      </c>
      <c r="M16" s="80"/>
    </row>
    <row r="17" spans="1:13" x14ac:dyDescent="0.2">
      <c r="A17" s="109" t="s">
        <v>1379</v>
      </c>
      <c r="B17" s="105" t="s">
        <v>1561</v>
      </c>
      <c r="C17" s="25" t="s">
        <v>1381</v>
      </c>
      <c r="D17" s="25" t="s">
        <v>1054</v>
      </c>
      <c r="E17" s="25" t="s">
        <v>876</v>
      </c>
      <c r="F17" s="25" t="s">
        <v>877</v>
      </c>
      <c r="G17" s="106">
        <v>50.76</v>
      </c>
      <c r="H17" s="107">
        <v>237.40827269615008</v>
      </c>
      <c r="I17" s="81">
        <v>4677073.9301842013</v>
      </c>
      <c r="J17" s="81">
        <v>3563629</v>
      </c>
      <c r="K17" s="82">
        <v>1.312446927046615</v>
      </c>
      <c r="L17" s="110">
        <v>1.312446927046615</v>
      </c>
      <c r="M17" s="80"/>
    </row>
    <row r="18" spans="1:13" x14ac:dyDescent="0.2">
      <c r="A18" s="109" t="s">
        <v>1113</v>
      </c>
      <c r="B18" s="105" t="s">
        <v>1562</v>
      </c>
      <c r="C18" s="25" t="s">
        <v>654</v>
      </c>
      <c r="D18" s="25" t="s">
        <v>1055</v>
      </c>
      <c r="E18" s="25" t="s">
        <v>876</v>
      </c>
      <c r="F18" s="25" t="s">
        <v>877</v>
      </c>
      <c r="G18" s="106">
        <v>34.29</v>
      </c>
      <c r="H18" s="107">
        <v>77.132419175402532</v>
      </c>
      <c r="I18" s="81">
        <v>2249414.3824847634</v>
      </c>
      <c r="J18" s="81">
        <v>1894429</v>
      </c>
      <c r="K18" s="82">
        <v>1.1873838409804556</v>
      </c>
      <c r="L18" s="110">
        <v>1.1873838409804556</v>
      </c>
      <c r="M18" s="80"/>
    </row>
    <row r="19" spans="1:13" x14ac:dyDescent="0.2">
      <c r="A19" s="109" t="s">
        <v>1215</v>
      </c>
      <c r="B19" s="105" t="s">
        <v>1563</v>
      </c>
      <c r="C19" s="25" t="s">
        <v>24</v>
      </c>
      <c r="D19" s="25" t="s">
        <v>1051</v>
      </c>
      <c r="E19" s="25" t="s">
        <v>876</v>
      </c>
      <c r="F19" s="25" t="s">
        <v>877</v>
      </c>
      <c r="G19" s="106">
        <v>23.18</v>
      </c>
      <c r="H19" s="107">
        <v>83.770958165104176</v>
      </c>
      <c r="I19" s="81">
        <v>3613932.6214453918</v>
      </c>
      <c r="J19" s="81">
        <v>3199818.75</v>
      </c>
      <c r="K19" s="82">
        <v>1.1294179151382846</v>
      </c>
      <c r="L19" s="110">
        <v>1.1294179151382846</v>
      </c>
      <c r="M19" s="80"/>
    </row>
    <row r="20" spans="1:13" x14ac:dyDescent="0.2">
      <c r="A20" s="109" t="s">
        <v>907</v>
      </c>
      <c r="B20" s="105" t="s">
        <v>1564</v>
      </c>
      <c r="C20" s="25" t="s">
        <v>795</v>
      </c>
      <c r="D20" s="25" t="s">
        <v>1057</v>
      </c>
      <c r="E20" s="25" t="s">
        <v>876</v>
      </c>
      <c r="F20" s="25" t="s">
        <v>877</v>
      </c>
      <c r="G20" s="106">
        <v>61.12</v>
      </c>
      <c r="H20" s="107">
        <v>90.509416640234974</v>
      </c>
      <c r="I20" s="81">
        <v>1480847.7853441588</v>
      </c>
      <c r="J20" s="81">
        <v>1367961.75</v>
      </c>
      <c r="K20" s="82">
        <v>1.082521339024398</v>
      </c>
      <c r="L20" s="110">
        <v>1.082521339024398</v>
      </c>
      <c r="M20" s="80"/>
    </row>
    <row r="21" spans="1:13" x14ac:dyDescent="0.2">
      <c r="A21" s="109" t="s">
        <v>288</v>
      </c>
      <c r="B21" s="105" t="s">
        <v>1565</v>
      </c>
      <c r="C21" s="25" t="s">
        <v>130</v>
      </c>
      <c r="D21" s="25" t="s">
        <v>1060</v>
      </c>
      <c r="E21" s="25" t="s">
        <v>876</v>
      </c>
      <c r="F21" s="25" t="s">
        <v>879</v>
      </c>
      <c r="G21" s="106">
        <v>73.58</v>
      </c>
      <c r="H21" s="107">
        <v>123.6922777032709</v>
      </c>
      <c r="I21" s="81">
        <v>1681058.4085793819</v>
      </c>
      <c r="J21" s="81">
        <v>1662690.375</v>
      </c>
      <c r="K21" s="82">
        <v>1.0110471762244861</v>
      </c>
      <c r="L21" s="110">
        <v>1.0110471762244861</v>
      </c>
      <c r="M21" s="80"/>
    </row>
    <row r="22" spans="1:13" x14ac:dyDescent="0.2">
      <c r="A22" s="109" t="s">
        <v>1151</v>
      </c>
      <c r="B22" s="105" t="s">
        <v>1566</v>
      </c>
      <c r="C22" s="25" t="s">
        <v>684</v>
      </c>
      <c r="D22" s="25" t="s">
        <v>1065</v>
      </c>
      <c r="E22" s="25" t="s">
        <v>876</v>
      </c>
      <c r="F22" s="25" t="s">
        <v>877</v>
      </c>
      <c r="G22" s="106">
        <v>61.24</v>
      </c>
      <c r="H22" s="107">
        <v>89.360191922780174</v>
      </c>
      <c r="I22" s="81">
        <v>1459180.1424359921</v>
      </c>
      <c r="J22" s="81">
        <v>1548702.125</v>
      </c>
      <c r="K22" s="82">
        <v>0.94219548025479216</v>
      </c>
      <c r="L22" s="110">
        <v>0.94219548025479216</v>
      </c>
      <c r="M22" s="80"/>
    </row>
    <row r="23" spans="1:13" x14ac:dyDescent="0.2">
      <c r="A23" s="109" t="s">
        <v>268</v>
      </c>
      <c r="B23" s="105" t="s">
        <v>1567</v>
      </c>
      <c r="C23" s="25" t="s">
        <v>110</v>
      </c>
      <c r="D23" s="25" t="s">
        <v>1057</v>
      </c>
      <c r="E23" s="25" t="s">
        <v>876</v>
      </c>
      <c r="F23" s="25" t="s">
        <v>877</v>
      </c>
      <c r="G23" s="106">
        <v>103.33</v>
      </c>
      <c r="H23" s="107">
        <v>134.84064973061322</v>
      </c>
      <c r="I23" s="81">
        <v>1304951.6087352484</v>
      </c>
      <c r="J23" s="81">
        <v>1398337.375</v>
      </c>
      <c r="K23" s="82">
        <v>0.93321656995347668</v>
      </c>
      <c r="L23" s="110">
        <v>0.93321656995347668</v>
      </c>
      <c r="M23" s="80"/>
    </row>
    <row r="24" spans="1:13" x14ac:dyDescent="0.2">
      <c r="A24" s="109" t="s">
        <v>759</v>
      </c>
      <c r="B24" s="105" t="s">
        <v>1568</v>
      </c>
      <c r="C24" s="25" t="s">
        <v>958</v>
      </c>
      <c r="D24" s="25" t="s">
        <v>1058</v>
      </c>
      <c r="E24" s="25" t="s">
        <v>876</v>
      </c>
      <c r="F24" s="25" t="s">
        <v>879</v>
      </c>
      <c r="G24" s="106">
        <v>51.34</v>
      </c>
      <c r="H24" s="107">
        <v>259.76063790045174</v>
      </c>
      <c r="I24" s="81">
        <v>5059615.0740251597</v>
      </c>
      <c r="J24" s="81">
        <v>5547632.5</v>
      </c>
      <c r="K24" s="82">
        <v>0.91203140691550133</v>
      </c>
      <c r="L24" s="110">
        <v>0.91203140691550133</v>
      </c>
      <c r="M24" s="80"/>
    </row>
    <row r="25" spans="1:13" x14ac:dyDescent="0.2">
      <c r="A25" s="109" t="s">
        <v>1324</v>
      </c>
      <c r="B25" s="105" t="s">
        <v>1569</v>
      </c>
      <c r="C25" s="25" t="s">
        <v>1330</v>
      </c>
      <c r="D25" s="25" t="s">
        <v>1064</v>
      </c>
      <c r="E25" s="25" t="s">
        <v>876</v>
      </c>
      <c r="F25" s="25" t="s">
        <v>877</v>
      </c>
      <c r="G25" s="106">
        <v>21.77</v>
      </c>
      <c r="H25" s="107">
        <v>244.1161322130317</v>
      </c>
      <c r="I25" s="81">
        <v>11213419.026781429</v>
      </c>
      <c r="J25" s="81">
        <v>12880218</v>
      </c>
      <c r="K25" s="82">
        <v>0.87059233211591824</v>
      </c>
      <c r="L25" s="110">
        <v>0.87059233211591824</v>
      </c>
      <c r="M25" s="80"/>
    </row>
    <row r="26" spans="1:13" x14ac:dyDescent="0.2">
      <c r="A26" s="109" t="s">
        <v>1524</v>
      </c>
      <c r="B26" s="105" t="s">
        <v>1570</v>
      </c>
      <c r="C26" s="25" t="s">
        <v>2063</v>
      </c>
      <c r="D26" s="25" t="s">
        <v>1055</v>
      </c>
      <c r="E26" s="25" t="s">
        <v>876</v>
      </c>
      <c r="F26" s="25" t="s">
        <v>877</v>
      </c>
      <c r="G26" s="106">
        <v>25.45</v>
      </c>
      <c r="H26" s="107">
        <v>31.335885671331017</v>
      </c>
      <c r="I26" s="81">
        <v>1231272.5214668377</v>
      </c>
      <c r="J26" s="81">
        <v>1443907.25</v>
      </c>
      <c r="K26" s="82">
        <v>0.85273657395018809</v>
      </c>
      <c r="L26" s="110">
        <v>0.85273657395018809</v>
      </c>
      <c r="M26" s="80"/>
    </row>
    <row r="27" spans="1:13" x14ac:dyDescent="0.2">
      <c r="A27" s="109" t="s">
        <v>1445</v>
      </c>
      <c r="B27" s="105" t="s">
        <v>1571</v>
      </c>
      <c r="C27" s="25" t="s">
        <v>1463</v>
      </c>
      <c r="D27" s="25" t="s">
        <v>1053</v>
      </c>
      <c r="E27" s="25" t="s">
        <v>876</v>
      </c>
      <c r="F27" s="25" t="s">
        <v>877</v>
      </c>
      <c r="G27" s="106">
        <v>74.959999999999994</v>
      </c>
      <c r="H27" s="107">
        <v>157.29724774646786</v>
      </c>
      <c r="I27" s="81">
        <v>2098415.7917084834</v>
      </c>
      <c r="J27" s="81">
        <v>2471340</v>
      </c>
      <c r="K27" s="82">
        <v>0.8491004037115425</v>
      </c>
      <c r="L27" s="110">
        <v>0.8491004037115425</v>
      </c>
      <c r="M27" s="80"/>
    </row>
    <row r="28" spans="1:13" x14ac:dyDescent="0.2">
      <c r="A28" s="109" t="s">
        <v>1284</v>
      </c>
      <c r="B28" s="105" t="s">
        <v>1572</v>
      </c>
      <c r="C28" s="25" t="s">
        <v>1285</v>
      </c>
      <c r="D28" s="25" t="s">
        <v>1061</v>
      </c>
      <c r="E28" s="25" t="s">
        <v>876</v>
      </c>
      <c r="F28" s="25" t="s">
        <v>877</v>
      </c>
      <c r="G28" s="106">
        <v>373.8</v>
      </c>
      <c r="H28" s="107">
        <v>135.33575062185909</v>
      </c>
      <c r="I28" s="81">
        <v>362053.90749561024</v>
      </c>
      <c r="J28" s="81">
        <v>455283</v>
      </c>
      <c r="K28" s="82">
        <v>0.79522825911709916</v>
      </c>
      <c r="L28" s="110">
        <v>0.79522825911709916</v>
      </c>
      <c r="M28" s="80"/>
    </row>
    <row r="29" spans="1:13" x14ac:dyDescent="0.2">
      <c r="A29" s="109" t="s">
        <v>1448</v>
      </c>
      <c r="B29" s="105" t="s">
        <v>1573</v>
      </c>
      <c r="C29" s="25" t="s">
        <v>1469</v>
      </c>
      <c r="D29" s="25" t="s">
        <v>1055</v>
      </c>
      <c r="E29" s="25" t="s">
        <v>876</v>
      </c>
      <c r="F29" s="25" t="s">
        <v>877</v>
      </c>
      <c r="G29" s="106">
        <v>37.29</v>
      </c>
      <c r="H29" s="107">
        <v>154.71925303236208</v>
      </c>
      <c r="I29" s="81">
        <v>4149081.6045149388</v>
      </c>
      <c r="J29" s="81">
        <v>5990589</v>
      </c>
      <c r="K29" s="82">
        <v>0.69259994376428402</v>
      </c>
      <c r="L29" s="110">
        <v>0.69259994376428402</v>
      </c>
      <c r="M29" s="80"/>
    </row>
    <row r="30" spans="1:13" x14ac:dyDescent="0.2">
      <c r="A30" s="109" t="s">
        <v>249</v>
      </c>
      <c r="B30" s="105" t="s">
        <v>1574</v>
      </c>
      <c r="C30" s="25" t="s">
        <v>95</v>
      </c>
      <c r="D30" s="25" t="s">
        <v>1064</v>
      </c>
      <c r="E30" s="25" t="s">
        <v>876</v>
      </c>
      <c r="F30" s="25" t="s">
        <v>879</v>
      </c>
      <c r="G30" s="106">
        <v>35.729999999999997</v>
      </c>
      <c r="H30" s="107">
        <v>80.502876304254883</v>
      </c>
      <c r="I30" s="81">
        <v>2253089.1772811334</v>
      </c>
      <c r="J30" s="81">
        <v>3524382.5</v>
      </c>
      <c r="K30" s="82">
        <v>0.63928622312735162</v>
      </c>
      <c r="L30" s="110">
        <v>0.63928622312735162</v>
      </c>
      <c r="M30" s="80"/>
    </row>
    <row r="31" spans="1:13" x14ac:dyDescent="0.2">
      <c r="A31" s="109" t="s">
        <v>255</v>
      </c>
      <c r="B31" s="105" t="s">
        <v>1575</v>
      </c>
      <c r="C31" s="25" t="s">
        <v>2064</v>
      </c>
      <c r="D31" s="25" t="s">
        <v>1060</v>
      </c>
      <c r="E31" s="25" t="s">
        <v>876</v>
      </c>
      <c r="F31" s="25" t="s">
        <v>879</v>
      </c>
      <c r="G31" s="106">
        <v>215.69</v>
      </c>
      <c r="H31" s="107">
        <v>149.46097261339801</v>
      </c>
      <c r="I31" s="81">
        <v>692943.44945708185</v>
      </c>
      <c r="J31" s="81">
        <v>1167507</v>
      </c>
      <c r="K31" s="82">
        <v>0.59352402123249093</v>
      </c>
      <c r="L31" s="110">
        <v>0.59352402123249093</v>
      </c>
      <c r="M31" s="80"/>
    </row>
    <row r="32" spans="1:13" x14ac:dyDescent="0.2">
      <c r="A32" s="109" t="s">
        <v>1190</v>
      </c>
      <c r="B32" s="105" t="s">
        <v>1576</v>
      </c>
      <c r="C32" s="25" t="s">
        <v>2</v>
      </c>
      <c r="D32" s="25" t="s">
        <v>1070</v>
      </c>
      <c r="E32" s="25" t="s">
        <v>876</v>
      </c>
      <c r="F32" s="25" t="s">
        <v>877</v>
      </c>
      <c r="G32" s="106">
        <v>81.59</v>
      </c>
      <c r="H32" s="107">
        <v>33.803785321949903</v>
      </c>
      <c r="I32" s="81">
        <v>414312.84865730972</v>
      </c>
      <c r="J32" s="81">
        <v>698473.375</v>
      </c>
      <c r="K32" s="82">
        <v>0.59316913641455515</v>
      </c>
      <c r="L32" s="110">
        <v>0.59316913641455515</v>
      </c>
      <c r="M32" s="80"/>
    </row>
    <row r="33" spans="1:13" x14ac:dyDescent="0.2">
      <c r="A33" s="109" t="s">
        <v>1194</v>
      </c>
      <c r="B33" s="105" t="s">
        <v>1577</v>
      </c>
      <c r="C33" s="25" t="s">
        <v>5</v>
      </c>
      <c r="D33" s="25" t="s">
        <v>1064</v>
      </c>
      <c r="E33" s="25" t="s">
        <v>876</v>
      </c>
      <c r="F33" s="25" t="s">
        <v>877</v>
      </c>
      <c r="G33" s="106">
        <v>56.42</v>
      </c>
      <c r="H33" s="107">
        <v>104.9488586076945</v>
      </c>
      <c r="I33" s="81">
        <v>1860135.7427808312</v>
      </c>
      <c r="J33" s="81">
        <v>3576205</v>
      </c>
      <c r="K33" s="82">
        <v>0.52014236957356508</v>
      </c>
      <c r="L33" s="110">
        <v>0.52014236957356508</v>
      </c>
      <c r="M33" s="80"/>
    </row>
    <row r="34" spans="1:13" x14ac:dyDescent="0.2">
      <c r="A34" s="109" t="s">
        <v>1117</v>
      </c>
      <c r="B34" s="105" t="s">
        <v>1578</v>
      </c>
      <c r="C34" s="25" t="s">
        <v>1353</v>
      </c>
      <c r="D34" s="25" t="s">
        <v>1060</v>
      </c>
      <c r="E34" s="25" t="s">
        <v>876</v>
      </c>
      <c r="F34" s="25" t="s">
        <v>877</v>
      </c>
      <c r="G34" s="106">
        <v>29.75</v>
      </c>
      <c r="H34" s="107">
        <v>27.535639981020754</v>
      </c>
      <c r="I34" s="81">
        <v>925567.73045447911</v>
      </c>
      <c r="J34" s="81">
        <v>1993596.875</v>
      </c>
      <c r="K34" s="82">
        <v>0.46427025546700817</v>
      </c>
      <c r="L34" s="110">
        <v>0.46427025546700817</v>
      </c>
      <c r="M34" s="80"/>
    </row>
    <row r="35" spans="1:13" x14ac:dyDescent="0.2">
      <c r="A35" s="109" t="s">
        <v>283</v>
      </c>
      <c r="B35" s="105" t="s">
        <v>1579</v>
      </c>
      <c r="C35" s="25" t="s">
        <v>125</v>
      </c>
      <c r="D35" s="25" t="s">
        <v>1070</v>
      </c>
      <c r="E35" s="25" t="s">
        <v>876</v>
      </c>
      <c r="F35" s="25" t="s">
        <v>877</v>
      </c>
      <c r="G35" s="106">
        <v>64.040000000000006</v>
      </c>
      <c r="H35" s="107">
        <v>57.347817148762402</v>
      </c>
      <c r="I35" s="81">
        <v>895499.95547723921</v>
      </c>
      <c r="J35" s="81">
        <v>1956845.375</v>
      </c>
      <c r="K35" s="82">
        <v>0.45762427983214526</v>
      </c>
      <c r="L35" s="110">
        <v>0.45762427983214526</v>
      </c>
      <c r="M35" s="80"/>
    </row>
    <row r="36" spans="1:13" x14ac:dyDescent="0.2">
      <c r="A36" s="109" t="s">
        <v>720</v>
      </c>
      <c r="B36" s="105" t="s">
        <v>1580</v>
      </c>
      <c r="C36" s="25" t="s">
        <v>591</v>
      </c>
      <c r="D36" s="25" t="s">
        <v>1060</v>
      </c>
      <c r="E36" s="25" t="s">
        <v>876</v>
      </c>
      <c r="F36" s="25" t="s">
        <v>879</v>
      </c>
      <c r="G36" s="106">
        <v>368.34</v>
      </c>
      <c r="H36" s="107">
        <v>81.597666852925045</v>
      </c>
      <c r="I36" s="81">
        <v>221528.11764382102</v>
      </c>
      <c r="J36" s="81">
        <v>497705.0625</v>
      </c>
      <c r="K36" s="82">
        <v>0.44509918490897615</v>
      </c>
      <c r="L36" s="110">
        <v>0.44509918490897615</v>
      </c>
      <c r="M36" s="80"/>
    </row>
    <row r="37" spans="1:13" x14ac:dyDescent="0.2">
      <c r="A37" s="109" t="s">
        <v>893</v>
      </c>
      <c r="B37" s="105" t="s">
        <v>1581</v>
      </c>
      <c r="C37" s="25" t="s">
        <v>781</v>
      </c>
      <c r="D37" s="25" t="s">
        <v>1063</v>
      </c>
      <c r="E37" s="25" t="s">
        <v>876</v>
      </c>
      <c r="F37" s="25" t="s">
        <v>877</v>
      </c>
      <c r="G37" s="106">
        <v>771.29</v>
      </c>
      <c r="H37" s="107">
        <v>719.55782283321423</v>
      </c>
      <c r="I37" s="81">
        <v>932927.72217092698</v>
      </c>
      <c r="J37" s="81">
        <v>2153962.25</v>
      </c>
      <c r="K37" s="82">
        <v>0.43312166783374545</v>
      </c>
      <c r="L37" s="110">
        <v>0.43312166783374545</v>
      </c>
      <c r="M37" s="80"/>
    </row>
    <row r="38" spans="1:13" x14ac:dyDescent="0.2">
      <c r="A38" s="109" t="s">
        <v>1247</v>
      </c>
      <c r="B38" s="105" t="s">
        <v>1582</v>
      </c>
      <c r="C38" s="25" t="s">
        <v>54</v>
      </c>
      <c r="D38" s="25" t="s">
        <v>1064</v>
      </c>
      <c r="E38" s="25" t="s">
        <v>876</v>
      </c>
      <c r="F38" s="25" t="s">
        <v>877</v>
      </c>
      <c r="G38" s="106">
        <v>28.93</v>
      </c>
      <c r="H38" s="107">
        <v>36.683012534330558</v>
      </c>
      <c r="I38" s="81">
        <v>1267992.1373774824</v>
      </c>
      <c r="J38" s="81">
        <v>2963297.5</v>
      </c>
      <c r="K38" s="82">
        <v>0.42789903388960521</v>
      </c>
      <c r="L38" s="110">
        <v>0.42789903388960521</v>
      </c>
      <c r="M38" s="80"/>
    </row>
    <row r="39" spans="1:13" x14ac:dyDescent="0.2">
      <c r="A39" s="109" t="s">
        <v>1141</v>
      </c>
      <c r="B39" s="105" t="s">
        <v>1583</v>
      </c>
      <c r="C39" s="25" t="s">
        <v>676</v>
      </c>
      <c r="D39" s="25" t="s">
        <v>1058</v>
      </c>
      <c r="E39" s="25" t="s">
        <v>876</v>
      </c>
      <c r="F39" s="25" t="s">
        <v>879</v>
      </c>
      <c r="G39" s="106">
        <v>75.69</v>
      </c>
      <c r="H39" s="107">
        <v>103.99514693922818</v>
      </c>
      <c r="I39" s="81">
        <v>1373961.5132676465</v>
      </c>
      <c r="J39" s="81">
        <v>3353162</v>
      </c>
      <c r="K39" s="82">
        <v>0.4097510091273987</v>
      </c>
      <c r="L39" s="110">
        <v>0.4097510091273987</v>
      </c>
      <c r="M39" s="80"/>
    </row>
    <row r="40" spans="1:13" x14ac:dyDescent="0.2">
      <c r="A40" s="109" t="s">
        <v>237</v>
      </c>
      <c r="B40" s="105" t="s">
        <v>1584</v>
      </c>
      <c r="C40" s="25" t="s">
        <v>85</v>
      </c>
      <c r="D40" s="25" t="s">
        <v>1064</v>
      </c>
      <c r="E40" s="25" t="s">
        <v>876</v>
      </c>
      <c r="F40" s="25" t="s">
        <v>879</v>
      </c>
      <c r="G40" s="106">
        <v>182.92</v>
      </c>
      <c r="H40" s="107">
        <v>141.7481311437333</v>
      </c>
      <c r="I40" s="81">
        <v>774918.7138843938</v>
      </c>
      <c r="J40" s="81">
        <v>1908984.875</v>
      </c>
      <c r="K40" s="82">
        <v>0.405932348670072</v>
      </c>
      <c r="L40" s="110">
        <v>0.405932348670072</v>
      </c>
      <c r="M40" s="80"/>
    </row>
    <row r="41" spans="1:13" x14ac:dyDescent="0.2">
      <c r="A41" s="109" t="s">
        <v>220</v>
      </c>
      <c r="B41" s="105" t="s">
        <v>1585</v>
      </c>
      <c r="C41" s="25" t="s">
        <v>70</v>
      </c>
      <c r="D41" s="25" t="s">
        <v>1058</v>
      </c>
      <c r="E41" s="25" t="s">
        <v>876</v>
      </c>
      <c r="F41" s="25" t="s">
        <v>879</v>
      </c>
      <c r="G41" s="106">
        <v>62.36</v>
      </c>
      <c r="H41" s="107">
        <v>70.972794260228994</v>
      </c>
      <c r="I41" s="81">
        <v>1138114.0837111769</v>
      </c>
      <c r="J41" s="81">
        <v>2995940.25</v>
      </c>
      <c r="K41" s="82">
        <v>0.37988544121037693</v>
      </c>
      <c r="L41" s="110">
        <v>0.37988544121037693</v>
      </c>
      <c r="M41" s="80"/>
    </row>
    <row r="42" spans="1:13" x14ac:dyDescent="0.2">
      <c r="A42" s="109" t="s">
        <v>1525</v>
      </c>
      <c r="B42" s="105" t="s">
        <v>1586</v>
      </c>
      <c r="C42" s="25" t="s">
        <v>2065</v>
      </c>
      <c r="D42" s="25" t="s">
        <v>1068</v>
      </c>
      <c r="E42" s="25" t="s">
        <v>876</v>
      </c>
      <c r="F42" s="25" t="s">
        <v>877</v>
      </c>
      <c r="G42" s="106">
        <v>52.41</v>
      </c>
      <c r="H42" s="107">
        <v>34.335668600400176</v>
      </c>
      <c r="I42" s="81">
        <v>655135.82523182931</v>
      </c>
      <c r="J42" s="81">
        <v>1728303.75</v>
      </c>
      <c r="K42" s="82">
        <v>0.37906289634089452</v>
      </c>
      <c r="L42" s="110">
        <v>0.37906289634089452</v>
      </c>
      <c r="M42" s="80"/>
    </row>
    <row r="43" spans="1:13" x14ac:dyDescent="0.2">
      <c r="A43" s="109" t="s">
        <v>1210</v>
      </c>
      <c r="B43" s="105" t="s">
        <v>1587</v>
      </c>
      <c r="C43" s="25" t="s">
        <v>20</v>
      </c>
      <c r="D43" s="25" t="s">
        <v>1053</v>
      </c>
      <c r="E43" s="25" t="s">
        <v>876</v>
      </c>
      <c r="F43" s="25" t="s">
        <v>879</v>
      </c>
      <c r="G43" s="106">
        <v>687.55</v>
      </c>
      <c r="H43" s="107">
        <v>45.877696405384562</v>
      </c>
      <c r="I43" s="81">
        <v>66726.341946599612</v>
      </c>
      <c r="J43" s="81">
        <v>176214.453125</v>
      </c>
      <c r="K43" s="82">
        <v>0.37866554509729355</v>
      </c>
      <c r="L43" s="110">
        <v>0.37866554509729355</v>
      </c>
      <c r="M43" s="80"/>
    </row>
    <row r="44" spans="1:13" x14ac:dyDescent="0.2">
      <c r="A44" s="109" t="s">
        <v>1526</v>
      </c>
      <c r="B44" s="105" t="s">
        <v>1588</v>
      </c>
      <c r="C44" s="25" t="s">
        <v>2066</v>
      </c>
      <c r="D44" s="25" t="s">
        <v>1055</v>
      </c>
      <c r="E44" s="25" t="s">
        <v>876</v>
      </c>
      <c r="F44" s="25" t="s">
        <v>877</v>
      </c>
      <c r="G44" s="106">
        <v>41.29</v>
      </c>
      <c r="H44" s="107">
        <v>126.73293480805285</v>
      </c>
      <c r="I44" s="81">
        <v>3069337.2440797491</v>
      </c>
      <c r="J44" s="81">
        <v>8787836</v>
      </c>
      <c r="K44" s="82">
        <v>0.34927111112220904</v>
      </c>
      <c r="L44" s="110">
        <v>0.34927111112220904</v>
      </c>
      <c r="M44" s="80"/>
    </row>
    <row r="45" spans="1:13" x14ac:dyDescent="0.2">
      <c r="A45" s="109" t="s">
        <v>946</v>
      </c>
      <c r="B45" s="105" t="s">
        <v>1589</v>
      </c>
      <c r="C45" s="25" t="s">
        <v>829</v>
      </c>
      <c r="D45" s="25" t="s">
        <v>1070</v>
      </c>
      <c r="E45" s="25" t="s">
        <v>876</v>
      </c>
      <c r="F45" s="25" t="s">
        <v>879</v>
      </c>
      <c r="G45" s="106">
        <v>58.63</v>
      </c>
      <c r="H45" s="107">
        <v>150.95155208280227</v>
      </c>
      <c r="I45" s="81">
        <v>2574646.9739519404</v>
      </c>
      <c r="J45" s="81">
        <v>8035274.5</v>
      </c>
      <c r="K45" s="82">
        <v>0.3204180484377902</v>
      </c>
      <c r="L45" s="110">
        <v>0.3204180484377902</v>
      </c>
      <c r="M45" s="80"/>
    </row>
    <row r="46" spans="1:13" x14ac:dyDescent="0.2">
      <c r="A46" s="109" t="s">
        <v>1268</v>
      </c>
      <c r="B46" s="105" t="s">
        <v>1590</v>
      </c>
      <c r="C46" s="25" t="s">
        <v>1259</v>
      </c>
      <c r="D46" s="25" t="s">
        <v>1061</v>
      </c>
      <c r="E46" s="25" t="s">
        <v>876</v>
      </c>
      <c r="F46" s="25" t="s">
        <v>879</v>
      </c>
      <c r="G46" s="106">
        <v>149.30000000000001</v>
      </c>
      <c r="H46" s="107">
        <v>123.18500085477991</v>
      </c>
      <c r="I46" s="81">
        <v>825083.72977079637</v>
      </c>
      <c r="J46" s="81">
        <v>2613043.5</v>
      </c>
      <c r="K46" s="82">
        <v>0.31575583405741098</v>
      </c>
      <c r="L46" s="110">
        <v>0.31575583405741098</v>
      </c>
      <c r="M46" s="80"/>
    </row>
    <row r="47" spans="1:13" x14ac:dyDescent="0.2">
      <c r="A47" s="109" t="s">
        <v>1366</v>
      </c>
      <c r="B47" s="105" t="s">
        <v>1591</v>
      </c>
      <c r="C47" s="25" t="s">
        <v>1368</v>
      </c>
      <c r="D47" s="25" t="s">
        <v>1054</v>
      </c>
      <c r="E47" s="25" t="s">
        <v>876</v>
      </c>
      <c r="F47" s="25" t="s">
        <v>879</v>
      </c>
      <c r="G47" s="106">
        <v>64.510000000000005</v>
      </c>
      <c r="H47" s="107">
        <v>128.76831162597043</v>
      </c>
      <c r="I47" s="81">
        <v>1996098.4595561991</v>
      </c>
      <c r="J47" s="81">
        <v>6523376.5</v>
      </c>
      <c r="K47" s="82">
        <v>0.30599160719241014</v>
      </c>
      <c r="L47" s="110">
        <v>0.30599160719241014</v>
      </c>
      <c r="M47" s="80"/>
    </row>
    <row r="48" spans="1:13" x14ac:dyDescent="0.2">
      <c r="A48" s="109" t="s">
        <v>1183</v>
      </c>
      <c r="B48" s="105" t="s">
        <v>1592</v>
      </c>
      <c r="C48" s="25" t="s">
        <v>608</v>
      </c>
      <c r="D48" s="25" t="s">
        <v>1057</v>
      </c>
      <c r="E48" s="25" t="s">
        <v>876</v>
      </c>
      <c r="F48" s="25" t="s">
        <v>879</v>
      </c>
      <c r="G48" s="106">
        <v>71.42</v>
      </c>
      <c r="H48" s="107">
        <v>61.044851278062914</v>
      </c>
      <c r="I48" s="81">
        <v>854730.48555114691</v>
      </c>
      <c r="J48" s="81">
        <v>2799710.25</v>
      </c>
      <c r="K48" s="82">
        <v>0.30529248001686848</v>
      </c>
      <c r="L48" s="110">
        <v>0.30529248001686848</v>
      </c>
      <c r="M48" s="80"/>
    </row>
    <row r="49" spans="1:13" x14ac:dyDescent="0.2">
      <c r="A49" s="109" t="s">
        <v>764</v>
      </c>
      <c r="B49" s="105" t="s">
        <v>1593</v>
      </c>
      <c r="C49" s="25" t="s">
        <v>963</v>
      </c>
      <c r="D49" s="25" t="s">
        <v>1053</v>
      </c>
      <c r="E49" s="25" t="s">
        <v>876</v>
      </c>
      <c r="F49" s="25" t="s">
        <v>879</v>
      </c>
      <c r="G49" s="106">
        <v>137.27000000000001</v>
      </c>
      <c r="H49" s="107">
        <v>81.527261235947279</v>
      </c>
      <c r="I49" s="81">
        <v>593919.0007718167</v>
      </c>
      <c r="J49" s="81">
        <v>2158263.75</v>
      </c>
      <c r="K49" s="82">
        <v>0.27518369836486234</v>
      </c>
      <c r="L49" s="110">
        <v>0.27518369836486234</v>
      </c>
      <c r="M49" s="80"/>
    </row>
    <row r="50" spans="1:13" x14ac:dyDescent="0.2">
      <c r="A50" s="109" t="s">
        <v>754</v>
      </c>
      <c r="B50" s="105" t="s">
        <v>1594</v>
      </c>
      <c r="C50" s="25" t="s">
        <v>953</v>
      </c>
      <c r="D50" s="25" t="s">
        <v>1066</v>
      </c>
      <c r="E50" s="25" t="s">
        <v>876</v>
      </c>
      <c r="F50" s="25" t="s">
        <v>879</v>
      </c>
      <c r="G50" s="106">
        <v>88.3</v>
      </c>
      <c r="H50" s="107">
        <v>178.42764687757233</v>
      </c>
      <c r="I50" s="81">
        <v>2020698.1526338884</v>
      </c>
      <c r="J50" s="81">
        <v>7626381.5</v>
      </c>
      <c r="K50" s="82">
        <v>0.2649615879606716</v>
      </c>
      <c r="L50" s="110">
        <v>0.2649615879606716</v>
      </c>
      <c r="M50" s="80"/>
    </row>
    <row r="51" spans="1:13" x14ac:dyDescent="0.2">
      <c r="A51" s="109" t="s">
        <v>187</v>
      </c>
      <c r="B51" s="105" t="s">
        <v>1595</v>
      </c>
      <c r="C51" s="25" t="s">
        <v>1327</v>
      </c>
      <c r="D51" s="25" t="s">
        <v>1059</v>
      </c>
      <c r="E51" s="25" t="s">
        <v>876</v>
      </c>
      <c r="F51" s="25" t="s">
        <v>879</v>
      </c>
      <c r="G51" s="106">
        <v>111.44</v>
      </c>
      <c r="H51" s="107">
        <v>21.53526007969959</v>
      </c>
      <c r="I51" s="81">
        <v>193245.33452709613</v>
      </c>
      <c r="J51" s="81">
        <v>751043.8125</v>
      </c>
      <c r="K51" s="82">
        <v>0.25730234549678305</v>
      </c>
      <c r="L51" s="110">
        <v>0.25730234549678305</v>
      </c>
      <c r="M51" s="80"/>
    </row>
    <row r="52" spans="1:13" x14ac:dyDescent="0.2">
      <c r="A52" s="109" t="s">
        <v>1371</v>
      </c>
      <c r="B52" s="105" t="s">
        <v>1596</v>
      </c>
      <c r="C52" s="25" t="s">
        <v>1380</v>
      </c>
      <c r="D52" s="25" t="s">
        <v>1074</v>
      </c>
      <c r="E52" s="25" t="s">
        <v>876</v>
      </c>
      <c r="F52" s="25" t="s">
        <v>879</v>
      </c>
      <c r="G52" s="106">
        <v>31.81</v>
      </c>
      <c r="H52" s="107">
        <v>93.366008735842144</v>
      </c>
      <c r="I52" s="81">
        <v>2935115.0184169174</v>
      </c>
      <c r="J52" s="81">
        <v>11537323</v>
      </c>
      <c r="K52" s="82">
        <v>0.25440173759692064</v>
      </c>
      <c r="L52" s="110">
        <v>0.25440173759692064</v>
      </c>
      <c r="M52" s="80"/>
    </row>
    <row r="53" spans="1:13" x14ac:dyDescent="0.2">
      <c r="A53" s="109" t="s">
        <v>264</v>
      </c>
      <c r="B53" s="105" t="s">
        <v>1597</v>
      </c>
      <c r="C53" s="25" t="s">
        <v>106</v>
      </c>
      <c r="D53" s="25" t="s">
        <v>1064</v>
      </c>
      <c r="E53" s="25" t="s">
        <v>876</v>
      </c>
      <c r="F53" s="25" t="s">
        <v>879</v>
      </c>
      <c r="G53" s="106">
        <v>14.43</v>
      </c>
      <c r="H53" s="107">
        <v>36.643974240225177</v>
      </c>
      <c r="I53" s="81">
        <v>2539429.9542775592</v>
      </c>
      <c r="J53" s="81">
        <v>10252289</v>
      </c>
      <c r="K53" s="82">
        <v>0.2476939495441027</v>
      </c>
      <c r="L53" s="110">
        <v>0.2476939495441027</v>
      </c>
      <c r="M53" s="80"/>
    </row>
    <row r="54" spans="1:13" x14ac:dyDescent="0.2">
      <c r="A54" s="109" t="s">
        <v>1527</v>
      </c>
      <c r="B54" s="105" t="s">
        <v>1598</v>
      </c>
      <c r="C54" s="25" t="s">
        <v>2067</v>
      </c>
      <c r="D54" s="25" t="s">
        <v>1060</v>
      </c>
      <c r="E54" s="25" t="s">
        <v>876</v>
      </c>
      <c r="F54" s="25" t="s">
        <v>879</v>
      </c>
      <c r="G54" s="106">
        <v>160.65</v>
      </c>
      <c r="H54" s="107">
        <v>14.654601993673655</v>
      </c>
      <c r="I54" s="81">
        <v>91220.678454239984</v>
      </c>
      <c r="J54" s="81">
        <v>368692.8125</v>
      </c>
      <c r="K54" s="82">
        <v>0.24741648158448976</v>
      </c>
      <c r="L54" s="110">
        <v>0.24741648158448976</v>
      </c>
      <c r="M54" s="80"/>
    </row>
    <row r="55" spans="1:13" x14ac:dyDescent="0.2">
      <c r="A55" s="109" t="s">
        <v>1114</v>
      </c>
      <c r="B55" s="105" t="s">
        <v>1599</v>
      </c>
      <c r="C55" s="25" t="s">
        <v>655</v>
      </c>
      <c r="D55" s="25" t="s">
        <v>1057</v>
      </c>
      <c r="E55" s="25" t="s">
        <v>876</v>
      </c>
      <c r="F55" s="25" t="s">
        <v>879</v>
      </c>
      <c r="G55" s="106">
        <v>46.57</v>
      </c>
      <c r="H55" s="107">
        <v>24.615965353955534</v>
      </c>
      <c r="I55" s="81">
        <v>528579.88735141803</v>
      </c>
      <c r="J55" s="81">
        <v>2187778</v>
      </c>
      <c r="K55" s="82">
        <v>0.24160581528446581</v>
      </c>
      <c r="L55" s="110">
        <v>0.24160581528446581</v>
      </c>
      <c r="M55" s="80"/>
    </row>
    <row r="56" spans="1:13" x14ac:dyDescent="0.2">
      <c r="A56" s="109" t="s">
        <v>273</v>
      </c>
      <c r="B56" s="105" t="s">
        <v>1600</v>
      </c>
      <c r="C56" s="25" t="s">
        <v>115</v>
      </c>
      <c r="D56" s="25" t="s">
        <v>1054</v>
      </c>
      <c r="E56" s="25" t="s">
        <v>876</v>
      </c>
      <c r="F56" s="25" t="s">
        <v>879</v>
      </c>
      <c r="G56" s="106">
        <v>153.51</v>
      </c>
      <c r="H56" s="107">
        <v>39.416088943142505</v>
      </c>
      <c r="I56" s="81">
        <v>256765.61099044036</v>
      </c>
      <c r="J56" s="81">
        <v>1075482.5</v>
      </c>
      <c r="K56" s="82">
        <v>0.23874457370569988</v>
      </c>
      <c r="L56" s="110">
        <v>0.23874457370569988</v>
      </c>
      <c r="M56" s="80"/>
    </row>
    <row r="57" spans="1:13" x14ac:dyDescent="0.2">
      <c r="A57" s="109" t="s">
        <v>1116</v>
      </c>
      <c r="B57" s="105" t="s">
        <v>1601</v>
      </c>
      <c r="C57" s="25" t="s">
        <v>2068</v>
      </c>
      <c r="D57" s="25" t="s">
        <v>1059</v>
      </c>
      <c r="E57" s="25" t="s">
        <v>876</v>
      </c>
      <c r="F57" s="25" t="s">
        <v>879</v>
      </c>
      <c r="G57" s="106">
        <v>127.08</v>
      </c>
      <c r="H57" s="107">
        <v>34.309468927251153</v>
      </c>
      <c r="I57" s="81">
        <v>269983.23046310322</v>
      </c>
      <c r="J57" s="81">
        <v>1141966.25</v>
      </c>
      <c r="K57" s="82">
        <v>0.23641962313956583</v>
      </c>
      <c r="L57" s="110">
        <v>0.23641962313956583</v>
      </c>
      <c r="M57" s="80"/>
    </row>
    <row r="58" spans="1:13" x14ac:dyDescent="0.2">
      <c r="A58" s="109" t="s">
        <v>1098</v>
      </c>
      <c r="B58" s="105" t="s">
        <v>1602</v>
      </c>
      <c r="C58" s="25" t="s">
        <v>642</v>
      </c>
      <c r="D58" s="25" t="s">
        <v>1051</v>
      </c>
      <c r="E58" s="25" t="s">
        <v>876</v>
      </c>
      <c r="F58" s="25" t="s">
        <v>879</v>
      </c>
      <c r="G58" s="106">
        <v>62.08</v>
      </c>
      <c r="H58" s="107">
        <v>13.99590400540408</v>
      </c>
      <c r="I58" s="81">
        <v>225449.48462313274</v>
      </c>
      <c r="J58" s="81">
        <v>959270.3125</v>
      </c>
      <c r="K58" s="82">
        <v>0.2350218511772538</v>
      </c>
      <c r="L58" s="110">
        <v>0.2350218511772538</v>
      </c>
      <c r="M58" s="80"/>
    </row>
    <row r="59" spans="1:13" x14ac:dyDescent="0.2">
      <c r="A59" s="109" t="s">
        <v>1528</v>
      </c>
      <c r="B59" s="105" t="s">
        <v>1603</v>
      </c>
      <c r="C59" s="25" t="s">
        <v>2069</v>
      </c>
      <c r="D59" s="25" t="s">
        <v>1067</v>
      </c>
      <c r="E59" s="25" t="s">
        <v>876</v>
      </c>
      <c r="F59" s="25" t="s">
        <v>879</v>
      </c>
      <c r="G59" s="106">
        <v>83.1</v>
      </c>
      <c r="H59" s="107">
        <v>12.69042847105298</v>
      </c>
      <c r="I59" s="81">
        <v>152712.73731712374</v>
      </c>
      <c r="J59" s="81">
        <v>672468.75</v>
      </c>
      <c r="K59" s="82">
        <v>0.22709268990882289</v>
      </c>
      <c r="L59" s="110">
        <v>0.22709268990882289</v>
      </c>
      <c r="M59" s="80"/>
    </row>
    <row r="60" spans="1:13" x14ac:dyDescent="0.2">
      <c r="A60" s="109" t="s">
        <v>1414</v>
      </c>
      <c r="B60" s="105" t="s">
        <v>1604</v>
      </c>
      <c r="C60" s="25" t="s">
        <v>2070</v>
      </c>
      <c r="D60" s="25" t="s">
        <v>1055</v>
      </c>
      <c r="E60" s="25" t="s">
        <v>876</v>
      </c>
      <c r="F60" s="25" t="s">
        <v>879</v>
      </c>
      <c r="G60" s="106">
        <v>795.82</v>
      </c>
      <c r="H60" s="107">
        <v>208.91136192651521</v>
      </c>
      <c r="I60" s="81">
        <v>262510.82145022141</v>
      </c>
      <c r="J60" s="81">
        <v>1179429.25</v>
      </c>
      <c r="K60" s="82">
        <v>0.22257445408465273</v>
      </c>
      <c r="L60" s="110">
        <v>0.22257445408465273</v>
      </c>
      <c r="M60" s="80"/>
    </row>
    <row r="61" spans="1:13" x14ac:dyDescent="0.2">
      <c r="A61" s="109" t="s">
        <v>262</v>
      </c>
      <c r="B61" s="105" t="s">
        <v>1605</v>
      </c>
      <c r="C61" s="25" t="s">
        <v>105</v>
      </c>
      <c r="D61" s="25" t="s">
        <v>1057</v>
      </c>
      <c r="E61" s="25" t="s">
        <v>876</v>
      </c>
      <c r="F61" s="25" t="s">
        <v>879</v>
      </c>
      <c r="G61" s="106">
        <v>166.8</v>
      </c>
      <c r="H61" s="107">
        <v>27.114118108384758</v>
      </c>
      <c r="I61" s="81">
        <v>162554.66491837383</v>
      </c>
      <c r="J61" s="81">
        <v>735443.375</v>
      </c>
      <c r="K61" s="82">
        <v>0.22102947751534757</v>
      </c>
      <c r="L61" s="110">
        <v>0.22102947751534757</v>
      </c>
      <c r="M61" s="80"/>
    </row>
    <row r="62" spans="1:13" x14ac:dyDescent="0.2">
      <c r="A62" s="109" t="s">
        <v>1146</v>
      </c>
      <c r="B62" s="105" t="s">
        <v>1606</v>
      </c>
      <c r="C62" s="25" t="s">
        <v>679</v>
      </c>
      <c r="D62" s="25" t="s">
        <v>1053</v>
      </c>
      <c r="E62" s="25" t="s">
        <v>876</v>
      </c>
      <c r="F62" s="25" t="s">
        <v>879</v>
      </c>
      <c r="G62" s="106">
        <v>81.84</v>
      </c>
      <c r="H62" s="107">
        <v>36.371769678281815</v>
      </c>
      <c r="I62" s="81">
        <v>444425.3381999245</v>
      </c>
      <c r="J62" s="81">
        <v>2047473.875</v>
      </c>
      <c r="K62" s="82">
        <v>0.21706032180748802</v>
      </c>
      <c r="L62" s="110">
        <v>0.21706032180748802</v>
      </c>
      <c r="M62" s="80"/>
    </row>
    <row r="63" spans="1:13" x14ac:dyDescent="0.2">
      <c r="A63" s="109" t="s">
        <v>1174</v>
      </c>
      <c r="B63" s="105" t="s">
        <v>1607</v>
      </c>
      <c r="C63" s="25" t="s">
        <v>703</v>
      </c>
      <c r="D63" s="25" t="s">
        <v>1055</v>
      </c>
      <c r="E63" s="25" t="s">
        <v>876</v>
      </c>
      <c r="F63" s="25" t="s">
        <v>879</v>
      </c>
      <c r="G63" s="106">
        <v>79.38</v>
      </c>
      <c r="H63" s="107">
        <v>20.27568392429211</v>
      </c>
      <c r="I63" s="81">
        <v>255425.59743376306</v>
      </c>
      <c r="J63" s="81">
        <v>1215665.75</v>
      </c>
      <c r="K63" s="82">
        <v>0.21011170005716051</v>
      </c>
      <c r="L63" s="110">
        <v>0.21011170005716051</v>
      </c>
      <c r="M63" s="80"/>
    </row>
    <row r="64" spans="1:13" x14ac:dyDescent="0.2">
      <c r="A64" s="109" t="s">
        <v>913</v>
      </c>
      <c r="B64" s="105" t="s">
        <v>1608</v>
      </c>
      <c r="C64" s="25" t="s">
        <v>799</v>
      </c>
      <c r="D64" s="25" t="s">
        <v>1052</v>
      </c>
      <c r="E64" s="25" t="s">
        <v>876</v>
      </c>
      <c r="F64" s="25" t="s">
        <v>879</v>
      </c>
      <c r="G64" s="106">
        <v>54.13</v>
      </c>
      <c r="H64" s="107">
        <v>51.309902458525016</v>
      </c>
      <c r="I64" s="81">
        <v>947901.39402410889</v>
      </c>
      <c r="J64" s="81">
        <v>4553619.5</v>
      </c>
      <c r="K64" s="82">
        <v>0.20816438308561111</v>
      </c>
      <c r="L64" s="110">
        <v>0.20816438308561111</v>
      </c>
      <c r="M64" s="80"/>
    </row>
    <row r="65" spans="1:13" x14ac:dyDescent="0.2">
      <c r="A65" s="109" t="s">
        <v>227</v>
      </c>
      <c r="B65" s="105" t="s">
        <v>1609</v>
      </c>
      <c r="C65" s="25" t="s">
        <v>76</v>
      </c>
      <c r="D65" s="25" t="s">
        <v>1054</v>
      </c>
      <c r="E65" s="25" t="s">
        <v>876</v>
      </c>
      <c r="F65" s="25" t="s">
        <v>879</v>
      </c>
      <c r="G65" s="106">
        <v>54.41</v>
      </c>
      <c r="H65" s="107">
        <v>4.9100037610365943</v>
      </c>
      <c r="I65" s="81">
        <v>90240.833689332736</v>
      </c>
      <c r="J65" s="81">
        <v>437110.90625</v>
      </c>
      <c r="K65" s="82">
        <v>0.20644836905012076</v>
      </c>
      <c r="L65" s="110">
        <v>0.20644836905012076</v>
      </c>
      <c r="M65" s="80"/>
    </row>
    <row r="66" spans="1:13" x14ac:dyDescent="0.2">
      <c r="A66" s="109" t="s">
        <v>911</v>
      </c>
      <c r="B66" s="105" t="s">
        <v>1610</v>
      </c>
      <c r="C66" s="25" t="s">
        <v>1345</v>
      </c>
      <c r="D66" s="25" t="s">
        <v>1052</v>
      </c>
      <c r="E66" s="25" t="s">
        <v>876</v>
      </c>
      <c r="F66" s="25" t="s">
        <v>879</v>
      </c>
      <c r="G66" s="106">
        <v>70.45</v>
      </c>
      <c r="H66" s="107">
        <v>33.160338366140735</v>
      </c>
      <c r="I66" s="81">
        <v>470693.23443776765</v>
      </c>
      <c r="J66" s="81">
        <v>2306571.75</v>
      </c>
      <c r="K66" s="82">
        <v>0.20406615768088188</v>
      </c>
      <c r="L66" s="110">
        <v>0.20406615768088188</v>
      </c>
      <c r="M66" s="80"/>
    </row>
    <row r="67" spans="1:13" x14ac:dyDescent="0.2">
      <c r="A67" s="109" t="s">
        <v>1106</v>
      </c>
      <c r="B67" s="105" t="s">
        <v>1611</v>
      </c>
      <c r="C67" s="25" t="s">
        <v>1352</v>
      </c>
      <c r="D67" s="25" t="s">
        <v>1053</v>
      </c>
      <c r="E67" s="25" t="s">
        <v>876</v>
      </c>
      <c r="F67" s="25" t="s">
        <v>879</v>
      </c>
      <c r="G67" s="106">
        <v>177.25</v>
      </c>
      <c r="H67" s="107">
        <v>31.130711253508725</v>
      </c>
      <c r="I67" s="81">
        <v>175631.6572835471</v>
      </c>
      <c r="J67" s="81">
        <v>885631.875</v>
      </c>
      <c r="K67" s="82">
        <v>0.19831225844660016</v>
      </c>
      <c r="L67" s="110">
        <v>0.19831225844660016</v>
      </c>
      <c r="M67" s="80"/>
    </row>
    <row r="68" spans="1:13" x14ac:dyDescent="0.2">
      <c r="A68" s="109" t="s">
        <v>755</v>
      </c>
      <c r="B68" s="105" t="s">
        <v>1612</v>
      </c>
      <c r="C68" s="25" t="s">
        <v>954</v>
      </c>
      <c r="D68" s="25" t="s">
        <v>1057</v>
      </c>
      <c r="E68" s="25" t="s">
        <v>876</v>
      </c>
      <c r="F68" s="25" t="s">
        <v>879</v>
      </c>
      <c r="G68" s="106">
        <v>100.26</v>
      </c>
      <c r="H68" s="107">
        <v>67.718131655289511</v>
      </c>
      <c r="I68" s="81">
        <v>675425.21100428386</v>
      </c>
      <c r="J68" s="81">
        <v>3412488.25</v>
      </c>
      <c r="K68" s="82">
        <v>0.19792748326804754</v>
      </c>
      <c r="L68" s="110">
        <v>0.19792748326804754</v>
      </c>
      <c r="M68" s="80"/>
    </row>
    <row r="69" spans="1:13" x14ac:dyDescent="0.2">
      <c r="A69" s="109" t="s">
        <v>765</v>
      </c>
      <c r="B69" s="105" t="s">
        <v>1613</v>
      </c>
      <c r="C69" s="25" t="s">
        <v>964</v>
      </c>
      <c r="D69" s="25" t="s">
        <v>1071</v>
      </c>
      <c r="E69" s="25" t="s">
        <v>876</v>
      </c>
      <c r="F69" s="25" t="s">
        <v>879</v>
      </c>
      <c r="G69" s="106">
        <v>109.12</v>
      </c>
      <c r="H69" s="107">
        <v>42.859156346590488</v>
      </c>
      <c r="I69" s="81">
        <v>392770.86094749352</v>
      </c>
      <c r="J69" s="81">
        <v>1985124.5</v>
      </c>
      <c r="K69" s="82">
        <v>0.19785704168554341</v>
      </c>
      <c r="L69" s="110">
        <v>0.19785704168554341</v>
      </c>
      <c r="M69" s="80"/>
    </row>
    <row r="70" spans="1:13" x14ac:dyDescent="0.2">
      <c r="A70" s="109" t="s">
        <v>1125</v>
      </c>
      <c r="B70" s="105" t="s">
        <v>1614</v>
      </c>
      <c r="C70" s="25" t="s">
        <v>663</v>
      </c>
      <c r="D70" s="25" t="s">
        <v>1059</v>
      </c>
      <c r="E70" s="25" t="s">
        <v>876</v>
      </c>
      <c r="F70" s="25" t="s">
        <v>879</v>
      </c>
      <c r="G70" s="106">
        <v>77.36</v>
      </c>
      <c r="H70" s="107">
        <v>6.7244232602040759</v>
      </c>
      <c r="I70" s="81">
        <v>86923.775338728999</v>
      </c>
      <c r="J70" s="81">
        <v>443608.84375</v>
      </c>
      <c r="K70" s="82">
        <v>0.19594689457479736</v>
      </c>
      <c r="L70" s="110">
        <v>0.19594689457479736</v>
      </c>
      <c r="M70" s="80"/>
    </row>
    <row r="71" spans="1:13" x14ac:dyDescent="0.2">
      <c r="A71" s="109" t="s">
        <v>1080</v>
      </c>
      <c r="B71" s="105" t="s">
        <v>1615</v>
      </c>
      <c r="C71" s="25" t="s">
        <v>625</v>
      </c>
      <c r="D71" s="25" t="s">
        <v>1055</v>
      </c>
      <c r="E71" s="25" t="s">
        <v>876</v>
      </c>
      <c r="F71" s="25" t="s">
        <v>879</v>
      </c>
      <c r="G71" s="106">
        <v>89.59</v>
      </c>
      <c r="H71" s="107">
        <v>24.260769568353112</v>
      </c>
      <c r="I71" s="81">
        <v>270797.74046604655</v>
      </c>
      <c r="J71" s="81">
        <v>1384045.25</v>
      </c>
      <c r="K71" s="82">
        <v>0.19565671026004861</v>
      </c>
      <c r="L71" s="110">
        <v>0.19565671026004861</v>
      </c>
      <c r="M71" s="80"/>
    </row>
    <row r="72" spans="1:13" x14ac:dyDescent="0.2">
      <c r="A72" s="109" t="s">
        <v>279</v>
      </c>
      <c r="B72" s="105" t="s">
        <v>1616</v>
      </c>
      <c r="C72" s="25" t="s">
        <v>121</v>
      </c>
      <c r="D72" s="25" t="s">
        <v>1068</v>
      </c>
      <c r="E72" s="25" t="s">
        <v>876</v>
      </c>
      <c r="F72" s="25" t="s">
        <v>879</v>
      </c>
      <c r="G72" s="106">
        <v>41.21</v>
      </c>
      <c r="H72" s="107">
        <v>7.7943183628341393</v>
      </c>
      <c r="I72" s="81">
        <v>189136.57759849887</v>
      </c>
      <c r="J72" s="81">
        <v>974660.625</v>
      </c>
      <c r="K72" s="82">
        <v>0.19405377907669027</v>
      </c>
      <c r="L72" s="110">
        <v>0.19405377907669027</v>
      </c>
      <c r="M72" s="80"/>
    </row>
    <row r="73" spans="1:13" x14ac:dyDescent="0.2">
      <c r="A73" s="109" t="s">
        <v>722</v>
      </c>
      <c r="B73" s="105" t="s">
        <v>1617</v>
      </c>
      <c r="C73" s="25" t="s">
        <v>593</v>
      </c>
      <c r="D73" s="25" t="s">
        <v>1053</v>
      </c>
      <c r="E73" s="25" t="s">
        <v>876</v>
      </c>
      <c r="F73" s="25" t="s">
        <v>879</v>
      </c>
      <c r="G73" s="106">
        <v>116.1</v>
      </c>
      <c r="H73" s="107">
        <v>25.667785936566453</v>
      </c>
      <c r="I73" s="81">
        <v>221083.4275328721</v>
      </c>
      <c r="J73" s="81">
        <v>1143394.625</v>
      </c>
      <c r="K73" s="82">
        <v>0.19335706386836662</v>
      </c>
      <c r="L73" s="110">
        <v>0.19335706386836662</v>
      </c>
      <c r="M73" s="80"/>
    </row>
    <row r="74" spans="1:13" x14ac:dyDescent="0.2">
      <c r="A74" s="109" t="s">
        <v>1336</v>
      </c>
      <c r="B74" s="105" t="s">
        <v>1618</v>
      </c>
      <c r="C74" s="25" t="s">
        <v>1349</v>
      </c>
      <c r="D74" s="25" t="s">
        <v>1057</v>
      </c>
      <c r="E74" s="25" t="s">
        <v>876</v>
      </c>
      <c r="F74" s="25" t="s">
        <v>879</v>
      </c>
      <c r="G74" s="106">
        <v>43.04</v>
      </c>
      <c r="H74" s="107">
        <v>46.161163014018534</v>
      </c>
      <c r="I74" s="81">
        <v>1072517.7280208766</v>
      </c>
      <c r="J74" s="81">
        <v>5567027</v>
      </c>
      <c r="K74" s="82">
        <v>0.1926553846462172</v>
      </c>
      <c r="L74" s="110">
        <v>0.1926553846462172</v>
      </c>
      <c r="M74" s="80"/>
    </row>
    <row r="75" spans="1:13" x14ac:dyDescent="0.2">
      <c r="A75" s="109" t="s">
        <v>1093</v>
      </c>
      <c r="B75" s="105" t="s">
        <v>1619</v>
      </c>
      <c r="C75" s="25" t="s">
        <v>637</v>
      </c>
      <c r="D75" s="25" t="s">
        <v>1060</v>
      </c>
      <c r="E75" s="25" t="s">
        <v>876</v>
      </c>
      <c r="F75" s="25" t="s">
        <v>879</v>
      </c>
      <c r="G75" s="106">
        <v>113.84</v>
      </c>
      <c r="H75" s="107">
        <v>33.116405719285538</v>
      </c>
      <c r="I75" s="81">
        <v>290903.07202464459</v>
      </c>
      <c r="J75" s="81">
        <v>1553628.125</v>
      </c>
      <c r="K75" s="82">
        <v>0.18724112118184305</v>
      </c>
      <c r="L75" s="110">
        <v>0.18724112118184305</v>
      </c>
      <c r="M75" s="80"/>
    </row>
    <row r="76" spans="1:13" x14ac:dyDescent="0.2">
      <c r="A76" s="109" t="s">
        <v>1158</v>
      </c>
      <c r="B76" s="105" t="s">
        <v>1620</v>
      </c>
      <c r="C76" s="25" t="s">
        <v>690</v>
      </c>
      <c r="D76" s="25" t="s">
        <v>1067</v>
      </c>
      <c r="E76" s="25" t="s">
        <v>876</v>
      </c>
      <c r="F76" s="25" t="s">
        <v>879</v>
      </c>
      <c r="G76" s="106">
        <v>131.88999999999999</v>
      </c>
      <c r="H76" s="107">
        <v>11.685480088566257</v>
      </c>
      <c r="I76" s="81">
        <v>88600.197805491393</v>
      </c>
      <c r="J76" s="81">
        <v>478348.9375</v>
      </c>
      <c r="K76" s="82">
        <v>0.18522085210127887</v>
      </c>
      <c r="L76" s="110">
        <v>0.18522085210127887</v>
      </c>
      <c r="M76" s="80"/>
    </row>
    <row r="77" spans="1:13" x14ac:dyDescent="0.2">
      <c r="A77" s="109" t="s">
        <v>773</v>
      </c>
      <c r="B77" s="105" t="s">
        <v>1621</v>
      </c>
      <c r="C77" s="25" t="s">
        <v>971</v>
      </c>
      <c r="D77" s="25" t="s">
        <v>1064</v>
      </c>
      <c r="E77" s="25" t="s">
        <v>876</v>
      </c>
      <c r="F77" s="25" t="s">
        <v>879</v>
      </c>
      <c r="G77" s="106">
        <v>87.84</v>
      </c>
      <c r="H77" s="107">
        <v>157.38601760594523</v>
      </c>
      <c r="I77" s="81">
        <v>1791735.1731095768</v>
      </c>
      <c r="J77" s="81">
        <v>9678566</v>
      </c>
      <c r="K77" s="82">
        <v>0.18512403315838077</v>
      </c>
      <c r="L77" s="110">
        <v>0.18512403315838077</v>
      </c>
      <c r="M77" s="80"/>
    </row>
    <row r="78" spans="1:13" x14ac:dyDescent="0.2">
      <c r="A78" s="109" t="s">
        <v>910</v>
      </c>
      <c r="B78" s="105" t="s">
        <v>1622</v>
      </c>
      <c r="C78" s="25" t="s">
        <v>797</v>
      </c>
      <c r="D78" s="25" t="s">
        <v>1064</v>
      </c>
      <c r="E78" s="25" t="s">
        <v>876</v>
      </c>
      <c r="F78" s="25" t="s">
        <v>879</v>
      </c>
      <c r="G78" s="106">
        <v>102.05</v>
      </c>
      <c r="H78" s="107">
        <v>104.40534224724146</v>
      </c>
      <c r="I78" s="81">
        <v>1023080.2767980546</v>
      </c>
      <c r="J78" s="81">
        <v>5558222.5</v>
      </c>
      <c r="K78" s="82">
        <v>0.18406608889767451</v>
      </c>
      <c r="L78" s="110">
        <v>0.18406608889767451</v>
      </c>
      <c r="M78" s="80"/>
    </row>
    <row r="79" spans="1:13" x14ac:dyDescent="0.2">
      <c r="A79" s="109" t="s">
        <v>930</v>
      </c>
      <c r="B79" s="105" t="s">
        <v>1623</v>
      </c>
      <c r="C79" s="25" t="s">
        <v>814</v>
      </c>
      <c r="D79" s="25" t="s">
        <v>1056</v>
      </c>
      <c r="E79" s="25" t="s">
        <v>876</v>
      </c>
      <c r="F79" s="25" t="s">
        <v>879</v>
      </c>
      <c r="G79" s="106">
        <v>35.549999999999997</v>
      </c>
      <c r="H79" s="107">
        <v>109.46904092625726</v>
      </c>
      <c r="I79" s="81">
        <v>3079297.9163504154</v>
      </c>
      <c r="J79" s="81">
        <v>16816114</v>
      </c>
      <c r="K79" s="82">
        <v>0.18311590396868238</v>
      </c>
      <c r="L79" s="110">
        <v>0.18311590396868238</v>
      </c>
      <c r="M79" s="80"/>
    </row>
    <row r="80" spans="1:13" x14ac:dyDescent="0.2">
      <c r="A80" s="109" t="s">
        <v>1529</v>
      </c>
      <c r="B80" s="105" t="s">
        <v>1624</v>
      </c>
      <c r="C80" s="25" t="s">
        <v>2071</v>
      </c>
      <c r="D80" s="25" t="s">
        <v>1066</v>
      </c>
      <c r="E80" s="25" t="s">
        <v>876</v>
      </c>
      <c r="F80" s="25" t="s">
        <v>879</v>
      </c>
      <c r="G80" s="106">
        <v>100</v>
      </c>
      <c r="H80" s="107">
        <v>10.984169483512458</v>
      </c>
      <c r="I80" s="81">
        <v>109841.6948351246</v>
      </c>
      <c r="J80" s="81">
        <v>601934.75</v>
      </c>
      <c r="K80" s="82">
        <v>0.18248106598784103</v>
      </c>
      <c r="L80" s="110">
        <v>0.18248106598784103</v>
      </c>
      <c r="M80" s="80"/>
    </row>
    <row r="81" spans="1:13" x14ac:dyDescent="0.2">
      <c r="A81" s="109" t="s">
        <v>251</v>
      </c>
      <c r="B81" s="105" t="s">
        <v>1625</v>
      </c>
      <c r="C81" s="25" t="s">
        <v>97</v>
      </c>
      <c r="D81" s="25" t="s">
        <v>1052</v>
      </c>
      <c r="E81" s="25" t="s">
        <v>876</v>
      </c>
      <c r="F81" s="25" t="s">
        <v>877</v>
      </c>
      <c r="G81" s="106">
        <v>286.68</v>
      </c>
      <c r="H81" s="107">
        <v>32.737922627516895</v>
      </c>
      <c r="I81" s="81">
        <v>114196.74420091006</v>
      </c>
      <c r="J81" s="81">
        <v>627054.625</v>
      </c>
      <c r="K81" s="82">
        <v>0.18211610224692953</v>
      </c>
      <c r="L81" s="110">
        <v>0.18211610224692953</v>
      </c>
      <c r="M81" s="80"/>
    </row>
    <row r="82" spans="1:13" x14ac:dyDescent="0.2">
      <c r="A82" s="109" t="s">
        <v>1530</v>
      </c>
      <c r="B82" s="105" t="s">
        <v>1626</v>
      </c>
      <c r="C82" s="25" t="s">
        <v>2072</v>
      </c>
      <c r="D82" s="25" t="s">
        <v>1068</v>
      </c>
      <c r="E82" s="25" t="s">
        <v>876</v>
      </c>
      <c r="F82" s="25" t="s">
        <v>879</v>
      </c>
      <c r="G82" s="106">
        <v>289.17</v>
      </c>
      <c r="H82" s="107">
        <v>16.223111748843483</v>
      </c>
      <c r="I82" s="81">
        <v>56102.333398497358</v>
      </c>
      <c r="J82" s="81">
        <v>313144.0625</v>
      </c>
      <c r="K82" s="82">
        <v>0.17915822178010277</v>
      </c>
      <c r="L82" s="110">
        <v>0.17915822178010277</v>
      </c>
      <c r="M82" s="80"/>
    </row>
    <row r="83" spans="1:13" x14ac:dyDescent="0.2">
      <c r="A83" s="109" t="s">
        <v>756</v>
      </c>
      <c r="B83" s="105" t="s">
        <v>1627</v>
      </c>
      <c r="C83" s="25" t="s">
        <v>955</v>
      </c>
      <c r="D83" s="25" t="s">
        <v>1056</v>
      </c>
      <c r="E83" s="25" t="s">
        <v>876</v>
      </c>
      <c r="F83" s="25" t="s">
        <v>879</v>
      </c>
      <c r="G83" s="106">
        <v>62.98</v>
      </c>
      <c r="H83" s="107">
        <v>74.430551444661077</v>
      </c>
      <c r="I83" s="81">
        <v>1181812.5030908396</v>
      </c>
      <c r="J83" s="81">
        <v>6715867</v>
      </c>
      <c r="K83" s="82">
        <v>0.17597318456289257</v>
      </c>
      <c r="L83" s="110">
        <v>0.17597318456289257</v>
      </c>
      <c r="M83" s="80"/>
    </row>
    <row r="84" spans="1:13" x14ac:dyDescent="0.2">
      <c r="A84" s="109" t="s">
        <v>1111</v>
      </c>
      <c r="B84" s="105" t="s">
        <v>1628</v>
      </c>
      <c r="C84" s="25" t="s">
        <v>652</v>
      </c>
      <c r="D84" s="25" t="s">
        <v>1053</v>
      </c>
      <c r="E84" s="25" t="s">
        <v>876</v>
      </c>
      <c r="F84" s="25" t="s">
        <v>879</v>
      </c>
      <c r="G84" s="106">
        <v>24.3</v>
      </c>
      <c r="H84" s="107">
        <v>25.157967660610197</v>
      </c>
      <c r="I84" s="81">
        <v>1035307.311136222</v>
      </c>
      <c r="J84" s="81">
        <v>5977073</v>
      </c>
      <c r="K84" s="82">
        <v>0.17321309462611917</v>
      </c>
      <c r="L84" s="110">
        <v>0.17321309462611917</v>
      </c>
      <c r="M84" s="80"/>
    </row>
    <row r="85" spans="1:13" x14ac:dyDescent="0.2">
      <c r="A85" s="109" t="s">
        <v>1170</v>
      </c>
      <c r="B85" s="105" t="s">
        <v>1629</v>
      </c>
      <c r="C85" s="25" t="s">
        <v>700</v>
      </c>
      <c r="D85" s="25" t="s">
        <v>1063</v>
      </c>
      <c r="E85" s="25" t="s">
        <v>876</v>
      </c>
      <c r="F85" s="25" t="s">
        <v>877</v>
      </c>
      <c r="G85" s="106">
        <v>109.8</v>
      </c>
      <c r="H85" s="107">
        <v>31.651472454029363</v>
      </c>
      <c r="I85" s="81">
        <v>288264.77644835482</v>
      </c>
      <c r="J85" s="81">
        <v>1671159.375</v>
      </c>
      <c r="K85" s="82">
        <v>0.17249388703477478</v>
      </c>
      <c r="L85" s="110">
        <v>0.17249388703477478</v>
      </c>
      <c r="M85" s="80"/>
    </row>
    <row r="86" spans="1:13" x14ac:dyDescent="0.2">
      <c r="A86" s="109" t="s">
        <v>1248</v>
      </c>
      <c r="B86" s="105" t="s">
        <v>1630</v>
      </c>
      <c r="C86" s="25" t="s">
        <v>1468</v>
      </c>
      <c r="D86" s="25" t="s">
        <v>1054</v>
      </c>
      <c r="E86" s="25" t="s">
        <v>876</v>
      </c>
      <c r="F86" s="25" t="s">
        <v>877</v>
      </c>
      <c r="G86" s="106">
        <v>43.22</v>
      </c>
      <c r="H86" s="107">
        <v>55.065764026163741</v>
      </c>
      <c r="I86" s="81">
        <v>1274080.611433682</v>
      </c>
      <c r="J86" s="81">
        <v>7528468</v>
      </c>
      <c r="K86" s="82">
        <v>0.16923504376105231</v>
      </c>
      <c r="L86" s="110">
        <v>0.16923504376105231</v>
      </c>
      <c r="M86" s="80"/>
    </row>
    <row r="87" spans="1:13" x14ac:dyDescent="0.2">
      <c r="A87" s="109" t="s">
        <v>736</v>
      </c>
      <c r="B87" s="105" t="s">
        <v>1631</v>
      </c>
      <c r="C87" s="25" t="s">
        <v>605</v>
      </c>
      <c r="D87" s="25" t="s">
        <v>1060</v>
      </c>
      <c r="E87" s="25" t="s">
        <v>876</v>
      </c>
      <c r="F87" s="25" t="s">
        <v>879</v>
      </c>
      <c r="G87" s="106">
        <v>66.38</v>
      </c>
      <c r="H87" s="107">
        <v>14.604423844718685</v>
      </c>
      <c r="I87" s="81">
        <v>220012.41103824473</v>
      </c>
      <c r="J87" s="81">
        <v>1303883.25</v>
      </c>
      <c r="K87" s="82">
        <v>0.1687362814410299</v>
      </c>
      <c r="L87" s="110">
        <v>0.1687362814410299</v>
      </c>
      <c r="M87" s="80"/>
    </row>
    <row r="88" spans="1:13" x14ac:dyDescent="0.2">
      <c r="A88" s="109" t="s">
        <v>203</v>
      </c>
      <c r="B88" s="105" t="s">
        <v>1632</v>
      </c>
      <c r="C88" s="25" t="s">
        <v>2073</v>
      </c>
      <c r="D88" s="25" t="s">
        <v>1061</v>
      </c>
      <c r="E88" s="25" t="s">
        <v>876</v>
      </c>
      <c r="F88" s="25" t="s">
        <v>879</v>
      </c>
      <c r="G88" s="106">
        <v>71.099999999999994</v>
      </c>
      <c r="H88" s="107">
        <v>8.9584587461261993</v>
      </c>
      <c r="I88" s="81">
        <v>125998.01330697893</v>
      </c>
      <c r="J88" s="81">
        <v>750290.25</v>
      </c>
      <c r="K88" s="82">
        <v>0.16793236125216732</v>
      </c>
      <c r="L88" s="110">
        <v>0.16793236125216732</v>
      </c>
      <c r="M88" s="80"/>
    </row>
    <row r="89" spans="1:13" x14ac:dyDescent="0.2">
      <c r="A89" s="109" t="s">
        <v>772</v>
      </c>
      <c r="B89" s="105" t="s">
        <v>1633</v>
      </c>
      <c r="C89" s="25" t="s">
        <v>970</v>
      </c>
      <c r="D89" s="25" t="s">
        <v>1060</v>
      </c>
      <c r="E89" s="25" t="s">
        <v>876</v>
      </c>
      <c r="F89" s="25" t="s">
        <v>879</v>
      </c>
      <c r="G89" s="106">
        <v>31.64</v>
      </c>
      <c r="H89" s="107">
        <v>16.275684302441821</v>
      </c>
      <c r="I89" s="81">
        <v>514402.15873709932</v>
      </c>
      <c r="J89" s="81">
        <v>3094857</v>
      </c>
      <c r="K89" s="82">
        <v>0.16621193119329886</v>
      </c>
      <c r="L89" s="110">
        <v>0.16621193119329886</v>
      </c>
      <c r="M89" s="80"/>
    </row>
    <row r="90" spans="1:13" x14ac:dyDescent="0.2">
      <c r="A90" s="109" t="s">
        <v>768</v>
      </c>
      <c r="B90" s="105" t="s">
        <v>1634</v>
      </c>
      <c r="C90" s="25" t="s">
        <v>967</v>
      </c>
      <c r="D90" s="25" t="s">
        <v>1062</v>
      </c>
      <c r="E90" s="25" t="s">
        <v>876</v>
      </c>
      <c r="F90" s="25" t="s">
        <v>879</v>
      </c>
      <c r="G90" s="106">
        <v>52.5</v>
      </c>
      <c r="H90" s="107">
        <v>92.272692463021158</v>
      </c>
      <c r="I90" s="81">
        <v>1757575.0945337364</v>
      </c>
      <c r="J90" s="81">
        <v>10731752</v>
      </c>
      <c r="K90" s="82">
        <v>0.16377336100701323</v>
      </c>
      <c r="L90" s="110">
        <v>0.16377336100701323</v>
      </c>
      <c r="M90" s="80"/>
    </row>
    <row r="91" spans="1:13" x14ac:dyDescent="0.2">
      <c r="A91" s="109" t="s">
        <v>1128</v>
      </c>
      <c r="B91" s="105" t="s">
        <v>1635</v>
      </c>
      <c r="C91" s="25" t="s">
        <v>2074</v>
      </c>
      <c r="D91" s="25" t="s">
        <v>1061</v>
      </c>
      <c r="E91" s="25" t="s">
        <v>876</v>
      </c>
      <c r="F91" s="25" t="s">
        <v>879</v>
      </c>
      <c r="G91" s="106">
        <v>107.35</v>
      </c>
      <c r="H91" s="107">
        <v>18.301678623619939</v>
      </c>
      <c r="I91" s="81">
        <v>170486.0607696315</v>
      </c>
      <c r="J91" s="81">
        <v>1042132</v>
      </c>
      <c r="K91" s="82">
        <v>0.16359353783362521</v>
      </c>
      <c r="L91" s="110">
        <v>0.16359353783362521</v>
      </c>
      <c r="M91" s="80"/>
    </row>
    <row r="92" spans="1:13" x14ac:dyDescent="0.2">
      <c r="A92" s="109" t="s">
        <v>770</v>
      </c>
      <c r="B92" s="105" t="s">
        <v>1636</v>
      </c>
      <c r="C92" s="25" t="s">
        <v>1313</v>
      </c>
      <c r="D92" s="25" t="s">
        <v>1064</v>
      </c>
      <c r="E92" s="25" t="s">
        <v>876</v>
      </c>
      <c r="F92" s="25" t="s">
        <v>877</v>
      </c>
      <c r="G92" s="106">
        <v>28.06</v>
      </c>
      <c r="H92" s="107">
        <v>57.433223725053395</v>
      </c>
      <c r="I92" s="81">
        <v>2046800.5604081755</v>
      </c>
      <c r="J92" s="81">
        <v>12660135</v>
      </c>
      <c r="K92" s="82">
        <v>0.16167288582690276</v>
      </c>
      <c r="L92" s="110">
        <v>0.16167288582690276</v>
      </c>
      <c r="M92" s="80"/>
    </row>
    <row r="93" spans="1:13" x14ac:dyDescent="0.2">
      <c r="A93" s="109" t="s">
        <v>1240</v>
      </c>
      <c r="B93" s="105" t="s">
        <v>1637</v>
      </c>
      <c r="C93" s="25" t="s">
        <v>47</v>
      </c>
      <c r="D93" s="25" t="s">
        <v>1053</v>
      </c>
      <c r="E93" s="25" t="s">
        <v>876</v>
      </c>
      <c r="F93" s="25" t="s">
        <v>879</v>
      </c>
      <c r="G93" s="106">
        <v>183.9</v>
      </c>
      <c r="H93" s="107">
        <v>32.354335570033207</v>
      </c>
      <c r="I93" s="81">
        <v>175934.39679191518</v>
      </c>
      <c r="J93" s="81">
        <v>1102248.5</v>
      </c>
      <c r="K93" s="82">
        <v>0.1596140949993719</v>
      </c>
      <c r="L93" s="110">
        <v>0.1596140949993719</v>
      </c>
      <c r="M93" s="80"/>
    </row>
    <row r="94" spans="1:13" x14ac:dyDescent="0.2">
      <c r="A94" s="109" t="s">
        <v>1446</v>
      </c>
      <c r="B94" s="105" t="s">
        <v>1638</v>
      </c>
      <c r="C94" s="25" t="s">
        <v>1464</v>
      </c>
      <c r="D94" s="25" t="s">
        <v>1057</v>
      </c>
      <c r="E94" s="25" t="s">
        <v>876</v>
      </c>
      <c r="F94" s="25" t="s">
        <v>879</v>
      </c>
      <c r="G94" s="106">
        <v>88.57</v>
      </c>
      <c r="H94" s="107">
        <v>31.277996252738106</v>
      </c>
      <c r="I94" s="81">
        <v>353144.36324645032</v>
      </c>
      <c r="J94" s="81">
        <v>2262351</v>
      </c>
      <c r="K94" s="82">
        <v>0.15609618633291222</v>
      </c>
      <c r="L94" s="110">
        <v>0.15609618633291222</v>
      </c>
      <c r="M94" s="80"/>
    </row>
    <row r="95" spans="1:13" x14ac:dyDescent="0.2">
      <c r="A95" s="109" t="s">
        <v>1531</v>
      </c>
      <c r="B95" s="105" t="s">
        <v>1639</v>
      </c>
      <c r="C95" s="25" t="s">
        <v>2075</v>
      </c>
      <c r="D95" s="25" t="s">
        <v>1070</v>
      </c>
      <c r="E95" s="25" t="s">
        <v>876</v>
      </c>
      <c r="F95" s="25" t="s">
        <v>879</v>
      </c>
      <c r="G95" s="106">
        <v>37.9</v>
      </c>
      <c r="H95" s="107">
        <v>4.1815134445954349</v>
      </c>
      <c r="I95" s="81">
        <v>110330.17004209592</v>
      </c>
      <c r="J95" s="81">
        <v>707576.625</v>
      </c>
      <c r="K95" s="82">
        <v>0.15592681575948883</v>
      </c>
      <c r="L95" s="110">
        <v>0.15592681575948883</v>
      </c>
      <c r="M95" s="80"/>
    </row>
    <row r="96" spans="1:13" x14ac:dyDescent="0.2">
      <c r="A96" s="109" t="s">
        <v>1192</v>
      </c>
      <c r="B96" s="105" t="s">
        <v>1640</v>
      </c>
      <c r="C96" s="25" t="s">
        <v>2076</v>
      </c>
      <c r="D96" s="25" t="s">
        <v>1060</v>
      </c>
      <c r="E96" s="25" t="s">
        <v>876</v>
      </c>
      <c r="F96" s="25" t="s">
        <v>879</v>
      </c>
      <c r="G96" s="106">
        <v>76.959999999999994</v>
      </c>
      <c r="H96" s="107">
        <v>20.061448416467861</v>
      </c>
      <c r="I96" s="81">
        <v>260673.70603518531</v>
      </c>
      <c r="J96" s="81">
        <v>1720209.625</v>
      </c>
      <c r="K96" s="82">
        <v>0.15153601180157639</v>
      </c>
      <c r="L96" s="110">
        <v>0.15153601180157639</v>
      </c>
      <c r="M96" s="80"/>
    </row>
    <row r="97" spans="1:13" x14ac:dyDescent="0.2">
      <c r="A97" s="109" t="s">
        <v>949</v>
      </c>
      <c r="B97" s="105" t="s">
        <v>1641</v>
      </c>
      <c r="C97" s="25" t="s">
        <v>950</v>
      </c>
      <c r="D97" s="25" t="s">
        <v>1064</v>
      </c>
      <c r="E97" s="25" t="s">
        <v>876</v>
      </c>
      <c r="F97" s="25" t="s">
        <v>879</v>
      </c>
      <c r="G97" s="106">
        <v>81.14</v>
      </c>
      <c r="H97" s="107">
        <v>59.646812296250936</v>
      </c>
      <c r="I97" s="81">
        <v>735109.83850444842</v>
      </c>
      <c r="J97" s="81">
        <v>4872133</v>
      </c>
      <c r="K97" s="82">
        <v>0.15088049495045566</v>
      </c>
      <c r="L97" s="110">
        <v>0.15088049495045566</v>
      </c>
      <c r="M97" s="80"/>
    </row>
    <row r="98" spans="1:13" x14ac:dyDescent="0.2">
      <c r="A98" s="109" t="s">
        <v>767</v>
      </c>
      <c r="B98" s="105" t="s">
        <v>1642</v>
      </c>
      <c r="C98" s="25" t="s">
        <v>966</v>
      </c>
      <c r="D98" s="25" t="s">
        <v>1068</v>
      </c>
      <c r="E98" s="25" t="s">
        <v>876</v>
      </c>
      <c r="F98" s="25" t="s">
        <v>879</v>
      </c>
      <c r="G98" s="106">
        <v>107.97</v>
      </c>
      <c r="H98" s="107">
        <v>36.928155018083849</v>
      </c>
      <c r="I98" s="81">
        <v>342022.36749174632</v>
      </c>
      <c r="J98" s="81">
        <v>2284379.75</v>
      </c>
      <c r="K98" s="82">
        <v>0.14972220248920798</v>
      </c>
      <c r="L98" s="110">
        <v>0.14972220248920798</v>
      </c>
      <c r="M98" s="80"/>
    </row>
    <row r="99" spans="1:13" x14ac:dyDescent="0.2">
      <c r="A99" s="109" t="s">
        <v>1412</v>
      </c>
      <c r="B99" s="105" t="s">
        <v>1643</v>
      </c>
      <c r="C99" s="25" t="s">
        <v>2077</v>
      </c>
      <c r="D99" s="25" t="s">
        <v>1055</v>
      </c>
      <c r="E99" s="25" t="s">
        <v>876</v>
      </c>
      <c r="F99" s="25" t="s">
        <v>879</v>
      </c>
      <c r="G99" s="106">
        <v>126.54</v>
      </c>
      <c r="H99" s="107">
        <v>289.36566646371875</v>
      </c>
      <c r="I99" s="81">
        <v>2286752.540411876</v>
      </c>
      <c r="J99" s="81">
        <v>15432957</v>
      </c>
      <c r="K99" s="82">
        <v>0.1481733241667087</v>
      </c>
      <c r="L99" s="110">
        <v>0.1481733241667087</v>
      </c>
      <c r="M99" s="80"/>
    </row>
    <row r="100" spans="1:13" x14ac:dyDescent="0.2">
      <c r="A100" s="109" t="s">
        <v>1323</v>
      </c>
      <c r="B100" s="105" t="s">
        <v>1644</v>
      </c>
      <c r="C100" s="25" t="s">
        <v>1328</v>
      </c>
      <c r="D100" s="25" t="s">
        <v>1060</v>
      </c>
      <c r="E100" s="25" t="s">
        <v>876</v>
      </c>
      <c r="F100" s="25" t="s">
        <v>879</v>
      </c>
      <c r="G100" s="106">
        <v>93.73</v>
      </c>
      <c r="H100" s="107">
        <v>20.870519193174967</v>
      </c>
      <c r="I100" s="81">
        <v>222666.37355355773</v>
      </c>
      <c r="J100" s="81">
        <v>1524360</v>
      </c>
      <c r="K100" s="82">
        <v>0.14607203912039002</v>
      </c>
      <c r="L100" s="110">
        <v>0.14607203912039002</v>
      </c>
      <c r="M100" s="80"/>
    </row>
    <row r="101" spans="1:13" x14ac:dyDescent="0.2">
      <c r="A101" s="109" t="s">
        <v>1452</v>
      </c>
      <c r="B101" s="105" t="s">
        <v>1645</v>
      </c>
      <c r="C101" s="25" t="s">
        <v>1472</v>
      </c>
      <c r="D101" s="25" t="s">
        <v>1073</v>
      </c>
      <c r="E101" s="25" t="s">
        <v>876</v>
      </c>
      <c r="F101" s="25" t="s">
        <v>879</v>
      </c>
      <c r="G101" s="106">
        <v>80.349999999999994</v>
      </c>
      <c r="H101" s="107">
        <v>45.376180232739394</v>
      </c>
      <c r="I101" s="81">
        <v>564731.55236763402</v>
      </c>
      <c r="J101" s="81">
        <v>3929613</v>
      </c>
      <c r="K101" s="82">
        <v>0.14371174778982918</v>
      </c>
      <c r="L101" s="110">
        <v>0.14371174778982918</v>
      </c>
      <c r="M101" s="80"/>
    </row>
    <row r="102" spans="1:13" x14ac:dyDescent="0.2">
      <c r="A102" s="109" t="s">
        <v>748</v>
      </c>
      <c r="B102" s="105" t="s">
        <v>1646</v>
      </c>
      <c r="C102" s="25" t="s">
        <v>618</v>
      </c>
      <c r="D102" s="25" t="s">
        <v>1054</v>
      </c>
      <c r="E102" s="25" t="s">
        <v>876</v>
      </c>
      <c r="F102" s="25" t="s">
        <v>879</v>
      </c>
      <c r="G102" s="106">
        <v>96.94</v>
      </c>
      <c r="H102" s="107">
        <v>15.159322474760316</v>
      </c>
      <c r="I102" s="81">
        <v>156378.40390716231</v>
      </c>
      <c r="J102" s="81">
        <v>1099726.75</v>
      </c>
      <c r="K102" s="82">
        <v>0.14219750852396953</v>
      </c>
      <c r="L102" s="110">
        <v>0.14219750852396953</v>
      </c>
      <c r="M102" s="80"/>
    </row>
    <row r="103" spans="1:13" x14ac:dyDescent="0.2">
      <c r="A103" s="109" t="s">
        <v>1532</v>
      </c>
      <c r="B103" s="105" t="s">
        <v>1647</v>
      </c>
      <c r="C103" s="25" t="s">
        <v>2078</v>
      </c>
      <c r="D103" s="25" t="s">
        <v>1064</v>
      </c>
      <c r="E103" s="25" t="s">
        <v>876</v>
      </c>
      <c r="F103" s="25" t="s">
        <v>879</v>
      </c>
      <c r="G103" s="106">
        <v>132.97</v>
      </c>
      <c r="H103" s="107">
        <v>30.223106024281982</v>
      </c>
      <c r="I103" s="81">
        <v>227292.66770160172</v>
      </c>
      <c r="J103" s="81">
        <v>1649784.75</v>
      </c>
      <c r="K103" s="82">
        <v>0.13777110480721907</v>
      </c>
      <c r="L103" s="110">
        <v>0.13777110480721907</v>
      </c>
      <c r="M103" s="80"/>
    </row>
    <row r="104" spans="1:13" x14ac:dyDescent="0.2">
      <c r="A104" s="109" t="s">
        <v>1273</v>
      </c>
      <c r="B104" s="105" t="s">
        <v>1648</v>
      </c>
      <c r="C104" s="25" t="s">
        <v>1264</v>
      </c>
      <c r="D104" s="25" t="s">
        <v>1058</v>
      </c>
      <c r="E104" s="25" t="s">
        <v>876</v>
      </c>
      <c r="F104" s="25" t="s">
        <v>879</v>
      </c>
      <c r="G104" s="106">
        <v>122.34</v>
      </c>
      <c r="H104" s="107">
        <v>31.806148343118544</v>
      </c>
      <c r="I104" s="81">
        <v>259981.59508843016</v>
      </c>
      <c r="J104" s="81">
        <v>1890549</v>
      </c>
      <c r="K104" s="82">
        <v>0.1375164542619261</v>
      </c>
      <c r="L104" s="110">
        <v>0.1375164542619261</v>
      </c>
      <c r="M104" s="80"/>
    </row>
    <row r="105" spans="1:13" x14ac:dyDescent="0.2">
      <c r="A105" s="109" t="s">
        <v>923</v>
      </c>
      <c r="B105" s="105" t="s">
        <v>1649</v>
      </c>
      <c r="C105" s="25" t="s">
        <v>2079</v>
      </c>
      <c r="D105" s="25" t="s">
        <v>1055</v>
      </c>
      <c r="E105" s="25" t="s">
        <v>876</v>
      </c>
      <c r="F105" s="25" t="s">
        <v>879</v>
      </c>
      <c r="G105" s="106">
        <v>772.15</v>
      </c>
      <c r="H105" s="107">
        <v>110.84180517318454</v>
      </c>
      <c r="I105" s="81">
        <v>143549.57608390151</v>
      </c>
      <c r="J105" s="81">
        <v>1065314.25</v>
      </c>
      <c r="K105" s="82">
        <v>0.13474857403240548</v>
      </c>
      <c r="L105" s="110">
        <v>0.13474857403240548</v>
      </c>
      <c r="M105" s="80"/>
    </row>
    <row r="106" spans="1:13" x14ac:dyDescent="0.2">
      <c r="A106" s="109" t="s">
        <v>1230</v>
      </c>
      <c r="B106" s="105" t="s">
        <v>1650</v>
      </c>
      <c r="C106" s="25" t="s">
        <v>1356</v>
      </c>
      <c r="D106" s="25" t="s">
        <v>1054</v>
      </c>
      <c r="E106" s="25" t="s">
        <v>876</v>
      </c>
      <c r="F106" s="25" t="s">
        <v>879</v>
      </c>
      <c r="G106" s="106">
        <v>78.599999999999994</v>
      </c>
      <c r="H106" s="107">
        <v>32.927902772245062</v>
      </c>
      <c r="I106" s="81">
        <v>418930.06071558606</v>
      </c>
      <c r="J106" s="81">
        <v>3122893.5</v>
      </c>
      <c r="K106" s="82">
        <v>0.13414804594379734</v>
      </c>
      <c r="L106" s="110">
        <v>0.13414804594379734</v>
      </c>
      <c r="M106" s="80"/>
    </row>
    <row r="107" spans="1:13" x14ac:dyDescent="0.2">
      <c r="A107" s="109" t="s">
        <v>263</v>
      </c>
      <c r="B107" s="105" t="s">
        <v>1651</v>
      </c>
      <c r="C107" s="25" t="s">
        <v>1266</v>
      </c>
      <c r="D107" s="25" t="s">
        <v>1068</v>
      </c>
      <c r="E107" s="25" t="s">
        <v>876</v>
      </c>
      <c r="F107" s="25" t="s">
        <v>879</v>
      </c>
      <c r="G107" s="106">
        <v>123.61</v>
      </c>
      <c r="H107" s="107">
        <v>12.433978489537958</v>
      </c>
      <c r="I107" s="81">
        <v>100590.39308743595</v>
      </c>
      <c r="J107" s="81">
        <v>750497.4375</v>
      </c>
      <c r="K107" s="82">
        <v>0.13403162763954934</v>
      </c>
      <c r="L107" s="110">
        <v>0.13403162763954934</v>
      </c>
      <c r="M107" s="80"/>
    </row>
    <row r="108" spans="1:13" x14ac:dyDescent="0.2">
      <c r="A108" s="109" t="s">
        <v>1112</v>
      </c>
      <c r="B108" s="105" t="s">
        <v>1652</v>
      </c>
      <c r="C108" s="25" t="s">
        <v>653</v>
      </c>
      <c r="D108" s="25" t="s">
        <v>1060</v>
      </c>
      <c r="E108" s="25" t="s">
        <v>876</v>
      </c>
      <c r="F108" s="25" t="s">
        <v>879</v>
      </c>
      <c r="G108" s="106">
        <v>140.46</v>
      </c>
      <c r="H108" s="107">
        <v>10.646653425959681</v>
      </c>
      <c r="I108" s="81">
        <v>75798.472347712377</v>
      </c>
      <c r="J108" s="81">
        <v>568260.375</v>
      </c>
      <c r="K108" s="82">
        <v>0.13338686926342941</v>
      </c>
      <c r="L108" s="110">
        <v>0.13338686926342941</v>
      </c>
      <c r="M108" s="80"/>
    </row>
    <row r="109" spans="1:13" x14ac:dyDescent="0.2">
      <c r="A109" s="109" t="s">
        <v>1454</v>
      </c>
      <c r="B109" s="105" t="s">
        <v>1653</v>
      </c>
      <c r="C109" s="25" t="s">
        <v>1475</v>
      </c>
      <c r="D109" s="25" t="s">
        <v>1053</v>
      </c>
      <c r="E109" s="25" t="s">
        <v>876</v>
      </c>
      <c r="F109" s="25" t="s">
        <v>879</v>
      </c>
      <c r="G109" s="106">
        <v>130.59</v>
      </c>
      <c r="H109" s="107">
        <v>22.947604158173913</v>
      </c>
      <c r="I109" s="81">
        <v>175722.52207806043</v>
      </c>
      <c r="J109" s="81">
        <v>1319312</v>
      </c>
      <c r="K109" s="82">
        <v>0.13319254435498232</v>
      </c>
      <c r="L109" s="110">
        <v>0.13319254435498232</v>
      </c>
      <c r="M109" s="80"/>
    </row>
    <row r="110" spans="1:13" x14ac:dyDescent="0.2">
      <c r="A110" s="109" t="s">
        <v>1213</v>
      </c>
      <c r="B110" s="105" t="s">
        <v>1654</v>
      </c>
      <c r="C110" s="25" t="s">
        <v>2080</v>
      </c>
      <c r="D110" s="25" t="s">
        <v>1074</v>
      </c>
      <c r="E110" s="25" t="s">
        <v>876</v>
      </c>
      <c r="F110" s="25" t="s">
        <v>881</v>
      </c>
      <c r="G110" s="106">
        <v>44.470465979999993</v>
      </c>
      <c r="H110" s="107">
        <v>18.092587418180553</v>
      </c>
      <c r="I110" s="81">
        <v>406845.0154382789</v>
      </c>
      <c r="J110" s="81">
        <v>3061286.25</v>
      </c>
      <c r="K110" s="82">
        <v>0.13290002378519125</v>
      </c>
      <c r="L110" s="110">
        <v>0.13290002378519125</v>
      </c>
      <c r="M110" s="80"/>
    </row>
    <row r="111" spans="1:13" x14ac:dyDescent="0.2">
      <c r="A111" s="109" t="s">
        <v>753</v>
      </c>
      <c r="B111" s="105" t="s">
        <v>1655</v>
      </c>
      <c r="C111" s="25" t="s">
        <v>952</v>
      </c>
      <c r="D111" s="25" t="s">
        <v>1054</v>
      </c>
      <c r="E111" s="25" t="s">
        <v>876</v>
      </c>
      <c r="F111" s="25" t="s">
        <v>879</v>
      </c>
      <c r="G111" s="106">
        <v>35.11</v>
      </c>
      <c r="H111" s="107">
        <v>94.987992302917718</v>
      </c>
      <c r="I111" s="81">
        <v>2705439.8263434269</v>
      </c>
      <c r="J111" s="81">
        <v>20802834</v>
      </c>
      <c r="K111" s="82">
        <v>0.13005150290308651</v>
      </c>
      <c r="L111" s="110">
        <v>0.13005150290308651</v>
      </c>
      <c r="M111" s="80"/>
    </row>
    <row r="112" spans="1:13" x14ac:dyDescent="0.2">
      <c r="A112" s="109" t="s">
        <v>906</v>
      </c>
      <c r="B112" s="105" t="s">
        <v>1657</v>
      </c>
      <c r="C112" s="25" t="s">
        <v>794</v>
      </c>
      <c r="D112" s="25" t="s">
        <v>1073</v>
      </c>
      <c r="E112" s="25" t="s">
        <v>876</v>
      </c>
      <c r="F112" s="25" t="s">
        <v>881</v>
      </c>
      <c r="G112" s="106">
        <v>163.98</v>
      </c>
      <c r="H112" s="107">
        <v>30.942394042617032</v>
      </c>
      <c r="I112" s="81">
        <v>188696.14613133942</v>
      </c>
      <c r="J112" s="81">
        <v>1455252.375</v>
      </c>
      <c r="K112" s="82">
        <v>0.12966558197944147</v>
      </c>
      <c r="L112" s="110">
        <v>0.12966558197944147</v>
      </c>
      <c r="M112" s="80"/>
    </row>
    <row r="113" spans="1:13" x14ac:dyDescent="0.2">
      <c r="A113" s="109" t="s">
        <v>721</v>
      </c>
      <c r="B113" s="105" t="s">
        <v>1658</v>
      </c>
      <c r="C113" s="25" t="s">
        <v>592</v>
      </c>
      <c r="D113" s="25" t="s">
        <v>1060</v>
      </c>
      <c r="E113" s="25" t="s">
        <v>876</v>
      </c>
      <c r="F113" s="25" t="s">
        <v>879</v>
      </c>
      <c r="G113" s="106">
        <v>225.4</v>
      </c>
      <c r="H113" s="107">
        <v>8.0536260237987456</v>
      </c>
      <c r="I113" s="81">
        <v>35730.372776391945</v>
      </c>
      <c r="J113" s="81">
        <v>275731.75</v>
      </c>
      <c r="K113" s="82">
        <v>0.12958381751971598</v>
      </c>
      <c r="L113" s="110">
        <v>0.12958381751971598</v>
      </c>
      <c r="M113" s="80"/>
    </row>
    <row r="114" spans="1:13" x14ac:dyDescent="0.2">
      <c r="A114" s="109" t="s">
        <v>941</v>
      </c>
      <c r="B114" s="105" t="s">
        <v>1656</v>
      </c>
      <c r="C114" s="25" t="s">
        <v>824</v>
      </c>
      <c r="D114" s="25" t="s">
        <v>1057</v>
      </c>
      <c r="E114" s="25" t="s">
        <v>876</v>
      </c>
      <c r="F114" s="25" t="s">
        <v>881</v>
      </c>
      <c r="G114" s="106">
        <v>66.099999999999994</v>
      </c>
      <c r="H114" s="107">
        <v>35.882960922319448</v>
      </c>
      <c r="I114" s="81">
        <v>542858.71289439418</v>
      </c>
      <c r="J114" s="81">
        <v>4194537.5</v>
      </c>
      <c r="K114" s="82">
        <v>0.12942039805208422</v>
      </c>
      <c r="L114" s="110">
        <v>0.12942039805208422</v>
      </c>
      <c r="M114" s="80"/>
    </row>
    <row r="115" spans="1:13" x14ac:dyDescent="0.2">
      <c r="A115" s="109" t="s">
        <v>742</v>
      </c>
      <c r="B115" s="105" t="s">
        <v>1659</v>
      </c>
      <c r="C115" s="25" t="s">
        <v>2081</v>
      </c>
      <c r="D115" s="25" t="s">
        <v>1068</v>
      </c>
      <c r="E115" s="25" t="s">
        <v>876</v>
      </c>
      <c r="F115" s="25" t="s">
        <v>879</v>
      </c>
      <c r="G115" s="106">
        <v>178.57</v>
      </c>
      <c r="H115" s="107">
        <v>10.668269263546915</v>
      </c>
      <c r="I115" s="81">
        <v>59742.78581814927</v>
      </c>
      <c r="J115" s="81">
        <v>463228.09375</v>
      </c>
      <c r="K115" s="82">
        <v>0.12897055818551434</v>
      </c>
      <c r="L115" s="110">
        <v>0.12897055818551434</v>
      </c>
      <c r="M115" s="80"/>
    </row>
    <row r="116" spans="1:13" x14ac:dyDescent="0.2">
      <c r="A116" s="109" t="s">
        <v>1533</v>
      </c>
      <c r="B116" s="105" t="s">
        <v>1660</v>
      </c>
      <c r="C116" s="25" t="s">
        <v>2082</v>
      </c>
      <c r="D116" s="25" t="s">
        <v>1068</v>
      </c>
      <c r="E116" s="25" t="s">
        <v>876</v>
      </c>
      <c r="F116" s="25" t="s">
        <v>879</v>
      </c>
      <c r="G116" s="106">
        <v>274.77</v>
      </c>
      <c r="H116" s="107">
        <v>7.007144013732491</v>
      </c>
      <c r="I116" s="81">
        <v>25501.8525083979</v>
      </c>
      <c r="J116" s="81">
        <v>200928.453125</v>
      </c>
      <c r="K116" s="82">
        <v>0.12692006588301802</v>
      </c>
      <c r="L116" s="110">
        <v>0.12692006588301802</v>
      </c>
      <c r="M116" s="80"/>
    </row>
    <row r="117" spans="1:13" x14ac:dyDescent="0.2">
      <c r="A117" s="109" t="s">
        <v>216</v>
      </c>
      <c r="B117" s="105" t="s">
        <v>1661</v>
      </c>
      <c r="C117" s="25" t="s">
        <v>66</v>
      </c>
      <c r="D117" s="25" t="s">
        <v>1055</v>
      </c>
      <c r="E117" s="25" t="s">
        <v>876</v>
      </c>
      <c r="F117" s="25" t="s">
        <v>879</v>
      </c>
      <c r="G117" s="106">
        <v>60.65</v>
      </c>
      <c r="H117" s="107">
        <v>10.949876918139624</v>
      </c>
      <c r="I117" s="81">
        <v>180542.07614409932</v>
      </c>
      <c r="J117" s="81">
        <v>1451390.25</v>
      </c>
      <c r="K117" s="82">
        <v>0.12439250997042271</v>
      </c>
      <c r="L117" s="110">
        <v>0.12439250997042271</v>
      </c>
      <c r="M117" s="80"/>
    </row>
    <row r="118" spans="1:13" x14ac:dyDescent="0.2">
      <c r="A118" s="109" t="s">
        <v>1447</v>
      </c>
      <c r="B118" s="105" t="s">
        <v>1662</v>
      </c>
      <c r="C118" s="25" t="s">
        <v>1465</v>
      </c>
      <c r="D118" s="25" t="s">
        <v>1062</v>
      </c>
      <c r="E118" s="25" t="s">
        <v>876</v>
      </c>
      <c r="F118" s="25" t="s">
        <v>879</v>
      </c>
      <c r="G118" s="106">
        <v>49.63</v>
      </c>
      <c r="H118" s="107">
        <v>13.644807650878782</v>
      </c>
      <c r="I118" s="81">
        <v>274930.63975173846</v>
      </c>
      <c r="J118" s="81">
        <v>2233505.25</v>
      </c>
      <c r="K118" s="82">
        <v>0.12309379606416347</v>
      </c>
      <c r="L118" s="110">
        <v>0.12309379606416347</v>
      </c>
      <c r="M118" s="80"/>
    </row>
    <row r="119" spans="1:13" x14ac:dyDescent="0.2">
      <c r="A119" s="109" t="s">
        <v>1099</v>
      </c>
      <c r="B119" s="105" t="s">
        <v>1663</v>
      </c>
      <c r="C119" s="25" t="s">
        <v>643</v>
      </c>
      <c r="D119" s="25" t="s">
        <v>1060</v>
      </c>
      <c r="E119" s="25" t="s">
        <v>876</v>
      </c>
      <c r="F119" s="25" t="s">
        <v>879</v>
      </c>
      <c r="G119" s="106">
        <v>175.55</v>
      </c>
      <c r="H119" s="107">
        <v>13.450416834798876</v>
      </c>
      <c r="I119" s="81">
        <v>76618.723069204629</v>
      </c>
      <c r="J119" s="81">
        <v>623512.4375</v>
      </c>
      <c r="K119" s="82">
        <v>0.12288242938089688</v>
      </c>
      <c r="L119" s="110">
        <v>0.12288242938089688</v>
      </c>
      <c r="M119" s="80"/>
    </row>
    <row r="120" spans="1:13" x14ac:dyDescent="0.2">
      <c r="A120" s="109" t="s">
        <v>1204</v>
      </c>
      <c r="B120" s="105" t="s">
        <v>1664</v>
      </c>
      <c r="C120" s="25" t="s">
        <v>1423</v>
      </c>
      <c r="D120" s="25" t="s">
        <v>1061</v>
      </c>
      <c r="E120" s="25" t="s">
        <v>876</v>
      </c>
      <c r="F120" s="25" t="s">
        <v>879</v>
      </c>
      <c r="G120" s="106">
        <v>278.56</v>
      </c>
      <c r="H120" s="107">
        <v>17.776109108314369</v>
      </c>
      <c r="I120" s="81">
        <v>63814.291744379552</v>
      </c>
      <c r="J120" s="81">
        <v>521646.75</v>
      </c>
      <c r="K120" s="82">
        <v>0.12233238632154721</v>
      </c>
      <c r="L120" s="110">
        <v>0.12233238632154721</v>
      </c>
      <c r="M120" s="80"/>
    </row>
    <row r="121" spans="1:13" x14ac:dyDescent="0.2">
      <c r="A121" s="109" t="s">
        <v>1534</v>
      </c>
      <c r="B121" s="105" t="s">
        <v>1665</v>
      </c>
      <c r="C121" s="25" t="s">
        <v>2083</v>
      </c>
      <c r="D121" s="25" t="s">
        <v>1063</v>
      </c>
      <c r="E121" s="25" t="s">
        <v>876</v>
      </c>
      <c r="F121" s="25" t="s">
        <v>879</v>
      </c>
      <c r="G121" s="106">
        <v>35.979999999999997</v>
      </c>
      <c r="H121" s="107">
        <v>6.5465428342682124</v>
      </c>
      <c r="I121" s="81">
        <v>181949.49511584805</v>
      </c>
      <c r="J121" s="81">
        <v>1487707.125</v>
      </c>
      <c r="K121" s="82">
        <v>0.12230195853625965</v>
      </c>
      <c r="L121" s="110">
        <v>0.12230195853625965</v>
      </c>
      <c r="M121" s="80"/>
    </row>
    <row r="122" spans="1:13" x14ac:dyDescent="0.2">
      <c r="A122" s="109" t="s">
        <v>274</v>
      </c>
      <c r="B122" s="105" t="s">
        <v>1666</v>
      </c>
      <c r="C122" s="25" t="s">
        <v>116</v>
      </c>
      <c r="D122" s="25" t="s">
        <v>1061</v>
      </c>
      <c r="E122" s="25" t="s">
        <v>876</v>
      </c>
      <c r="F122" s="25" t="s">
        <v>879</v>
      </c>
      <c r="G122" s="106">
        <v>68.95</v>
      </c>
      <c r="H122" s="107">
        <v>10.191069775575293</v>
      </c>
      <c r="I122" s="81">
        <v>147803.76759355032</v>
      </c>
      <c r="J122" s="81">
        <v>1218706.625</v>
      </c>
      <c r="K122" s="82">
        <v>0.12127920252632607</v>
      </c>
      <c r="L122" s="110">
        <v>0.12127920252632607</v>
      </c>
      <c r="M122" s="80"/>
    </row>
    <row r="123" spans="1:13" x14ac:dyDescent="0.2">
      <c r="A123" s="109" t="s">
        <v>760</v>
      </c>
      <c r="B123" s="105" t="s">
        <v>1667</v>
      </c>
      <c r="C123" s="25" t="s">
        <v>959</v>
      </c>
      <c r="D123" s="25" t="s">
        <v>1062</v>
      </c>
      <c r="E123" s="25" t="s">
        <v>876</v>
      </c>
      <c r="F123" s="25" t="s">
        <v>881</v>
      </c>
      <c r="G123" s="106">
        <v>41</v>
      </c>
      <c r="H123" s="107">
        <v>89.771483689188813</v>
      </c>
      <c r="I123" s="81">
        <v>2189548.3826631419</v>
      </c>
      <c r="J123" s="81">
        <v>18182084</v>
      </c>
      <c r="K123" s="82">
        <v>0.12042340045635813</v>
      </c>
      <c r="L123" s="110">
        <v>0.12042340045635813</v>
      </c>
      <c r="M123" s="80"/>
    </row>
    <row r="124" spans="1:13" x14ac:dyDescent="0.2">
      <c r="A124" s="109" t="s">
        <v>890</v>
      </c>
      <c r="B124" s="105" t="s">
        <v>1668</v>
      </c>
      <c r="C124" s="25" t="s">
        <v>778</v>
      </c>
      <c r="D124" s="25" t="s">
        <v>1058</v>
      </c>
      <c r="E124" s="25" t="s">
        <v>876</v>
      </c>
      <c r="F124" s="25" t="s">
        <v>879</v>
      </c>
      <c r="G124" s="106">
        <v>65.180000000000007</v>
      </c>
      <c r="H124" s="107">
        <v>16.80232318209649</v>
      </c>
      <c r="I124" s="81">
        <v>257783.41795177184</v>
      </c>
      <c r="J124" s="81">
        <v>2162358</v>
      </c>
      <c r="K124" s="82">
        <v>0.11921403299165625</v>
      </c>
      <c r="L124" s="110">
        <v>0.11921403299165625</v>
      </c>
      <c r="M124" s="80"/>
    </row>
    <row r="125" spans="1:13" x14ac:dyDescent="0.2">
      <c r="A125" s="109" t="s">
        <v>1535</v>
      </c>
      <c r="B125" s="105" t="s">
        <v>1669</v>
      </c>
      <c r="C125" s="25" t="s">
        <v>2084</v>
      </c>
      <c r="D125" s="25" t="s">
        <v>1068</v>
      </c>
      <c r="E125" s="25" t="s">
        <v>876</v>
      </c>
      <c r="F125" s="25" t="s">
        <v>879</v>
      </c>
      <c r="G125" s="106">
        <v>63.83</v>
      </c>
      <c r="H125" s="107">
        <v>8.122912212260216</v>
      </c>
      <c r="I125" s="81">
        <v>127258.53379696407</v>
      </c>
      <c r="J125" s="81">
        <v>1104617.75</v>
      </c>
      <c r="K125" s="82">
        <v>0.11520594685081248</v>
      </c>
      <c r="L125" s="110">
        <v>0.11520594685081248</v>
      </c>
      <c r="M125" s="80"/>
    </row>
    <row r="126" spans="1:13" x14ac:dyDescent="0.2">
      <c r="A126" s="109" t="s">
        <v>1105</v>
      </c>
      <c r="B126" s="105" t="s">
        <v>1670</v>
      </c>
      <c r="C126" s="25" t="s">
        <v>1351</v>
      </c>
      <c r="D126" s="25" t="s">
        <v>1053</v>
      </c>
      <c r="E126" s="25" t="s">
        <v>876</v>
      </c>
      <c r="F126" s="25" t="s">
        <v>879</v>
      </c>
      <c r="G126" s="106">
        <v>220.37</v>
      </c>
      <c r="H126" s="107">
        <v>10.443889144150456</v>
      </c>
      <c r="I126" s="81">
        <v>47392.517784410105</v>
      </c>
      <c r="J126" s="81">
        <v>412852</v>
      </c>
      <c r="K126" s="82">
        <v>0.11479299551512431</v>
      </c>
      <c r="L126" s="110">
        <v>0.11479299551512431</v>
      </c>
      <c r="M126" s="80"/>
    </row>
    <row r="127" spans="1:13" x14ac:dyDescent="0.2">
      <c r="A127" s="109" t="s">
        <v>1408</v>
      </c>
      <c r="B127" s="105" t="s">
        <v>1671</v>
      </c>
      <c r="C127" s="25" t="s">
        <v>1419</v>
      </c>
      <c r="D127" s="25" t="s">
        <v>1068</v>
      </c>
      <c r="E127" s="25" t="s">
        <v>876</v>
      </c>
      <c r="F127" s="25" t="s">
        <v>879</v>
      </c>
      <c r="G127" s="106">
        <v>72.099999999999994</v>
      </c>
      <c r="H127" s="107">
        <v>4.3476616477227639</v>
      </c>
      <c r="I127" s="81">
        <v>60300.438942063302</v>
      </c>
      <c r="J127" s="81">
        <v>525941.5</v>
      </c>
      <c r="K127" s="82">
        <v>0.11465236902215037</v>
      </c>
      <c r="L127" s="110">
        <v>0.11465236902215037</v>
      </c>
      <c r="M127" s="80"/>
    </row>
    <row r="128" spans="1:13" x14ac:dyDescent="0.2">
      <c r="A128" s="109" t="s">
        <v>256</v>
      </c>
      <c r="B128" s="105" t="s">
        <v>1672</v>
      </c>
      <c r="C128" s="25" t="s">
        <v>99</v>
      </c>
      <c r="D128" s="25" t="s">
        <v>1063</v>
      </c>
      <c r="E128" s="25" t="s">
        <v>876</v>
      </c>
      <c r="F128" s="25" t="s">
        <v>879</v>
      </c>
      <c r="G128" s="106">
        <v>8.68</v>
      </c>
      <c r="H128" s="107">
        <v>6.5778219662304709</v>
      </c>
      <c r="I128" s="81">
        <v>757813.59057954745</v>
      </c>
      <c r="J128" s="81">
        <v>6638488</v>
      </c>
      <c r="K128" s="82">
        <v>0.1141545470263029</v>
      </c>
      <c r="L128" s="110">
        <v>0.1141545470263029</v>
      </c>
      <c r="M128" s="80"/>
    </row>
    <row r="129" spans="1:13" x14ac:dyDescent="0.2">
      <c r="A129" s="109" t="s">
        <v>1140</v>
      </c>
      <c r="B129" s="105" t="s">
        <v>1673</v>
      </c>
      <c r="C129" s="25" t="s">
        <v>675</v>
      </c>
      <c r="D129" s="25" t="s">
        <v>1055</v>
      </c>
      <c r="E129" s="25" t="s">
        <v>876</v>
      </c>
      <c r="F129" s="25" t="s">
        <v>879</v>
      </c>
      <c r="G129" s="106">
        <v>88.54</v>
      </c>
      <c r="H129" s="107">
        <v>12.353813609995537</v>
      </c>
      <c r="I129" s="81">
        <v>139528.0507114924</v>
      </c>
      <c r="J129" s="81">
        <v>1222521.75</v>
      </c>
      <c r="K129" s="82">
        <v>0.11413134425746814</v>
      </c>
      <c r="L129" s="110">
        <v>0.11413134425746814</v>
      </c>
      <c r="M129" s="80"/>
    </row>
    <row r="130" spans="1:13" x14ac:dyDescent="0.2">
      <c r="A130" s="109" t="s">
        <v>1130</v>
      </c>
      <c r="B130" s="105" t="s">
        <v>1674</v>
      </c>
      <c r="C130" s="25" t="s">
        <v>667</v>
      </c>
      <c r="D130" s="25" t="s">
        <v>1058</v>
      </c>
      <c r="E130" s="25" t="s">
        <v>876</v>
      </c>
      <c r="F130" s="25" t="s">
        <v>879</v>
      </c>
      <c r="G130" s="106">
        <v>42.33</v>
      </c>
      <c r="H130" s="107">
        <v>8.3957090834458192</v>
      </c>
      <c r="I130" s="81">
        <v>198339.45389666478</v>
      </c>
      <c r="J130" s="81">
        <v>1752674.875</v>
      </c>
      <c r="K130" s="82">
        <v>0.11316385983833127</v>
      </c>
      <c r="L130" s="110">
        <v>0.11316385983833127</v>
      </c>
      <c r="M130" s="80"/>
    </row>
    <row r="131" spans="1:13" x14ac:dyDescent="0.2">
      <c r="A131" s="109" t="s">
        <v>231</v>
      </c>
      <c r="B131" s="105" t="s">
        <v>1675</v>
      </c>
      <c r="C131" s="25" t="s">
        <v>79</v>
      </c>
      <c r="D131" s="25" t="s">
        <v>1052</v>
      </c>
      <c r="E131" s="25" t="s">
        <v>876</v>
      </c>
      <c r="F131" s="25" t="s">
        <v>879</v>
      </c>
      <c r="G131" s="106">
        <v>107.6</v>
      </c>
      <c r="H131" s="107">
        <v>15.067795857618972</v>
      </c>
      <c r="I131" s="81">
        <v>140035.27748716518</v>
      </c>
      <c r="J131" s="81">
        <v>1240302.5</v>
      </c>
      <c r="K131" s="82">
        <v>0.11290413224770987</v>
      </c>
      <c r="L131" s="110">
        <v>0.11290413224770987</v>
      </c>
      <c r="M131" s="80"/>
    </row>
    <row r="132" spans="1:13" x14ac:dyDescent="0.2">
      <c r="A132" s="109" t="s">
        <v>745</v>
      </c>
      <c r="B132" s="105" t="s">
        <v>1676</v>
      </c>
      <c r="C132" s="25" t="s">
        <v>615</v>
      </c>
      <c r="D132" s="25" t="s">
        <v>1053</v>
      </c>
      <c r="E132" s="25" t="s">
        <v>876</v>
      </c>
      <c r="F132" s="25" t="s">
        <v>879</v>
      </c>
      <c r="G132" s="106">
        <v>121.19</v>
      </c>
      <c r="H132" s="107">
        <v>9.4319260298536935</v>
      </c>
      <c r="I132" s="81">
        <v>77827.593282066955</v>
      </c>
      <c r="J132" s="81">
        <v>702049.9375</v>
      </c>
      <c r="K132" s="82">
        <v>0.11085763152292419</v>
      </c>
      <c r="L132" s="110">
        <v>0.11085763152292419</v>
      </c>
      <c r="M132" s="80"/>
    </row>
    <row r="133" spans="1:13" x14ac:dyDescent="0.2">
      <c r="A133" s="109" t="s">
        <v>290</v>
      </c>
      <c r="B133" s="105" t="s">
        <v>1677</v>
      </c>
      <c r="C133" s="25" t="s">
        <v>132</v>
      </c>
      <c r="D133" s="25" t="s">
        <v>1051</v>
      </c>
      <c r="E133" s="25" t="s">
        <v>876</v>
      </c>
      <c r="F133" s="25" t="s">
        <v>879</v>
      </c>
      <c r="G133" s="106">
        <v>47.08</v>
      </c>
      <c r="H133" s="107">
        <v>21.146165429846207</v>
      </c>
      <c r="I133" s="81">
        <v>449153.89613097295</v>
      </c>
      <c r="J133" s="81">
        <v>4081521.5</v>
      </c>
      <c r="K133" s="82">
        <v>0.11004570137165097</v>
      </c>
      <c r="L133" s="110">
        <v>0.11004570137165097</v>
      </c>
      <c r="M133" s="80"/>
    </row>
    <row r="134" spans="1:13" x14ac:dyDescent="0.2">
      <c r="A134" s="109" t="s">
        <v>1228</v>
      </c>
      <c r="B134" s="105" t="s">
        <v>1678</v>
      </c>
      <c r="C134" s="25" t="s">
        <v>36</v>
      </c>
      <c r="D134" s="25" t="s">
        <v>1068</v>
      </c>
      <c r="E134" s="25" t="s">
        <v>876</v>
      </c>
      <c r="F134" s="25" t="s">
        <v>879</v>
      </c>
      <c r="G134" s="106">
        <v>149.13</v>
      </c>
      <c r="H134" s="107">
        <v>9.9081072438943387</v>
      </c>
      <c r="I134" s="81">
        <v>66439.396794034328</v>
      </c>
      <c r="J134" s="81">
        <v>607057.25</v>
      </c>
      <c r="K134" s="82">
        <v>0.10944502646831798</v>
      </c>
      <c r="L134" s="110">
        <v>0.10944502646831798</v>
      </c>
      <c r="M134" s="80"/>
    </row>
    <row r="135" spans="1:13" x14ac:dyDescent="0.2">
      <c r="A135" s="109" t="s">
        <v>1197</v>
      </c>
      <c r="B135" s="105" t="s">
        <v>1679</v>
      </c>
      <c r="C135" s="25" t="s">
        <v>8</v>
      </c>
      <c r="D135" s="25" t="s">
        <v>1065</v>
      </c>
      <c r="E135" s="25" t="s">
        <v>876</v>
      </c>
      <c r="F135" s="25" t="s">
        <v>879</v>
      </c>
      <c r="G135" s="106">
        <v>78.73</v>
      </c>
      <c r="H135" s="107">
        <v>14.861813852312554</v>
      </c>
      <c r="I135" s="81">
        <v>188769.38717531506</v>
      </c>
      <c r="J135" s="81">
        <v>1737385.375</v>
      </c>
      <c r="K135" s="82">
        <v>0.10865141947871816</v>
      </c>
      <c r="L135" s="110">
        <v>0.10865141947871816</v>
      </c>
      <c r="M135" s="80"/>
    </row>
    <row r="136" spans="1:13" x14ac:dyDescent="0.2">
      <c r="A136" s="109" t="s">
        <v>1536</v>
      </c>
      <c r="B136" s="105" t="s">
        <v>1680</v>
      </c>
      <c r="C136" s="25" t="s">
        <v>2085</v>
      </c>
      <c r="D136" s="25" t="s">
        <v>1060</v>
      </c>
      <c r="E136" s="25" t="s">
        <v>876</v>
      </c>
      <c r="F136" s="25" t="s">
        <v>879</v>
      </c>
      <c r="G136" s="106">
        <v>80.58</v>
      </c>
      <c r="H136" s="107">
        <v>9.774847951487029</v>
      </c>
      <c r="I136" s="81">
        <v>121306.12995143993</v>
      </c>
      <c r="J136" s="81">
        <v>1120279.625</v>
      </c>
      <c r="K136" s="82">
        <v>0.10828201035204932</v>
      </c>
      <c r="L136" s="110">
        <v>0.10828201035204932</v>
      </c>
      <c r="M136" s="80"/>
    </row>
    <row r="137" spans="1:13" x14ac:dyDescent="0.2">
      <c r="A137" s="109" t="s">
        <v>915</v>
      </c>
      <c r="B137" s="105" t="s">
        <v>1681</v>
      </c>
      <c r="C137" s="25" t="s">
        <v>801</v>
      </c>
      <c r="D137" s="25" t="s">
        <v>1051</v>
      </c>
      <c r="E137" s="25" t="s">
        <v>876</v>
      </c>
      <c r="F137" s="25" t="s">
        <v>879</v>
      </c>
      <c r="G137" s="106">
        <v>28.67</v>
      </c>
      <c r="H137" s="107">
        <v>36.250576634057097</v>
      </c>
      <c r="I137" s="81">
        <v>1264407.9746793546</v>
      </c>
      <c r="J137" s="81">
        <v>11712978</v>
      </c>
      <c r="K137" s="82">
        <v>0.1079493169610115</v>
      </c>
      <c r="L137" s="110">
        <v>0.1079493169610115</v>
      </c>
      <c r="M137" s="80"/>
    </row>
    <row r="138" spans="1:13" x14ac:dyDescent="0.2">
      <c r="A138" s="109" t="s">
        <v>1270</v>
      </c>
      <c r="B138" s="105" t="s">
        <v>1682</v>
      </c>
      <c r="C138" s="25" t="s">
        <v>1261</v>
      </c>
      <c r="D138" s="25" t="s">
        <v>1068</v>
      </c>
      <c r="E138" s="25" t="s">
        <v>876</v>
      </c>
      <c r="F138" s="25" t="s">
        <v>879</v>
      </c>
      <c r="G138" s="106">
        <v>68.64</v>
      </c>
      <c r="H138" s="107">
        <v>11.866185562481736</v>
      </c>
      <c r="I138" s="81">
        <v>172875.66378906957</v>
      </c>
      <c r="J138" s="81">
        <v>1609423.75</v>
      </c>
      <c r="K138" s="82">
        <v>0.10741463445476654</v>
      </c>
      <c r="L138" s="110">
        <v>0.10741463445476654</v>
      </c>
      <c r="M138" s="80"/>
    </row>
    <row r="139" spans="1:13" x14ac:dyDescent="0.2">
      <c r="A139" s="109" t="s">
        <v>1303</v>
      </c>
      <c r="B139" s="105" t="s">
        <v>1683</v>
      </c>
      <c r="C139" s="25" t="s">
        <v>1299</v>
      </c>
      <c r="D139" s="25" t="s">
        <v>1068</v>
      </c>
      <c r="E139" s="25" t="s">
        <v>876</v>
      </c>
      <c r="F139" s="25" t="s">
        <v>879</v>
      </c>
      <c r="G139" s="106">
        <v>50.98</v>
      </c>
      <c r="H139" s="107">
        <v>5.6160281421782363</v>
      </c>
      <c r="I139" s="81">
        <v>110161.39941503013</v>
      </c>
      <c r="J139" s="81">
        <v>1039269.5</v>
      </c>
      <c r="K139" s="82">
        <v>0.10599887653301683</v>
      </c>
      <c r="L139" s="110">
        <v>0.10599887653301683</v>
      </c>
      <c r="M139" s="80"/>
    </row>
    <row r="140" spans="1:13" x14ac:dyDescent="0.2">
      <c r="A140" s="109" t="s">
        <v>246</v>
      </c>
      <c r="B140" s="105" t="s">
        <v>1684</v>
      </c>
      <c r="C140" s="25" t="s">
        <v>93</v>
      </c>
      <c r="D140" s="25" t="s">
        <v>1065</v>
      </c>
      <c r="E140" s="25" t="s">
        <v>876</v>
      </c>
      <c r="F140" s="25" t="s">
        <v>879</v>
      </c>
      <c r="G140" s="106">
        <v>56.8</v>
      </c>
      <c r="H140" s="107">
        <v>47.056204530834144</v>
      </c>
      <c r="I140" s="81">
        <v>828454.30512031948</v>
      </c>
      <c r="J140" s="81">
        <v>7898514</v>
      </c>
      <c r="K140" s="82">
        <v>0.10488736300528421</v>
      </c>
      <c r="L140" s="110">
        <v>0.10488736300528421</v>
      </c>
      <c r="M140" s="80"/>
    </row>
    <row r="141" spans="1:13" x14ac:dyDescent="0.2">
      <c r="A141" s="109" t="s">
        <v>916</v>
      </c>
      <c r="B141" s="105" t="s">
        <v>1685</v>
      </c>
      <c r="C141" s="25" t="s">
        <v>802</v>
      </c>
      <c r="D141" s="25" t="s">
        <v>1058</v>
      </c>
      <c r="E141" s="25" t="s">
        <v>876</v>
      </c>
      <c r="F141" s="25" t="s">
        <v>879</v>
      </c>
      <c r="G141" s="106">
        <v>78.33</v>
      </c>
      <c r="H141" s="107">
        <v>8.2229111125259973</v>
      </c>
      <c r="I141" s="81">
        <v>104977.80049184216</v>
      </c>
      <c r="J141" s="81">
        <v>1025825.6875</v>
      </c>
      <c r="K141" s="82">
        <v>0.10233493055499467</v>
      </c>
      <c r="L141" s="110">
        <v>0.10233493055499467</v>
      </c>
      <c r="M141" s="80"/>
    </row>
    <row r="142" spans="1:13" x14ac:dyDescent="0.2">
      <c r="A142" s="109" t="s">
        <v>232</v>
      </c>
      <c r="B142" s="105" t="s">
        <v>1686</v>
      </c>
      <c r="C142" s="25" t="s">
        <v>80</v>
      </c>
      <c r="D142" s="25" t="s">
        <v>1058</v>
      </c>
      <c r="E142" s="25" t="s">
        <v>876</v>
      </c>
      <c r="F142" s="25" t="s">
        <v>879</v>
      </c>
      <c r="G142" s="106">
        <v>34.979999999999997</v>
      </c>
      <c r="H142" s="107">
        <v>14.865521407170682</v>
      </c>
      <c r="I142" s="81">
        <v>424972.02421871596</v>
      </c>
      <c r="J142" s="81">
        <v>4153538</v>
      </c>
      <c r="K142" s="82">
        <v>0.10231567021144768</v>
      </c>
      <c r="L142" s="110">
        <v>0.10231567021144768</v>
      </c>
      <c r="M142" s="80"/>
    </row>
    <row r="143" spans="1:13" x14ac:dyDescent="0.2">
      <c r="A143" s="109" t="s">
        <v>247</v>
      </c>
      <c r="B143" s="105" t="s">
        <v>1687</v>
      </c>
      <c r="C143" s="25" t="s">
        <v>94</v>
      </c>
      <c r="D143" s="25" t="s">
        <v>1058</v>
      </c>
      <c r="E143" s="25" t="s">
        <v>876</v>
      </c>
      <c r="F143" s="25" t="s">
        <v>881</v>
      </c>
      <c r="G143" s="106">
        <v>71.17</v>
      </c>
      <c r="H143" s="107">
        <v>4.3839347988287249</v>
      </c>
      <c r="I143" s="81">
        <v>61598.072204984193</v>
      </c>
      <c r="J143" s="81">
        <v>604671.8125</v>
      </c>
      <c r="K143" s="82">
        <v>0.10187025578438749</v>
      </c>
      <c r="L143" s="110">
        <v>0.10187025578438749</v>
      </c>
      <c r="M143" s="80"/>
    </row>
    <row r="144" spans="1:13" x14ac:dyDescent="0.2">
      <c r="A144" s="109" t="s">
        <v>942</v>
      </c>
      <c r="B144" s="105" t="s">
        <v>1688</v>
      </c>
      <c r="C144" s="25" t="s">
        <v>825</v>
      </c>
      <c r="D144" s="25" t="s">
        <v>1052</v>
      </c>
      <c r="E144" s="25" t="s">
        <v>876</v>
      </c>
      <c r="F144" s="25" t="s">
        <v>879</v>
      </c>
      <c r="G144" s="106">
        <v>107.54</v>
      </c>
      <c r="H144" s="107">
        <v>29.367340718070007</v>
      </c>
      <c r="I144" s="81">
        <v>273082.95255783899</v>
      </c>
      <c r="J144" s="81">
        <v>2692159.5</v>
      </c>
      <c r="K144" s="82">
        <v>0.10143639429901496</v>
      </c>
      <c r="L144" s="110">
        <v>0.10143639429901496</v>
      </c>
      <c r="M144" s="80"/>
    </row>
    <row r="145" spans="1:13" x14ac:dyDescent="0.2">
      <c r="A145" s="109" t="s">
        <v>735</v>
      </c>
      <c r="B145" s="105" t="s">
        <v>1689</v>
      </c>
      <c r="C145" s="25" t="s">
        <v>604</v>
      </c>
      <c r="D145" s="25" t="s">
        <v>1064</v>
      </c>
      <c r="E145" s="25" t="s">
        <v>876</v>
      </c>
      <c r="F145" s="25" t="s">
        <v>879</v>
      </c>
      <c r="G145" s="106">
        <v>45.03</v>
      </c>
      <c r="H145" s="107">
        <v>13.754063999251748</v>
      </c>
      <c r="I145" s="81">
        <v>305442.23849104479</v>
      </c>
      <c r="J145" s="81">
        <v>3011628.5</v>
      </c>
      <c r="K145" s="82">
        <v>0.10142095497205077</v>
      </c>
      <c r="L145" s="110">
        <v>0.10142095497205077</v>
      </c>
      <c r="M145" s="80"/>
    </row>
    <row r="146" spans="1:13" x14ac:dyDescent="0.2">
      <c r="A146" s="109" t="s">
        <v>1159</v>
      </c>
      <c r="B146" s="105" t="s">
        <v>1690</v>
      </c>
      <c r="C146" s="25" t="s">
        <v>691</v>
      </c>
      <c r="D146" s="25" t="s">
        <v>1058</v>
      </c>
      <c r="E146" s="25" t="s">
        <v>876</v>
      </c>
      <c r="F146" s="25" t="s">
        <v>881</v>
      </c>
      <c r="G146" s="106">
        <v>72.81</v>
      </c>
      <c r="H146" s="107">
        <v>10.224451122864311</v>
      </c>
      <c r="I146" s="81">
        <v>140426.46783222511</v>
      </c>
      <c r="J146" s="81">
        <v>1401570.875</v>
      </c>
      <c r="K146" s="82">
        <v>0.10019219886559437</v>
      </c>
      <c r="L146" s="110">
        <v>0.10019219886559437</v>
      </c>
      <c r="M146" s="80"/>
    </row>
    <row r="147" spans="1:13" x14ac:dyDescent="0.2">
      <c r="A147" s="109" t="s">
        <v>927</v>
      </c>
      <c r="B147" s="105" t="s">
        <v>1691</v>
      </c>
      <c r="C147" s="25" t="s">
        <v>812</v>
      </c>
      <c r="D147" s="25" t="s">
        <v>1068</v>
      </c>
      <c r="E147" s="25" t="s">
        <v>876</v>
      </c>
      <c r="F147" s="25" t="s">
        <v>881</v>
      </c>
      <c r="G147" s="106">
        <v>117.17</v>
      </c>
      <c r="H147" s="107">
        <v>21.57890537316495</v>
      </c>
      <c r="I147" s="81">
        <v>184167.4948635739</v>
      </c>
      <c r="J147" s="81">
        <v>1861007.125</v>
      </c>
      <c r="K147" s="82">
        <v>9.8961198154238067E-2</v>
      </c>
      <c r="L147" s="110">
        <v>9.8961198154238067E-2</v>
      </c>
      <c r="M147" s="80"/>
    </row>
    <row r="148" spans="1:13" x14ac:dyDescent="0.2">
      <c r="A148" s="109" t="s">
        <v>1153</v>
      </c>
      <c r="B148" s="105" t="s">
        <v>1692</v>
      </c>
      <c r="C148" s="25" t="s">
        <v>686</v>
      </c>
      <c r="D148" s="25" t="s">
        <v>1058</v>
      </c>
      <c r="E148" s="25" t="s">
        <v>876</v>
      </c>
      <c r="F148" s="25" t="s">
        <v>879</v>
      </c>
      <c r="G148" s="106">
        <v>80.44</v>
      </c>
      <c r="H148" s="107">
        <v>24.164146102544485</v>
      </c>
      <c r="I148" s="81">
        <v>300399.62832601299</v>
      </c>
      <c r="J148" s="81">
        <v>3038101.25</v>
      </c>
      <c r="K148" s="82">
        <v>9.887742494625977E-2</v>
      </c>
      <c r="L148" s="110">
        <v>9.887742494625977E-2</v>
      </c>
      <c r="M148" s="80"/>
    </row>
    <row r="149" spans="1:13" x14ac:dyDescent="0.2">
      <c r="A149" s="109" t="s">
        <v>1120</v>
      </c>
      <c r="B149" s="105" t="s">
        <v>1693</v>
      </c>
      <c r="C149" s="25" t="s">
        <v>659</v>
      </c>
      <c r="D149" s="25" t="s">
        <v>1054</v>
      </c>
      <c r="E149" s="25" t="s">
        <v>876</v>
      </c>
      <c r="F149" s="25" t="s">
        <v>879</v>
      </c>
      <c r="G149" s="106">
        <v>107.95</v>
      </c>
      <c r="H149" s="107">
        <v>42.451248371939677</v>
      </c>
      <c r="I149" s="81">
        <v>393249.17435794044</v>
      </c>
      <c r="J149" s="81">
        <v>3982312.5</v>
      </c>
      <c r="K149" s="82">
        <v>9.8748949098781277E-2</v>
      </c>
      <c r="L149" s="110">
        <v>9.8748949098781277E-2</v>
      </c>
      <c r="M149" s="80"/>
    </row>
    <row r="150" spans="1:13" x14ac:dyDescent="0.2">
      <c r="A150" s="109" t="s">
        <v>1322</v>
      </c>
      <c r="B150" s="105" t="s">
        <v>1694</v>
      </c>
      <c r="C150" s="25" t="s">
        <v>1326</v>
      </c>
      <c r="D150" s="25" t="s">
        <v>1054</v>
      </c>
      <c r="E150" s="25" t="s">
        <v>876</v>
      </c>
      <c r="F150" s="25" t="s">
        <v>879</v>
      </c>
      <c r="G150" s="106">
        <v>127.99</v>
      </c>
      <c r="H150" s="107">
        <v>15.73878632343509</v>
      </c>
      <c r="I150" s="81">
        <v>122968.87509520346</v>
      </c>
      <c r="J150" s="81">
        <v>1248729.25</v>
      </c>
      <c r="K150" s="82">
        <v>9.8475209974622974E-2</v>
      </c>
      <c r="L150" s="110">
        <v>9.8475209974622974E-2</v>
      </c>
      <c r="M150" s="80"/>
    </row>
    <row r="151" spans="1:13" x14ac:dyDescent="0.2">
      <c r="A151" s="109" t="s">
        <v>1084</v>
      </c>
      <c r="B151" s="105" t="s">
        <v>1695</v>
      </c>
      <c r="C151" s="25" t="s">
        <v>629</v>
      </c>
      <c r="D151" s="25" t="s">
        <v>1053</v>
      </c>
      <c r="E151" s="25" t="s">
        <v>876</v>
      </c>
      <c r="F151" s="25" t="s">
        <v>879</v>
      </c>
      <c r="G151" s="106">
        <v>117.02</v>
      </c>
      <c r="H151" s="107">
        <v>20.383879462868716</v>
      </c>
      <c r="I151" s="81">
        <v>174191.41567995827</v>
      </c>
      <c r="J151" s="81">
        <v>1778293.875</v>
      </c>
      <c r="K151" s="82">
        <v>9.7954234746469152E-2</v>
      </c>
      <c r="L151" s="110">
        <v>9.7954234746469152E-2</v>
      </c>
      <c r="M151" s="80"/>
    </row>
    <row r="152" spans="1:13" x14ac:dyDescent="0.2">
      <c r="A152" s="109" t="s">
        <v>902</v>
      </c>
      <c r="B152" s="105" t="s">
        <v>1696</v>
      </c>
      <c r="C152" s="25" t="s">
        <v>791</v>
      </c>
      <c r="D152" s="25" t="s">
        <v>1066</v>
      </c>
      <c r="E152" s="25" t="s">
        <v>876</v>
      </c>
      <c r="F152" s="25" t="s">
        <v>881</v>
      </c>
      <c r="G152" s="106">
        <v>74.81</v>
      </c>
      <c r="H152" s="107">
        <v>15.516158963140974</v>
      </c>
      <c r="I152" s="81">
        <v>207407.55197354595</v>
      </c>
      <c r="J152" s="81">
        <v>2128565.5</v>
      </c>
      <c r="K152" s="82">
        <v>9.7440060911231516E-2</v>
      </c>
      <c r="L152" s="110">
        <v>9.7440060911231516E-2</v>
      </c>
      <c r="M152" s="80"/>
    </row>
    <row r="153" spans="1:13" x14ac:dyDescent="0.2">
      <c r="A153" s="109" t="s">
        <v>1157</v>
      </c>
      <c r="B153" s="105" t="s">
        <v>1697</v>
      </c>
      <c r="C153" s="25" t="s">
        <v>689</v>
      </c>
      <c r="D153" s="25" t="s">
        <v>1058</v>
      </c>
      <c r="E153" s="25" t="s">
        <v>876</v>
      </c>
      <c r="F153" s="25" t="s">
        <v>879</v>
      </c>
      <c r="G153" s="106">
        <v>75.25</v>
      </c>
      <c r="H153" s="107">
        <v>12.08945168861497</v>
      </c>
      <c r="I153" s="81">
        <v>160657.16529720891</v>
      </c>
      <c r="J153" s="81">
        <v>1652466</v>
      </c>
      <c r="K153" s="82">
        <v>9.7222675260615898E-2</v>
      </c>
      <c r="L153" s="110">
        <v>9.7222675260615898E-2</v>
      </c>
      <c r="M153" s="80"/>
    </row>
    <row r="154" spans="1:13" x14ac:dyDescent="0.2">
      <c r="A154" s="109" t="s">
        <v>236</v>
      </c>
      <c r="B154" s="105" t="s">
        <v>1698</v>
      </c>
      <c r="C154" s="25" t="s">
        <v>84</v>
      </c>
      <c r="D154" s="25" t="s">
        <v>1052</v>
      </c>
      <c r="E154" s="25" t="s">
        <v>876</v>
      </c>
      <c r="F154" s="25" t="s">
        <v>881</v>
      </c>
      <c r="G154" s="106">
        <v>122.25</v>
      </c>
      <c r="H154" s="107">
        <v>14.552057613788191</v>
      </c>
      <c r="I154" s="81">
        <v>119035.23610460688</v>
      </c>
      <c r="J154" s="81">
        <v>1224854.75</v>
      </c>
      <c r="K154" s="82">
        <v>9.7183144454154158E-2</v>
      </c>
      <c r="L154" s="110">
        <v>9.7183144454154158E-2</v>
      </c>
      <c r="M154" s="80"/>
    </row>
    <row r="155" spans="1:13" x14ac:dyDescent="0.2">
      <c r="A155" s="109" t="s">
        <v>219</v>
      </c>
      <c r="B155" s="105" t="s">
        <v>1699</v>
      </c>
      <c r="C155" s="25" t="s">
        <v>69</v>
      </c>
      <c r="D155" s="25" t="s">
        <v>1068</v>
      </c>
      <c r="E155" s="25" t="s">
        <v>876</v>
      </c>
      <c r="F155" s="25" t="s">
        <v>879</v>
      </c>
      <c r="G155" s="106">
        <v>60.28</v>
      </c>
      <c r="H155" s="107">
        <v>9.5596328599324778</v>
      </c>
      <c r="I155" s="81">
        <v>158587.14100750626</v>
      </c>
      <c r="J155" s="81">
        <v>1634772</v>
      </c>
      <c r="K155" s="82">
        <v>9.700872109842E-2</v>
      </c>
      <c r="L155" s="110">
        <v>9.700872109842E-2</v>
      </c>
      <c r="M155" s="80"/>
    </row>
    <row r="156" spans="1:13" x14ac:dyDescent="0.2">
      <c r="A156" s="109" t="s">
        <v>751</v>
      </c>
      <c r="B156" s="105" t="s">
        <v>1700</v>
      </c>
      <c r="C156" s="25" t="s">
        <v>833</v>
      </c>
      <c r="D156" s="25" t="s">
        <v>1064</v>
      </c>
      <c r="E156" s="25" t="s">
        <v>876</v>
      </c>
      <c r="F156" s="25" t="s">
        <v>879</v>
      </c>
      <c r="G156" s="106">
        <v>77.95</v>
      </c>
      <c r="H156" s="107">
        <v>27.319807342065172</v>
      </c>
      <c r="I156" s="81">
        <v>350478.60605599958</v>
      </c>
      <c r="J156" s="81">
        <v>3651060.5</v>
      </c>
      <c r="K156" s="82">
        <v>9.5993645149402368E-2</v>
      </c>
      <c r="L156" s="110">
        <v>9.5993645149402368E-2</v>
      </c>
      <c r="M156" s="80"/>
    </row>
    <row r="157" spans="1:13" x14ac:dyDescent="0.2">
      <c r="A157" s="109" t="s">
        <v>1444</v>
      </c>
      <c r="B157" s="105" t="s">
        <v>1701</v>
      </c>
      <c r="C157" s="25" t="s">
        <v>1462</v>
      </c>
      <c r="D157" s="25" t="s">
        <v>1058</v>
      </c>
      <c r="E157" s="25" t="s">
        <v>876</v>
      </c>
      <c r="F157" s="25" t="s">
        <v>881</v>
      </c>
      <c r="G157" s="106">
        <v>54.37</v>
      </c>
      <c r="H157" s="107">
        <v>7.4333627136122278</v>
      </c>
      <c r="I157" s="81">
        <v>136718.09294854198</v>
      </c>
      <c r="J157" s="81">
        <v>1433213.625</v>
      </c>
      <c r="K157" s="82">
        <v>9.5392682963463996E-2</v>
      </c>
      <c r="L157" s="110">
        <v>9.5392682963463996E-2</v>
      </c>
      <c r="M157" s="80"/>
    </row>
    <row r="158" spans="1:13" x14ac:dyDescent="0.2">
      <c r="A158" s="109" t="s">
        <v>1139</v>
      </c>
      <c r="B158" s="105" t="s">
        <v>1702</v>
      </c>
      <c r="C158" s="25" t="s">
        <v>674</v>
      </c>
      <c r="D158" s="25" t="s">
        <v>1055</v>
      </c>
      <c r="E158" s="25" t="s">
        <v>876</v>
      </c>
      <c r="F158" s="25" t="s">
        <v>879</v>
      </c>
      <c r="G158" s="106">
        <v>57.85</v>
      </c>
      <c r="H158" s="107">
        <v>22.313239265755378</v>
      </c>
      <c r="I158" s="81">
        <v>385708.54391971265</v>
      </c>
      <c r="J158" s="81">
        <v>4089668.75</v>
      </c>
      <c r="K158" s="82">
        <v>9.4312905885033507E-2</v>
      </c>
      <c r="L158" s="110">
        <v>9.4312905885033507E-2</v>
      </c>
      <c r="M158" s="80"/>
    </row>
    <row r="159" spans="1:13" x14ac:dyDescent="0.2">
      <c r="A159" s="109" t="s">
        <v>1537</v>
      </c>
      <c r="B159" s="105" t="s">
        <v>1703</v>
      </c>
      <c r="C159" s="25" t="s">
        <v>2086</v>
      </c>
      <c r="D159" s="25" t="s">
        <v>1051</v>
      </c>
      <c r="E159" s="25" t="s">
        <v>876</v>
      </c>
      <c r="F159" s="25" t="s">
        <v>881</v>
      </c>
      <c r="G159" s="106">
        <v>21.84</v>
      </c>
      <c r="H159" s="107">
        <v>15.630101221650561</v>
      </c>
      <c r="I159" s="81">
        <v>715663.97535030032</v>
      </c>
      <c r="J159" s="81">
        <v>7700603</v>
      </c>
      <c r="K159" s="82">
        <v>9.2936095439577954E-2</v>
      </c>
      <c r="L159" s="110">
        <v>9.2936095439577954E-2</v>
      </c>
      <c r="M159" s="80"/>
    </row>
    <row r="160" spans="1:13" x14ac:dyDescent="0.2">
      <c r="A160" s="109" t="s">
        <v>230</v>
      </c>
      <c r="B160" s="105" t="s">
        <v>1704</v>
      </c>
      <c r="C160" s="25" t="s">
        <v>78</v>
      </c>
      <c r="D160" s="25" t="s">
        <v>1058</v>
      </c>
      <c r="E160" s="25" t="s">
        <v>876</v>
      </c>
      <c r="F160" s="25" t="s">
        <v>879</v>
      </c>
      <c r="G160" s="106">
        <v>75.400000000000006</v>
      </c>
      <c r="H160" s="107">
        <v>3.9177525193060663</v>
      </c>
      <c r="I160" s="81">
        <v>51959.58248416533</v>
      </c>
      <c r="J160" s="81">
        <v>559800.125</v>
      </c>
      <c r="K160" s="82">
        <v>9.2818097323871321E-2</v>
      </c>
      <c r="L160" s="110">
        <v>9.2818097323871321E-2</v>
      </c>
      <c r="M160" s="80"/>
    </row>
    <row r="161" spans="1:13" x14ac:dyDescent="0.2">
      <c r="A161" s="109" t="s">
        <v>901</v>
      </c>
      <c r="B161" s="105" t="s">
        <v>1705</v>
      </c>
      <c r="C161" s="25" t="s">
        <v>790</v>
      </c>
      <c r="D161" s="25" t="s">
        <v>1068</v>
      </c>
      <c r="E161" s="25" t="s">
        <v>876</v>
      </c>
      <c r="F161" s="25" t="s">
        <v>879</v>
      </c>
      <c r="G161" s="106">
        <v>83.1</v>
      </c>
      <c r="H161" s="107">
        <v>24.399657139320631</v>
      </c>
      <c r="I161" s="81">
        <v>293618.01611697511</v>
      </c>
      <c r="J161" s="81">
        <v>3182615.5</v>
      </c>
      <c r="K161" s="82">
        <v>9.2256829678915062E-2</v>
      </c>
      <c r="L161" s="110">
        <v>9.2256829678915062E-2</v>
      </c>
      <c r="M161" s="80"/>
    </row>
    <row r="162" spans="1:13" x14ac:dyDescent="0.2">
      <c r="A162" s="109" t="s">
        <v>1126</v>
      </c>
      <c r="B162" s="105" t="s">
        <v>1706</v>
      </c>
      <c r="C162" s="25" t="s">
        <v>664</v>
      </c>
      <c r="D162" s="25" t="s">
        <v>1066</v>
      </c>
      <c r="E162" s="25" t="s">
        <v>876</v>
      </c>
      <c r="F162" s="25" t="s">
        <v>879</v>
      </c>
      <c r="G162" s="106">
        <v>131.46</v>
      </c>
      <c r="H162" s="107">
        <v>9.3082233849188807</v>
      </c>
      <c r="I162" s="81">
        <v>70806.506807537517</v>
      </c>
      <c r="J162" s="81">
        <v>768575.8125</v>
      </c>
      <c r="K162" s="82">
        <v>9.2126899722774602E-2</v>
      </c>
      <c r="L162" s="110">
        <v>9.2126899722774602E-2</v>
      </c>
      <c r="M162" s="80"/>
    </row>
    <row r="163" spans="1:13" x14ac:dyDescent="0.2">
      <c r="A163" s="109" t="s">
        <v>1219</v>
      </c>
      <c r="B163" s="105" t="s">
        <v>1707</v>
      </c>
      <c r="C163" s="25" t="s">
        <v>28</v>
      </c>
      <c r="D163" s="25" t="s">
        <v>1060</v>
      </c>
      <c r="E163" s="25" t="s">
        <v>876</v>
      </c>
      <c r="F163" s="25" t="s">
        <v>879</v>
      </c>
      <c r="G163" s="106">
        <v>30</v>
      </c>
      <c r="H163" s="107">
        <v>6.826406317491247</v>
      </c>
      <c r="I163" s="81">
        <v>227546.87724970822</v>
      </c>
      <c r="J163" s="81">
        <v>2479295.25</v>
      </c>
      <c r="K163" s="82">
        <v>9.177885419241949E-2</v>
      </c>
      <c r="L163" s="110">
        <v>9.177885419241949E-2</v>
      </c>
      <c r="M163" s="80"/>
    </row>
    <row r="164" spans="1:13" x14ac:dyDescent="0.2">
      <c r="A164" s="109" t="s">
        <v>1209</v>
      </c>
      <c r="B164" s="105" t="s">
        <v>1708</v>
      </c>
      <c r="C164" s="25" t="s">
        <v>19</v>
      </c>
      <c r="D164" s="25" t="s">
        <v>1060</v>
      </c>
      <c r="E164" s="25" t="s">
        <v>876</v>
      </c>
      <c r="F164" s="25" t="s">
        <v>879</v>
      </c>
      <c r="G164" s="106">
        <v>38.46</v>
      </c>
      <c r="H164" s="107">
        <v>6.3862526421319066</v>
      </c>
      <c r="I164" s="81">
        <v>166049.21066385612</v>
      </c>
      <c r="J164" s="81">
        <v>1840076.875</v>
      </c>
      <c r="K164" s="82">
        <v>9.0240365997673946E-2</v>
      </c>
      <c r="L164" s="110">
        <v>9.0240365997673946E-2</v>
      </c>
      <c r="M164" s="80"/>
    </row>
    <row r="165" spans="1:13" x14ac:dyDescent="0.2">
      <c r="A165" s="109" t="s">
        <v>908</v>
      </c>
      <c r="B165" s="105" t="s">
        <v>1709</v>
      </c>
      <c r="C165" s="25" t="s">
        <v>796</v>
      </c>
      <c r="D165" s="25" t="s">
        <v>1051</v>
      </c>
      <c r="E165" s="25" t="s">
        <v>876</v>
      </c>
      <c r="F165" s="25" t="s">
        <v>881</v>
      </c>
      <c r="G165" s="106">
        <v>31.58</v>
      </c>
      <c r="H165" s="107">
        <v>68.422106705007195</v>
      </c>
      <c r="I165" s="81">
        <v>2166627.8247310696</v>
      </c>
      <c r="J165" s="81">
        <v>24312672</v>
      </c>
      <c r="K165" s="82">
        <v>8.9115166968528572E-2</v>
      </c>
      <c r="L165" s="110">
        <v>8.9115166968528572E-2</v>
      </c>
      <c r="M165" s="80"/>
    </row>
    <row r="166" spans="1:13" x14ac:dyDescent="0.2">
      <c r="A166" s="109" t="s">
        <v>1315</v>
      </c>
      <c r="B166" s="105" t="s">
        <v>1710</v>
      </c>
      <c r="C166" s="25" t="s">
        <v>1467</v>
      </c>
      <c r="D166" s="25" t="s">
        <v>1057</v>
      </c>
      <c r="E166" s="25" t="s">
        <v>876</v>
      </c>
      <c r="F166" s="25" t="s">
        <v>879</v>
      </c>
      <c r="G166" s="106">
        <v>155.94</v>
      </c>
      <c r="H166" s="107">
        <v>10.980757173643111</v>
      </c>
      <c r="I166" s="81">
        <v>70416.552351180653</v>
      </c>
      <c r="J166" s="81">
        <v>791548.0625</v>
      </c>
      <c r="K166" s="82">
        <v>8.8960551717831599E-2</v>
      </c>
      <c r="L166" s="110">
        <v>8.8960551717831599E-2</v>
      </c>
      <c r="M166" s="80"/>
    </row>
    <row r="167" spans="1:13" x14ac:dyDescent="0.2">
      <c r="A167" s="109" t="s">
        <v>1163</v>
      </c>
      <c r="B167" s="105" t="s">
        <v>1711</v>
      </c>
      <c r="C167" s="25" t="s">
        <v>694</v>
      </c>
      <c r="D167" s="25" t="s">
        <v>1064</v>
      </c>
      <c r="E167" s="25" t="s">
        <v>876</v>
      </c>
      <c r="F167" s="25" t="s">
        <v>879</v>
      </c>
      <c r="G167" s="106">
        <v>91.14</v>
      </c>
      <c r="H167" s="107">
        <v>25.486904346917871</v>
      </c>
      <c r="I167" s="81">
        <v>279645.64787050546</v>
      </c>
      <c r="J167" s="81">
        <v>3155363.5</v>
      </c>
      <c r="K167" s="82">
        <v>8.862549366198394E-2</v>
      </c>
      <c r="L167" s="110">
        <v>8.862549366198394E-2</v>
      </c>
      <c r="M167" s="80"/>
    </row>
    <row r="168" spans="1:13" x14ac:dyDescent="0.2">
      <c r="A168" s="109" t="s">
        <v>925</v>
      </c>
      <c r="B168" s="105" t="s">
        <v>1712</v>
      </c>
      <c r="C168" s="25" t="s">
        <v>810</v>
      </c>
      <c r="D168" s="25" t="s">
        <v>1064</v>
      </c>
      <c r="E168" s="25" t="s">
        <v>876</v>
      </c>
      <c r="F168" s="25" t="s">
        <v>879</v>
      </c>
      <c r="G168" s="106">
        <v>44.74</v>
      </c>
      <c r="H168" s="107">
        <v>26.102635182437261</v>
      </c>
      <c r="I168" s="81">
        <v>583429.48552608979</v>
      </c>
      <c r="J168" s="81">
        <v>6596803</v>
      </c>
      <c r="K168" s="82">
        <v>8.844124730207796E-2</v>
      </c>
      <c r="L168" s="110">
        <v>8.844124730207796E-2</v>
      </c>
      <c r="M168" s="80"/>
    </row>
    <row r="169" spans="1:13" x14ac:dyDescent="0.2">
      <c r="A169" s="109" t="s">
        <v>209</v>
      </c>
      <c r="B169" s="105" t="s">
        <v>1713</v>
      </c>
      <c r="C169" s="25" t="s">
        <v>61</v>
      </c>
      <c r="D169" s="25" t="s">
        <v>1052</v>
      </c>
      <c r="E169" s="25" t="s">
        <v>876</v>
      </c>
      <c r="F169" s="25" t="s">
        <v>879</v>
      </c>
      <c r="G169" s="106">
        <v>49.44</v>
      </c>
      <c r="H169" s="107">
        <v>9.2221331186876316</v>
      </c>
      <c r="I169" s="81">
        <v>186531.81874368186</v>
      </c>
      <c r="J169" s="81">
        <v>2118882</v>
      </c>
      <c r="K169" s="82">
        <v>8.8033131974164611E-2</v>
      </c>
      <c r="L169" s="110">
        <v>8.8033131974164611E-2</v>
      </c>
      <c r="M169" s="80"/>
    </row>
    <row r="170" spans="1:13" x14ac:dyDescent="0.2">
      <c r="A170" s="109" t="s">
        <v>1095</v>
      </c>
      <c r="B170" s="105" t="s">
        <v>1714</v>
      </c>
      <c r="C170" s="25" t="s">
        <v>639</v>
      </c>
      <c r="D170" s="25" t="s">
        <v>1064</v>
      </c>
      <c r="E170" s="25" t="s">
        <v>876</v>
      </c>
      <c r="F170" s="25" t="s">
        <v>879</v>
      </c>
      <c r="G170" s="106">
        <v>52.83</v>
      </c>
      <c r="H170" s="107">
        <v>14.068967809899901</v>
      </c>
      <c r="I170" s="81">
        <v>266306.41321029537</v>
      </c>
      <c r="J170" s="81">
        <v>3046264.5</v>
      </c>
      <c r="K170" s="82">
        <v>8.7420646897304999E-2</v>
      </c>
      <c r="L170" s="110">
        <v>8.7420646897304999E-2</v>
      </c>
      <c r="M170" s="80"/>
    </row>
    <row r="171" spans="1:13" x14ac:dyDescent="0.2">
      <c r="A171" s="109" t="s">
        <v>904</v>
      </c>
      <c r="B171" s="105" t="s">
        <v>1715</v>
      </c>
      <c r="C171" s="25" t="s">
        <v>792</v>
      </c>
      <c r="D171" s="25" t="s">
        <v>1061</v>
      </c>
      <c r="E171" s="25" t="s">
        <v>876</v>
      </c>
      <c r="F171" s="25" t="s">
        <v>879</v>
      </c>
      <c r="G171" s="106">
        <v>69.63</v>
      </c>
      <c r="H171" s="107">
        <v>15.376645555055502</v>
      </c>
      <c r="I171" s="81">
        <v>220833.62853734745</v>
      </c>
      <c r="J171" s="81">
        <v>2537829.75</v>
      </c>
      <c r="K171" s="82">
        <v>8.7016723063218657E-2</v>
      </c>
      <c r="L171" s="110">
        <v>8.7016723063218657E-2</v>
      </c>
      <c r="M171" s="80"/>
    </row>
    <row r="172" spans="1:13" x14ac:dyDescent="0.2">
      <c r="A172" s="109" t="s">
        <v>239</v>
      </c>
      <c r="B172" s="105" t="s">
        <v>1716</v>
      </c>
      <c r="C172" s="25" t="s">
        <v>87</v>
      </c>
      <c r="D172" s="25" t="s">
        <v>1057</v>
      </c>
      <c r="E172" s="25" t="s">
        <v>876</v>
      </c>
      <c r="F172" s="25" t="s">
        <v>881</v>
      </c>
      <c r="G172" s="106">
        <v>50.02</v>
      </c>
      <c r="H172" s="107">
        <v>17.823463219944518</v>
      </c>
      <c r="I172" s="81">
        <v>356326.73370540823</v>
      </c>
      <c r="J172" s="81">
        <v>4101447</v>
      </c>
      <c r="K172" s="82">
        <v>8.6878297758183454E-2</v>
      </c>
      <c r="L172" s="110">
        <v>8.6878297758183454E-2</v>
      </c>
      <c r="M172" s="80"/>
    </row>
    <row r="173" spans="1:13" x14ac:dyDescent="0.2">
      <c r="A173" s="109" t="s">
        <v>228</v>
      </c>
      <c r="B173" s="105" t="s">
        <v>1717</v>
      </c>
      <c r="C173" s="25" t="s">
        <v>1358</v>
      </c>
      <c r="D173" s="25" t="s">
        <v>1060</v>
      </c>
      <c r="E173" s="25" t="s">
        <v>876</v>
      </c>
      <c r="F173" s="25" t="s">
        <v>881</v>
      </c>
      <c r="G173" s="106">
        <v>53.16</v>
      </c>
      <c r="H173" s="107">
        <v>10.250815331471216</v>
      </c>
      <c r="I173" s="81">
        <v>192829.48328576406</v>
      </c>
      <c r="J173" s="81">
        <v>2247308</v>
      </c>
      <c r="K173" s="82">
        <v>8.5804653071926085E-2</v>
      </c>
      <c r="L173" s="110">
        <v>8.5804653071926085E-2</v>
      </c>
      <c r="M173" s="80"/>
    </row>
    <row r="174" spans="1:13" x14ac:dyDescent="0.2">
      <c r="A174" s="109" t="s">
        <v>1443</v>
      </c>
      <c r="B174" s="105" t="s">
        <v>1718</v>
      </c>
      <c r="C174" s="25" t="s">
        <v>1457</v>
      </c>
      <c r="D174" s="25" t="s">
        <v>1053</v>
      </c>
      <c r="E174" s="25" t="s">
        <v>876</v>
      </c>
      <c r="F174" s="25" t="s">
        <v>879</v>
      </c>
      <c r="G174" s="106">
        <v>124.18</v>
      </c>
      <c r="H174" s="107">
        <v>17.212249221692996</v>
      </c>
      <c r="I174" s="81">
        <v>138607.25738196966</v>
      </c>
      <c r="J174" s="81">
        <v>1621037.25</v>
      </c>
      <c r="K174" s="82">
        <v>8.5505288284997552E-2</v>
      </c>
      <c r="L174" s="110">
        <v>8.5505288284997552E-2</v>
      </c>
      <c r="M174" s="80"/>
    </row>
    <row r="175" spans="1:13" x14ac:dyDescent="0.2">
      <c r="A175" s="109" t="s">
        <v>1124</v>
      </c>
      <c r="B175" s="105" t="s">
        <v>1719</v>
      </c>
      <c r="C175" s="25" t="s">
        <v>1296</v>
      </c>
      <c r="D175" s="25" t="s">
        <v>1053</v>
      </c>
      <c r="E175" s="25" t="s">
        <v>876</v>
      </c>
      <c r="F175" s="25" t="s">
        <v>879</v>
      </c>
      <c r="G175" s="106">
        <v>128.49</v>
      </c>
      <c r="H175" s="107">
        <v>15.039101472286777</v>
      </c>
      <c r="I175" s="81">
        <v>117044.9176767591</v>
      </c>
      <c r="J175" s="81">
        <v>1388623.375</v>
      </c>
      <c r="K175" s="82">
        <v>8.4288454151046605E-2</v>
      </c>
      <c r="L175" s="110">
        <v>8.4288454151046605E-2</v>
      </c>
      <c r="M175" s="80"/>
    </row>
    <row r="176" spans="1:13" x14ac:dyDescent="0.2">
      <c r="A176" s="109" t="s">
        <v>1147</v>
      </c>
      <c r="B176" s="105" t="s">
        <v>1720</v>
      </c>
      <c r="C176" s="25" t="s">
        <v>680</v>
      </c>
      <c r="D176" s="25" t="s">
        <v>1067</v>
      </c>
      <c r="E176" s="25" t="s">
        <v>876</v>
      </c>
      <c r="F176" s="25" t="s">
        <v>879</v>
      </c>
      <c r="G176" s="106">
        <v>138.38</v>
      </c>
      <c r="H176" s="107">
        <v>2.9488606319088646</v>
      </c>
      <c r="I176" s="81">
        <v>21309.875935170287</v>
      </c>
      <c r="J176" s="81">
        <v>254554.65625</v>
      </c>
      <c r="K176" s="82">
        <v>8.3714343509166456E-2</v>
      </c>
      <c r="L176" s="110">
        <v>8.3714343509166456E-2</v>
      </c>
      <c r="M176" s="80"/>
    </row>
    <row r="177" spans="1:13" x14ac:dyDescent="0.2">
      <c r="A177" s="109" t="s">
        <v>291</v>
      </c>
      <c r="B177" s="105" t="s">
        <v>1722</v>
      </c>
      <c r="C177" s="25" t="s">
        <v>1473</v>
      </c>
      <c r="D177" s="25" t="s">
        <v>1058</v>
      </c>
      <c r="E177" s="25" t="s">
        <v>876</v>
      </c>
      <c r="F177" s="25" t="s">
        <v>881</v>
      </c>
      <c r="G177" s="106">
        <v>60.34</v>
      </c>
      <c r="H177" s="107">
        <v>8.0201264932173739</v>
      </c>
      <c r="I177" s="81">
        <v>132915.58656309865</v>
      </c>
      <c r="J177" s="81">
        <v>1590639.625</v>
      </c>
      <c r="K177" s="82">
        <v>8.3561093584034574E-2</v>
      </c>
      <c r="L177" s="110">
        <v>8.3561093584034574E-2</v>
      </c>
      <c r="M177" s="80"/>
    </row>
    <row r="178" spans="1:13" x14ac:dyDescent="0.2">
      <c r="A178" s="109" t="s">
        <v>234</v>
      </c>
      <c r="B178" s="105" t="s">
        <v>1721</v>
      </c>
      <c r="C178" s="25" t="s">
        <v>82</v>
      </c>
      <c r="D178" s="25" t="s">
        <v>1060</v>
      </c>
      <c r="E178" s="25" t="s">
        <v>876</v>
      </c>
      <c r="F178" s="25" t="s">
        <v>879</v>
      </c>
      <c r="G178" s="106">
        <v>225.74</v>
      </c>
      <c r="H178" s="107">
        <v>14.788363551704085</v>
      </c>
      <c r="I178" s="81">
        <v>65510.603135040685</v>
      </c>
      <c r="J178" s="81">
        <v>784324.1875</v>
      </c>
      <c r="K178" s="82">
        <v>8.3524904853250731E-2</v>
      </c>
      <c r="L178" s="110">
        <v>8.3524904853250731E-2</v>
      </c>
      <c r="M178" s="80"/>
    </row>
    <row r="179" spans="1:13" x14ac:dyDescent="0.2">
      <c r="A179" s="109" t="s">
        <v>1171</v>
      </c>
      <c r="B179" s="105" t="s">
        <v>1723</v>
      </c>
      <c r="C179" s="25" t="s">
        <v>701</v>
      </c>
      <c r="D179" s="25" t="s">
        <v>1068</v>
      </c>
      <c r="E179" s="25" t="s">
        <v>876</v>
      </c>
      <c r="F179" s="25" t="s">
        <v>879</v>
      </c>
      <c r="G179" s="106">
        <v>44</v>
      </c>
      <c r="H179" s="107">
        <v>5.8984599865869702</v>
      </c>
      <c r="I179" s="81">
        <v>134055.90878606754</v>
      </c>
      <c r="J179" s="81">
        <v>1606085.5</v>
      </c>
      <c r="K179" s="82">
        <v>8.3467479649164095E-2</v>
      </c>
      <c r="L179" s="110">
        <v>8.3467479649164095E-2</v>
      </c>
      <c r="M179" s="80"/>
    </row>
    <row r="180" spans="1:13" x14ac:dyDescent="0.2">
      <c r="A180" s="109" t="s">
        <v>222</v>
      </c>
      <c r="B180" s="105" t="s">
        <v>1724</v>
      </c>
      <c r="C180" s="25" t="s">
        <v>72</v>
      </c>
      <c r="D180" s="25" t="s">
        <v>1058</v>
      </c>
      <c r="E180" s="25" t="s">
        <v>876</v>
      </c>
      <c r="F180" s="25" t="s">
        <v>881</v>
      </c>
      <c r="G180" s="106">
        <v>42.86</v>
      </c>
      <c r="H180" s="107">
        <v>9.2863570051125208</v>
      </c>
      <c r="I180" s="81">
        <v>216667.21897136071</v>
      </c>
      <c r="J180" s="81">
        <v>2597021.25</v>
      </c>
      <c r="K180" s="82">
        <v>8.3429128264299227E-2</v>
      </c>
      <c r="L180" s="110">
        <v>8.3429128264299227E-2</v>
      </c>
      <c r="M180" s="80"/>
    </row>
    <row r="181" spans="1:13" x14ac:dyDescent="0.2">
      <c r="A181" s="109" t="s">
        <v>1538</v>
      </c>
      <c r="B181" s="105" t="s">
        <v>1725</v>
      </c>
      <c r="C181" s="25" t="s">
        <v>2087</v>
      </c>
      <c r="D181" s="25" t="s">
        <v>1053</v>
      </c>
      <c r="E181" s="25" t="s">
        <v>876</v>
      </c>
      <c r="F181" s="25" t="s">
        <v>879</v>
      </c>
      <c r="G181" s="106">
        <v>67.48</v>
      </c>
      <c r="H181" s="107">
        <v>7.0490052234899636</v>
      </c>
      <c r="I181" s="81">
        <v>104460.65832083527</v>
      </c>
      <c r="J181" s="81">
        <v>1258430.5</v>
      </c>
      <c r="K181" s="82">
        <v>8.3008682895746144E-2</v>
      </c>
      <c r="L181" s="110">
        <v>8.3008682895746144E-2</v>
      </c>
      <c r="M181" s="80"/>
    </row>
    <row r="182" spans="1:13" x14ac:dyDescent="0.2">
      <c r="A182" s="109" t="s">
        <v>1164</v>
      </c>
      <c r="B182" s="105" t="s">
        <v>1726</v>
      </c>
      <c r="C182" s="25" t="s">
        <v>695</v>
      </c>
      <c r="D182" s="25" t="s">
        <v>1060</v>
      </c>
      <c r="E182" s="25" t="s">
        <v>876</v>
      </c>
      <c r="F182" s="25" t="s">
        <v>879</v>
      </c>
      <c r="G182" s="106">
        <v>65.010000000000005</v>
      </c>
      <c r="H182" s="107">
        <v>10.636071342819541</v>
      </c>
      <c r="I182" s="81">
        <v>163606.69655160035</v>
      </c>
      <c r="J182" s="81">
        <v>1980904.375</v>
      </c>
      <c r="K182" s="82">
        <v>8.2591920446235756E-2</v>
      </c>
      <c r="L182" s="110">
        <v>8.2591920446235756E-2</v>
      </c>
      <c r="M182" s="80"/>
    </row>
    <row r="183" spans="1:13" x14ac:dyDescent="0.2">
      <c r="A183" s="109" t="s">
        <v>1149</v>
      </c>
      <c r="B183" s="105" t="s">
        <v>1727</v>
      </c>
      <c r="C183" s="25" t="s">
        <v>682</v>
      </c>
      <c r="D183" s="25" t="s">
        <v>1068</v>
      </c>
      <c r="E183" s="25" t="s">
        <v>876</v>
      </c>
      <c r="F183" s="25" t="s">
        <v>879</v>
      </c>
      <c r="G183" s="106">
        <v>73.69</v>
      </c>
      <c r="H183" s="107">
        <v>5.5000384022934812</v>
      </c>
      <c r="I183" s="81">
        <v>74637.513940744771</v>
      </c>
      <c r="J183" s="81">
        <v>906498.5625</v>
      </c>
      <c r="K183" s="82">
        <v>8.2336053280553073E-2</v>
      </c>
      <c r="L183" s="110">
        <v>8.2336053280553073E-2</v>
      </c>
      <c r="M183" s="80"/>
    </row>
    <row r="184" spans="1:13" x14ac:dyDescent="0.2">
      <c r="A184" s="109" t="s">
        <v>1152</v>
      </c>
      <c r="B184" s="105" t="s">
        <v>1728</v>
      </c>
      <c r="C184" s="25" t="s">
        <v>685</v>
      </c>
      <c r="D184" s="25" t="s">
        <v>1058</v>
      </c>
      <c r="E184" s="25" t="s">
        <v>876</v>
      </c>
      <c r="F184" s="25" t="s">
        <v>881</v>
      </c>
      <c r="G184" s="106">
        <v>93.52</v>
      </c>
      <c r="H184" s="107">
        <v>7.2326073178995571</v>
      </c>
      <c r="I184" s="81">
        <v>77337.546170867805</v>
      </c>
      <c r="J184" s="81">
        <v>944707.5</v>
      </c>
      <c r="K184" s="82">
        <v>8.186401205756047E-2</v>
      </c>
      <c r="L184" s="110">
        <v>8.186401205756047E-2</v>
      </c>
      <c r="M184" s="80"/>
    </row>
    <row r="185" spans="1:13" x14ac:dyDescent="0.2">
      <c r="A185" s="109" t="s">
        <v>743</v>
      </c>
      <c r="B185" s="105" t="s">
        <v>1729</v>
      </c>
      <c r="C185" s="25" t="s">
        <v>613</v>
      </c>
      <c r="D185" s="25" t="s">
        <v>1060</v>
      </c>
      <c r="E185" s="25" t="s">
        <v>876</v>
      </c>
      <c r="F185" s="25" t="s">
        <v>879</v>
      </c>
      <c r="G185" s="106">
        <v>115.56</v>
      </c>
      <c r="H185" s="107">
        <v>6.103621007233075</v>
      </c>
      <c r="I185" s="81">
        <v>52817.765725450627</v>
      </c>
      <c r="J185" s="81">
        <v>645778.5</v>
      </c>
      <c r="K185" s="82">
        <v>8.1789291104381184E-2</v>
      </c>
      <c r="L185" s="110">
        <v>8.1789291104381184E-2</v>
      </c>
      <c r="M185" s="80"/>
    </row>
    <row r="186" spans="1:13" x14ac:dyDescent="0.2">
      <c r="A186" s="109" t="s">
        <v>1193</v>
      </c>
      <c r="B186" s="105" t="s">
        <v>1730</v>
      </c>
      <c r="C186" s="25" t="s">
        <v>4</v>
      </c>
      <c r="D186" s="25" t="s">
        <v>1060</v>
      </c>
      <c r="E186" s="25" t="s">
        <v>876</v>
      </c>
      <c r="F186" s="25" t="s">
        <v>879</v>
      </c>
      <c r="G186" s="106">
        <v>39.130000000000003</v>
      </c>
      <c r="H186" s="107">
        <v>10.123069452338358</v>
      </c>
      <c r="I186" s="81">
        <v>258703.53826573875</v>
      </c>
      <c r="J186" s="81">
        <v>3188863.25</v>
      </c>
      <c r="K186" s="82">
        <v>8.112719736907463E-2</v>
      </c>
      <c r="L186" s="110">
        <v>8.112719736907463E-2</v>
      </c>
      <c r="M186" s="80"/>
    </row>
    <row r="187" spans="1:13" x14ac:dyDescent="0.2">
      <c r="A187" s="109" t="s">
        <v>1162</v>
      </c>
      <c r="B187" s="105" t="s">
        <v>1731</v>
      </c>
      <c r="C187" s="25" t="s">
        <v>693</v>
      </c>
      <c r="D187" s="25" t="s">
        <v>1068</v>
      </c>
      <c r="E187" s="25" t="s">
        <v>876</v>
      </c>
      <c r="F187" s="25" t="s">
        <v>879</v>
      </c>
      <c r="G187" s="106">
        <v>53.73</v>
      </c>
      <c r="H187" s="107">
        <v>16.057277815636279</v>
      </c>
      <c r="I187" s="81">
        <v>298851.25285010762</v>
      </c>
      <c r="J187" s="81">
        <v>3692616.5</v>
      </c>
      <c r="K187" s="82">
        <v>8.0932112189312816E-2</v>
      </c>
      <c r="L187" s="110">
        <v>8.0932112189312816E-2</v>
      </c>
      <c r="M187" s="80"/>
    </row>
    <row r="188" spans="1:13" x14ac:dyDescent="0.2">
      <c r="A188" s="109" t="s">
        <v>714</v>
      </c>
      <c r="B188" s="105" t="s">
        <v>1732</v>
      </c>
      <c r="C188" s="25" t="s">
        <v>587</v>
      </c>
      <c r="D188" s="25" t="s">
        <v>1061</v>
      </c>
      <c r="E188" s="25" t="s">
        <v>876</v>
      </c>
      <c r="F188" s="25" t="s">
        <v>879</v>
      </c>
      <c r="G188" s="106">
        <v>142.37</v>
      </c>
      <c r="H188" s="107">
        <v>4.3251733051212238</v>
      </c>
      <c r="I188" s="81">
        <v>30379.808282090497</v>
      </c>
      <c r="J188" s="81">
        <v>380082.0625</v>
      </c>
      <c r="K188" s="82">
        <v>7.99296027870047E-2</v>
      </c>
      <c r="L188" s="110">
        <v>7.99296027870047E-2</v>
      </c>
      <c r="M188" s="80"/>
    </row>
    <row r="189" spans="1:13" x14ac:dyDescent="0.2">
      <c r="A189" s="109" t="s">
        <v>1539</v>
      </c>
      <c r="B189" s="105" t="s">
        <v>1733</v>
      </c>
      <c r="C189" s="25" t="s">
        <v>2088</v>
      </c>
      <c r="D189" s="25" t="s">
        <v>1058</v>
      </c>
      <c r="E189" s="25" t="s">
        <v>876</v>
      </c>
      <c r="F189" s="25" t="s">
        <v>879</v>
      </c>
      <c r="G189" s="106">
        <v>75.430000000000007</v>
      </c>
      <c r="H189" s="107">
        <v>7.4124632507587567</v>
      </c>
      <c r="I189" s="81">
        <v>98269.431933696891</v>
      </c>
      <c r="J189" s="81">
        <v>1232439.375</v>
      </c>
      <c r="K189" s="82">
        <v>7.9735712706920689E-2</v>
      </c>
      <c r="L189" s="110">
        <v>7.9735712706920689E-2</v>
      </c>
      <c r="M189" s="80"/>
    </row>
    <row r="190" spans="1:13" x14ac:dyDescent="0.2">
      <c r="A190" s="109" t="s">
        <v>297</v>
      </c>
      <c r="B190" s="105" t="s">
        <v>1734</v>
      </c>
      <c r="C190" s="25" t="s">
        <v>139</v>
      </c>
      <c r="D190" s="25" t="s">
        <v>1058</v>
      </c>
      <c r="E190" s="25" t="s">
        <v>876</v>
      </c>
      <c r="F190" s="25" t="s">
        <v>881</v>
      </c>
      <c r="G190" s="106">
        <v>41.7</v>
      </c>
      <c r="H190" s="107">
        <v>9.1294121504077239</v>
      </c>
      <c r="I190" s="81">
        <v>218930.74701217565</v>
      </c>
      <c r="J190" s="81">
        <v>2760181</v>
      </c>
      <c r="K190" s="82">
        <v>7.9317532803890631E-2</v>
      </c>
      <c r="L190" s="110">
        <v>7.9317532803890631E-2</v>
      </c>
      <c r="M190" s="80"/>
    </row>
    <row r="191" spans="1:13" x14ac:dyDescent="0.2">
      <c r="A191" s="109" t="s">
        <v>905</v>
      </c>
      <c r="B191" s="105" t="s">
        <v>1735</v>
      </c>
      <c r="C191" s="25" t="s">
        <v>793</v>
      </c>
      <c r="D191" s="25" t="s">
        <v>1064</v>
      </c>
      <c r="E191" s="25" t="s">
        <v>876</v>
      </c>
      <c r="F191" s="25" t="s">
        <v>879</v>
      </c>
      <c r="G191" s="106">
        <v>42.35</v>
      </c>
      <c r="H191" s="107">
        <v>23.183744330354809</v>
      </c>
      <c r="I191" s="81">
        <v>547431.97946528473</v>
      </c>
      <c r="J191" s="81">
        <v>6982459</v>
      </c>
      <c r="K191" s="82">
        <v>7.8401030276767078E-2</v>
      </c>
      <c r="L191" s="110">
        <v>7.8401030276767078E-2</v>
      </c>
      <c r="M191" s="80"/>
    </row>
    <row r="192" spans="1:13" x14ac:dyDescent="0.2">
      <c r="A192" s="109" t="s">
        <v>1082</v>
      </c>
      <c r="B192" s="105" t="s">
        <v>1736</v>
      </c>
      <c r="C192" s="25" t="s">
        <v>627</v>
      </c>
      <c r="D192" s="25" t="s">
        <v>1058</v>
      </c>
      <c r="E192" s="25" t="s">
        <v>876</v>
      </c>
      <c r="F192" s="25" t="s">
        <v>881</v>
      </c>
      <c r="G192" s="106">
        <v>49.77</v>
      </c>
      <c r="H192" s="107">
        <v>5.2048032590628264</v>
      </c>
      <c r="I192" s="81">
        <v>104577.11993294809</v>
      </c>
      <c r="J192" s="81">
        <v>1334096.25</v>
      </c>
      <c r="K192" s="82">
        <v>7.8387987323214559E-2</v>
      </c>
      <c r="L192" s="110">
        <v>7.8387987323214559E-2</v>
      </c>
      <c r="M192" s="80"/>
    </row>
    <row r="193" spans="1:13" x14ac:dyDescent="0.2">
      <c r="A193" s="109" t="s">
        <v>1229</v>
      </c>
      <c r="B193" s="105" t="s">
        <v>1737</v>
      </c>
      <c r="C193" s="25" t="s">
        <v>37</v>
      </c>
      <c r="D193" s="25" t="s">
        <v>1056</v>
      </c>
      <c r="E193" s="25" t="s">
        <v>876</v>
      </c>
      <c r="F193" s="25" t="s">
        <v>879</v>
      </c>
      <c r="G193" s="106">
        <v>58.44</v>
      </c>
      <c r="H193" s="107">
        <v>10.249126369064355</v>
      </c>
      <c r="I193" s="81">
        <v>175378.61685599512</v>
      </c>
      <c r="J193" s="81">
        <v>2257019.5</v>
      </c>
      <c r="K193" s="82">
        <v>7.7703633865810695E-2</v>
      </c>
      <c r="L193" s="110">
        <v>7.7703633865810695E-2</v>
      </c>
      <c r="M193" s="80"/>
    </row>
    <row r="194" spans="1:13" x14ac:dyDescent="0.2">
      <c r="A194" s="109" t="s">
        <v>1540</v>
      </c>
      <c r="B194" s="105" t="s">
        <v>1738</v>
      </c>
      <c r="C194" s="25" t="s">
        <v>2089</v>
      </c>
      <c r="D194" s="25" t="s">
        <v>1058</v>
      </c>
      <c r="E194" s="25" t="s">
        <v>876</v>
      </c>
      <c r="F194" s="25" t="s">
        <v>879</v>
      </c>
      <c r="G194" s="106">
        <v>38.25</v>
      </c>
      <c r="H194" s="107">
        <v>4.6711587904634051</v>
      </c>
      <c r="I194" s="81">
        <v>122121.79844348771</v>
      </c>
      <c r="J194" s="81">
        <v>1573628.75</v>
      </c>
      <c r="K194" s="82">
        <v>7.7605215616127834E-2</v>
      </c>
      <c r="L194" s="110">
        <v>7.7605215616127834E-2</v>
      </c>
      <c r="M194" s="80"/>
    </row>
    <row r="195" spans="1:13" x14ac:dyDescent="0.2">
      <c r="A195" s="109" t="s">
        <v>1217</v>
      </c>
      <c r="B195" s="105" t="s">
        <v>1739</v>
      </c>
      <c r="C195" s="25" t="s">
        <v>26</v>
      </c>
      <c r="D195" s="25" t="s">
        <v>1057</v>
      </c>
      <c r="E195" s="25" t="s">
        <v>876</v>
      </c>
      <c r="F195" s="25" t="s">
        <v>879</v>
      </c>
      <c r="G195" s="106">
        <v>83.11</v>
      </c>
      <c r="H195" s="107">
        <v>10.48851928426788</v>
      </c>
      <c r="I195" s="81">
        <v>126200.44861349875</v>
      </c>
      <c r="J195" s="81">
        <v>1628114.75</v>
      </c>
      <c r="K195" s="82">
        <v>7.7513239538858525E-2</v>
      </c>
      <c r="L195" s="110">
        <v>7.7513239538858525E-2</v>
      </c>
      <c r="M195" s="80"/>
    </row>
    <row r="196" spans="1:13" x14ac:dyDescent="0.2">
      <c r="A196" s="109" t="s">
        <v>1541</v>
      </c>
      <c r="B196" s="105" t="s">
        <v>1740</v>
      </c>
      <c r="C196" s="25" t="s">
        <v>2090</v>
      </c>
      <c r="D196" s="25" t="s">
        <v>1060</v>
      </c>
      <c r="E196" s="25" t="s">
        <v>876</v>
      </c>
      <c r="F196" s="25" t="s">
        <v>881</v>
      </c>
      <c r="G196" s="106">
        <v>36.17</v>
      </c>
      <c r="H196" s="107">
        <v>3.8261770787362086</v>
      </c>
      <c r="I196" s="81">
        <v>105783.16501897176</v>
      </c>
      <c r="J196" s="81">
        <v>1369647.5</v>
      </c>
      <c r="K196" s="82">
        <v>7.7233861281075428E-2</v>
      </c>
      <c r="L196" s="110">
        <v>7.7233861281075428E-2</v>
      </c>
      <c r="M196" s="80"/>
    </row>
    <row r="197" spans="1:13" x14ac:dyDescent="0.2">
      <c r="A197" s="109" t="s">
        <v>889</v>
      </c>
      <c r="B197" s="105" t="s">
        <v>1741</v>
      </c>
      <c r="C197" s="25" t="s">
        <v>777</v>
      </c>
      <c r="D197" s="25" t="s">
        <v>1053</v>
      </c>
      <c r="E197" s="25" t="s">
        <v>876</v>
      </c>
      <c r="F197" s="25" t="s">
        <v>879</v>
      </c>
      <c r="G197" s="106">
        <v>43.25</v>
      </c>
      <c r="H197" s="107">
        <v>31.605303683691563</v>
      </c>
      <c r="I197" s="81">
        <v>730758.46667494939</v>
      </c>
      <c r="J197" s="81">
        <v>9528858</v>
      </c>
      <c r="K197" s="82">
        <v>7.6688986935784895E-2</v>
      </c>
      <c r="L197" s="110">
        <v>7.6688986935784895E-2</v>
      </c>
      <c r="M197" s="80"/>
    </row>
    <row r="198" spans="1:13" x14ac:dyDescent="0.2">
      <c r="A198" s="109" t="s">
        <v>1249</v>
      </c>
      <c r="B198" s="105" t="s">
        <v>1742</v>
      </c>
      <c r="C198" s="25" t="s">
        <v>55</v>
      </c>
      <c r="D198" s="25" t="s">
        <v>1064</v>
      </c>
      <c r="E198" s="25" t="s">
        <v>876</v>
      </c>
      <c r="F198" s="25" t="s">
        <v>879</v>
      </c>
      <c r="G198" s="106">
        <v>35.99</v>
      </c>
      <c r="H198" s="107">
        <v>11.241716663491033</v>
      </c>
      <c r="I198" s="81">
        <v>312356.67306171253</v>
      </c>
      <c r="J198" s="81">
        <v>4093125.25</v>
      </c>
      <c r="K198" s="82">
        <v>7.6312512807105659E-2</v>
      </c>
      <c r="L198" s="110">
        <v>7.6312512807105659E-2</v>
      </c>
      <c r="M198" s="80"/>
    </row>
    <row r="199" spans="1:13" x14ac:dyDescent="0.2">
      <c r="A199" s="109" t="s">
        <v>144</v>
      </c>
      <c r="B199" s="105" t="s">
        <v>1743</v>
      </c>
      <c r="C199" s="25" t="s">
        <v>619</v>
      </c>
      <c r="D199" s="25" t="s">
        <v>1064</v>
      </c>
      <c r="E199" s="25" t="s">
        <v>876</v>
      </c>
      <c r="F199" s="25" t="s">
        <v>879</v>
      </c>
      <c r="G199" s="106">
        <v>133.5</v>
      </c>
      <c r="H199" s="107">
        <v>8.1202306211897781</v>
      </c>
      <c r="I199" s="81">
        <v>60825.697537002081</v>
      </c>
      <c r="J199" s="81">
        <v>808313</v>
      </c>
      <c r="K199" s="82">
        <v>7.5250178503874221E-2</v>
      </c>
      <c r="L199" s="110">
        <v>7.5250178503874221E-2</v>
      </c>
      <c r="M199" s="80"/>
    </row>
    <row r="200" spans="1:13" x14ac:dyDescent="0.2">
      <c r="A200" s="109" t="s">
        <v>917</v>
      </c>
      <c r="B200" s="105" t="s">
        <v>1744</v>
      </c>
      <c r="C200" s="25" t="s">
        <v>803</v>
      </c>
      <c r="D200" s="25" t="s">
        <v>1058</v>
      </c>
      <c r="E200" s="25" t="s">
        <v>876</v>
      </c>
      <c r="F200" s="25" t="s">
        <v>881</v>
      </c>
      <c r="G200" s="106">
        <v>34.049999999999997</v>
      </c>
      <c r="H200" s="107">
        <v>13.105759734188437</v>
      </c>
      <c r="I200" s="81">
        <v>384897.49586456502</v>
      </c>
      <c r="J200" s="81">
        <v>5115465</v>
      </c>
      <c r="K200" s="82">
        <v>7.5241937119023397E-2</v>
      </c>
      <c r="L200" s="110">
        <v>7.5241937119023397E-2</v>
      </c>
      <c r="M200" s="80"/>
    </row>
    <row r="201" spans="1:13" x14ac:dyDescent="0.2">
      <c r="A201" s="109" t="s">
        <v>763</v>
      </c>
      <c r="B201" s="105" t="s">
        <v>1745</v>
      </c>
      <c r="C201" s="25" t="s">
        <v>962</v>
      </c>
      <c r="D201" s="25" t="s">
        <v>1056</v>
      </c>
      <c r="E201" s="25" t="s">
        <v>876</v>
      </c>
      <c r="F201" s="25" t="s">
        <v>881</v>
      </c>
      <c r="G201" s="106">
        <v>69.98</v>
      </c>
      <c r="H201" s="107">
        <v>21.990194748301025</v>
      </c>
      <c r="I201" s="81">
        <v>314235.42081024614</v>
      </c>
      <c r="J201" s="81">
        <v>4206186.5</v>
      </c>
      <c r="K201" s="82">
        <v>7.4707914356685362E-2</v>
      </c>
      <c r="L201" s="110">
        <v>7.4707914356685362E-2</v>
      </c>
      <c r="M201" s="80"/>
    </row>
    <row r="202" spans="1:13" x14ac:dyDescent="0.2">
      <c r="A202" s="109" t="s">
        <v>1173</v>
      </c>
      <c r="B202" s="105" t="s">
        <v>1747</v>
      </c>
      <c r="C202" s="25" t="s">
        <v>702</v>
      </c>
      <c r="D202" s="25" t="s">
        <v>1058</v>
      </c>
      <c r="E202" s="25" t="s">
        <v>876</v>
      </c>
      <c r="F202" s="25" t="s">
        <v>879</v>
      </c>
      <c r="G202" s="106">
        <v>32.6</v>
      </c>
      <c r="H202" s="107">
        <v>7.8043047948469688</v>
      </c>
      <c r="I202" s="81">
        <v>239395.85260266776</v>
      </c>
      <c r="J202" s="81">
        <v>3229397.75</v>
      </c>
      <c r="K202" s="82">
        <v>7.4130184986556005E-2</v>
      </c>
      <c r="L202" s="110">
        <v>7.4130184986556005E-2</v>
      </c>
      <c r="M202" s="80"/>
    </row>
    <row r="203" spans="1:13" x14ac:dyDescent="0.2">
      <c r="A203" s="109" t="s">
        <v>1302</v>
      </c>
      <c r="B203" s="105" t="s">
        <v>1746</v>
      </c>
      <c r="C203" s="25" t="s">
        <v>1267</v>
      </c>
      <c r="D203" s="25" t="s">
        <v>1072</v>
      </c>
      <c r="E203" s="25" t="s">
        <v>876</v>
      </c>
      <c r="F203" s="25" t="s">
        <v>879</v>
      </c>
      <c r="G203" s="106">
        <v>41.46</v>
      </c>
      <c r="H203" s="107">
        <v>9.1497463905197769</v>
      </c>
      <c r="I203" s="81">
        <v>220688.52847370424</v>
      </c>
      <c r="J203" s="81">
        <v>2977086</v>
      </c>
      <c r="K203" s="82">
        <v>7.4129040435413768E-2</v>
      </c>
      <c r="L203" s="110">
        <v>7.4129040435413768E-2</v>
      </c>
      <c r="M203" s="80"/>
    </row>
    <row r="204" spans="1:13" x14ac:dyDescent="0.2">
      <c r="A204" s="109" t="s">
        <v>943</v>
      </c>
      <c r="B204" s="105" t="s">
        <v>1748</v>
      </c>
      <c r="C204" s="25" t="s">
        <v>826</v>
      </c>
      <c r="D204" s="25" t="s">
        <v>1054</v>
      </c>
      <c r="E204" s="25" t="s">
        <v>876</v>
      </c>
      <c r="F204" s="25" t="s">
        <v>881</v>
      </c>
      <c r="G204" s="106">
        <v>63.01</v>
      </c>
      <c r="H204" s="107">
        <v>54.59548715824134</v>
      </c>
      <c r="I204" s="81">
        <v>866457.50132108154</v>
      </c>
      <c r="J204" s="81">
        <v>11733002</v>
      </c>
      <c r="K204" s="82">
        <v>7.3847895135540034E-2</v>
      </c>
      <c r="L204" s="110">
        <v>7.3847895135540034E-2</v>
      </c>
      <c r="M204" s="80"/>
    </row>
    <row r="205" spans="1:13" x14ac:dyDescent="0.2">
      <c r="A205" s="109" t="s">
        <v>935</v>
      </c>
      <c r="B205" s="105" t="s">
        <v>1749</v>
      </c>
      <c r="C205" s="25" t="s">
        <v>819</v>
      </c>
      <c r="D205" s="25" t="s">
        <v>1063</v>
      </c>
      <c r="E205" s="25" t="s">
        <v>876</v>
      </c>
      <c r="F205" s="25" t="s">
        <v>881</v>
      </c>
      <c r="G205" s="106">
        <v>77.180000000000007</v>
      </c>
      <c r="H205" s="107">
        <v>29.436260236099177</v>
      </c>
      <c r="I205" s="81">
        <v>381397.51536796032</v>
      </c>
      <c r="J205" s="81">
        <v>5186053</v>
      </c>
      <c r="K205" s="82">
        <v>7.3542926647290396E-2</v>
      </c>
      <c r="L205" s="110">
        <v>7.3542926647290396E-2</v>
      </c>
      <c r="M205" s="80"/>
    </row>
    <row r="206" spans="1:13" x14ac:dyDescent="0.2">
      <c r="A206" s="109" t="s">
        <v>213</v>
      </c>
      <c r="B206" s="105" t="s">
        <v>1750</v>
      </c>
      <c r="C206" s="25" t="s">
        <v>63</v>
      </c>
      <c r="D206" s="25" t="s">
        <v>1052</v>
      </c>
      <c r="E206" s="25" t="s">
        <v>876</v>
      </c>
      <c r="F206" s="25" t="s">
        <v>879</v>
      </c>
      <c r="G206" s="106">
        <v>18.11</v>
      </c>
      <c r="H206" s="107">
        <v>1.6060817378875054</v>
      </c>
      <c r="I206" s="81">
        <v>88684.800545969381</v>
      </c>
      <c r="J206" s="81">
        <v>1211230.125</v>
      </c>
      <c r="K206" s="82">
        <v>7.3218787012888559E-2</v>
      </c>
      <c r="L206" s="110">
        <v>7.3218787012888559E-2</v>
      </c>
      <c r="M206" s="80"/>
    </row>
    <row r="207" spans="1:13" x14ac:dyDescent="0.2">
      <c r="A207" s="109" t="s">
        <v>1180</v>
      </c>
      <c r="B207" s="105" t="s">
        <v>1751</v>
      </c>
      <c r="C207" s="25" t="s">
        <v>709</v>
      </c>
      <c r="D207" s="25" t="s">
        <v>1052</v>
      </c>
      <c r="E207" s="25" t="s">
        <v>876</v>
      </c>
      <c r="F207" s="25" t="s">
        <v>879</v>
      </c>
      <c r="G207" s="106">
        <v>47.23</v>
      </c>
      <c r="H207" s="107">
        <v>3.0348094791895268</v>
      </c>
      <c r="I207" s="81">
        <v>64255.970340663283</v>
      </c>
      <c r="J207" s="81">
        <v>885191.125</v>
      </c>
      <c r="K207" s="82">
        <v>7.2589939647963911E-2</v>
      </c>
      <c r="L207" s="110">
        <v>7.2589939647963911E-2</v>
      </c>
      <c r="M207" s="80"/>
    </row>
    <row r="208" spans="1:13" x14ac:dyDescent="0.2">
      <c r="A208" s="109" t="s">
        <v>306</v>
      </c>
      <c r="B208" s="105" t="s">
        <v>1752</v>
      </c>
      <c r="C208" s="25" t="s">
        <v>202</v>
      </c>
      <c r="D208" s="25" t="s">
        <v>1063</v>
      </c>
      <c r="E208" s="25" t="s">
        <v>876</v>
      </c>
      <c r="F208" s="25" t="s">
        <v>879</v>
      </c>
      <c r="G208" s="106">
        <v>85.27</v>
      </c>
      <c r="H208" s="107">
        <v>7.2598980034402247</v>
      </c>
      <c r="I208" s="81">
        <v>85140.119660375582</v>
      </c>
      <c r="J208" s="81">
        <v>1174980.875</v>
      </c>
      <c r="K208" s="82">
        <v>7.2460855722758538E-2</v>
      </c>
      <c r="L208" s="110">
        <v>7.2460855722758538E-2</v>
      </c>
      <c r="M208" s="80"/>
    </row>
    <row r="209" spans="1:13" x14ac:dyDescent="0.2">
      <c r="A209" s="109" t="s">
        <v>1083</v>
      </c>
      <c r="B209" s="105" t="s">
        <v>1753</v>
      </c>
      <c r="C209" s="25" t="s">
        <v>628</v>
      </c>
      <c r="D209" s="25" t="s">
        <v>1058</v>
      </c>
      <c r="E209" s="25" t="s">
        <v>876</v>
      </c>
      <c r="F209" s="25" t="s">
        <v>879</v>
      </c>
      <c r="G209" s="106">
        <v>12.15</v>
      </c>
      <c r="H209" s="107">
        <v>3.5763669321331335</v>
      </c>
      <c r="I209" s="81">
        <v>294351.18782988755</v>
      </c>
      <c r="J209" s="81">
        <v>4120021.25</v>
      </c>
      <c r="K209" s="82">
        <v>7.1444094573514041E-2</v>
      </c>
      <c r="L209" s="110">
        <v>7.1444094573514041E-2</v>
      </c>
      <c r="M209" s="80"/>
    </row>
    <row r="210" spans="1:13" x14ac:dyDescent="0.2">
      <c r="A210" s="109" t="s">
        <v>217</v>
      </c>
      <c r="B210" s="105" t="s">
        <v>1754</v>
      </c>
      <c r="C210" s="25" t="s">
        <v>67</v>
      </c>
      <c r="D210" s="25" t="s">
        <v>1069</v>
      </c>
      <c r="E210" s="25" t="s">
        <v>876</v>
      </c>
      <c r="F210" s="25" t="s">
        <v>879</v>
      </c>
      <c r="G210" s="106">
        <v>15.97</v>
      </c>
      <c r="H210" s="107">
        <v>2.7988122493572876</v>
      </c>
      <c r="I210" s="81">
        <v>175254.36752393784</v>
      </c>
      <c r="J210" s="81">
        <v>2454312</v>
      </c>
      <c r="K210" s="82">
        <v>7.1406719082145159E-2</v>
      </c>
      <c r="L210" s="110">
        <v>7.1406719082145159E-2</v>
      </c>
      <c r="M210" s="80"/>
    </row>
    <row r="211" spans="1:13" x14ac:dyDescent="0.2">
      <c r="A211" s="109" t="s">
        <v>1078</v>
      </c>
      <c r="B211" s="105" t="s">
        <v>1755</v>
      </c>
      <c r="C211" s="25" t="s">
        <v>623</v>
      </c>
      <c r="D211" s="25" t="s">
        <v>1056</v>
      </c>
      <c r="E211" s="25" t="s">
        <v>876</v>
      </c>
      <c r="F211" s="25" t="s">
        <v>879</v>
      </c>
      <c r="G211" s="106">
        <v>62.89</v>
      </c>
      <c r="H211" s="107">
        <v>9.2276628487146208</v>
      </c>
      <c r="I211" s="81">
        <v>146727.02891897949</v>
      </c>
      <c r="J211" s="81">
        <v>2080902.875</v>
      </c>
      <c r="K211" s="82">
        <v>7.0511233696565243E-2</v>
      </c>
      <c r="L211" s="110">
        <v>7.0511233696565243E-2</v>
      </c>
      <c r="M211" s="80"/>
    </row>
    <row r="212" spans="1:13" x14ac:dyDescent="0.2">
      <c r="A212" s="109" t="s">
        <v>1238</v>
      </c>
      <c r="B212" s="105" t="s">
        <v>1756</v>
      </c>
      <c r="C212" s="25" t="s">
        <v>45</v>
      </c>
      <c r="D212" s="25" t="s">
        <v>1070</v>
      </c>
      <c r="E212" s="25" t="s">
        <v>876</v>
      </c>
      <c r="F212" s="25" t="s">
        <v>879</v>
      </c>
      <c r="G212" s="106">
        <v>33.700000000000003</v>
      </c>
      <c r="H212" s="107">
        <v>5.620833224785927</v>
      </c>
      <c r="I212" s="81">
        <v>166790.30340611059</v>
      </c>
      <c r="J212" s="81">
        <v>2380614.5</v>
      </c>
      <c r="K212" s="82">
        <v>7.0061869910525446E-2</v>
      </c>
      <c r="L212" s="110">
        <v>7.0061869910525446E-2</v>
      </c>
      <c r="M212" s="80"/>
    </row>
    <row r="213" spans="1:13" x14ac:dyDescent="0.2">
      <c r="A213" s="109" t="s">
        <v>278</v>
      </c>
      <c r="B213" s="105" t="s">
        <v>1757</v>
      </c>
      <c r="C213" s="25" t="s">
        <v>120</v>
      </c>
      <c r="D213" s="25" t="s">
        <v>1055</v>
      </c>
      <c r="E213" s="25" t="s">
        <v>876</v>
      </c>
      <c r="F213" s="25" t="s">
        <v>879</v>
      </c>
      <c r="G213" s="106">
        <v>48.92</v>
      </c>
      <c r="H213" s="107">
        <v>4.7410971729153415</v>
      </c>
      <c r="I213" s="81">
        <v>96915.314246020891</v>
      </c>
      <c r="J213" s="81">
        <v>1387152</v>
      </c>
      <c r="K213" s="82">
        <v>6.9866398380293501E-2</v>
      </c>
      <c r="L213" s="110">
        <v>6.9866398380293501E-2</v>
      </c>
      <c r="M213" s="80"/>
    </row>
    <row r="214" spans="1:13" x14ac:dyDescent="0.2">
      <c r="A214" s="109" t="s">
        <v>1239</v>
      </c>
      <c r="B214" s="105" t="s">
        <v>1758</v>
      </c>
      <c r="C214" s="25" t="s">
        <v>46</v>
      </c>
      <c r="D214" s="25" t="s">
        <v>1056</v>
      </c>
      <c r="E214" s="25" t="s">
        <v>876</v>
      </c>
      <c r="F214" s="25" t="s">
        <v>879</v>
      </c>
      <c r="G214" s="106">
        <v>61.6</v>
      </c>
      <c r="H214" s="107">
        <v>9.0522622873791008</v>
      </c>
      <c r="I214" s="81">
        <v>146952.30986005036</v>
      </c>
      <c r="J214" s="81">
        <v>2107574</v>
      </c>
      <c r="K214" s="82">
        <v>6.9725812645273832E-2</v>
      </c>
      <c r="L214" s="110">
        <v>6.9725812645273832E-2</v>
      </c>
      <c r="M214" s="80"/>
    </row>
    <row r="215" spans="1:13" x14ac:dyDescent="0.2">
      <c r="A215" s="109" t="s">
        <v>1203</v>
      </c>
      <c r="B215" s="105" t="s">
        <v>1759</v>
      </c>
      <c r="C215" s="25" t="s">
        <v>14</v>
      </c>
      <c r="D215" s="25" t="s">
        <v>1053</v>
      </c>
      <c r="E215" s="25" t="s">
        <v>876</v>
      </c>
      <c r="F215" s="25" t="s">
        <v>879</v>
      </c>
      <c r="G215" s="106">
        <v>176.93</v>
      </c>
      <c r="H215" s="107">
        <v>11.974582499559862</v>
      </c>
      <c r="I215" s="81">
        <v>67679.774484597641</v>
      </c>
      <c r="J215" s="81">
        <v>975328.1875</v>
      </c>
      <c r="K215" s="82">
        <v>6.9391795861121514E-2</v>
      </c>
      <c r="L215" s="110">
        <v>6.9391795861121514E-2</v>
      </c>
      <c r="M215" s="80"/>
    </row>
    <row r="216" spans="1:13" x14ac:dyDescent="0.2">
      <c r="A216" s="109" t="s">
        <v>1086</v>
      </c>
      <c r="B216" s="105" t="s">
        <v>1760</v>
      </c>
      <c r="C216" s="25" t="s">
        <v>1456</v>
      </c>
      <c r="D216" s="25" t="s">
        <v>1054</v>
      </c>
      <c r="E216" s="25" t="s">
        <v>876</v>
      </c>
      <c r="F216" s="25" t="s">
        <v>879</v>
      </c>
      <c r="G216" s="106">
        <v>236.65</v>
      </c>
      <c r="H216" s="107">
        <v>51.174556684414178</v>
      </c>
      <c r="I216" s="81">
        <v>216245.74977567792</v>
      </c>
      <c r="J216" s="81">
        <v>3131944.25</v>
      </c>
      <c r="K216" s="82">
        <v>6.9045210423422418E-2</v>
      </c>
      <c r="L216" s="110">
        <v>6.9045210423422418E-2</v>
      </c>
      <c r="M216" s="80"/>
    </row>
    <row r="217" spans="1:13" x14ac:dyDescent="0.2">
      <c r="A217" s="109" t="s">
        <v>1207</v>
      </c>
      <c r="B217" s="105" t="s">
        <v>1761</v>
      </c>
      <c r="C217" s="25" t="s">
        <v>17</v>
      </c>
      <c r="D217" s="25" t="s">
        <v>1052</v>
      </c>
      <c r="E217" s="25" t="s">
        <v>876</v>
      </c>
      <c r="F217" s="25" t="s">
        <v>879</v>
      </c>
      <c r="G217" s="106">
        <v>48.9</v>
      </c>
      <c r="H217" s="107">
        <v>8.8247137483326448</v>
      </c>
      <c r="I217" s="81">
        <v>180464.49383093344</v>
      </c>
      <c r="J217" s="81">
        <v>2641223.75</v>
      </c>
      <c r="K217" s="82">
        <v>6.8326090824729804E-2</v>
      </c>
      <c r="L217" s="110">
        <v>6.8326090824729804E-2</v>
      </c>
      <c r="M217" s="80"/>
    </row>
    <row r="218" spans="1:13" x14ac:dyDescent="0.2">
      <c r="A218" s="109" t="s">
        <v>1542</v>
      </c>
      <c r="B218" s="105" t="s">
        <v>1762</v>
      </c>
      <c r="C218" s="25" t="s">
        <v>2091</v>
      </c>
      <c r="D218" s="25" t="s">
        <v>1061</v>
      </c>
      <c r="E218" s="25" t="s">
        <v>876</v>
      </c>
      <c r="F218" s="25" t="s">
        <v>879</v>
      </c>
      <c r="G218" s="106">
        <v>27.17</v>
      </c>
      <c r="H218" s="107">
        <v>9.7757665669476523</v>
      </c>
      <c r="I218" s="81">
        <v>359800.02086667839</v>
      </c>
      <c r="J218" s="81">
        <v>5271929</v>
      </c>
      <c r="K218" s="82">
        <v>6.8248267544323601E-2</v>
      </c>
      <c r="L218" s="110">
        <v>6.8248267544323601E-2</v>
      </c>
      <c r="M218" s="80"/>
    </row>
    <row r="219" spans="1:13" x14ac:dyDescent="0.2">
      <c r="A219" s="109" t="s">
        <v>771</v>
      </c>
      <c r="B219" s="105" t="s">
        <v>1763</v>
      </c>
      <c r="C219" s="25" t="s">
        <v>969</v>
      </c>
      <c r="D219" s="25" t="s">
        <v>1073</v>
      </c>
      <c r="E219" s="25" t="s">
        <v>876</v>
      </c>
      <c r="F219" s="25" t="s">
        <v>881</v>
      </c>
      <c r="G219" s="106">
        <v>71.400000000000006</v>
      </c>
      <c r="H219" s="107">
        <v>46.996458999026117</v>
      </c>
      <c r="I219" s="81">
        <v>658213.711470954</v>
      </c>
      <c r="J219" s="81">
        <v>9725293</v>
      </c>
      <c r="K219" s="82">
        <v>6.7680604735605804E-2</v>
      </c>
      <c r="L219" s="110">
        <v>6.7680604735605804E-2</v>
      </c>
      <c r="M219" s="80"/>
    </row>
    <row r="220" spans="1:13" x14ac:dyDescent="0.2">
      <c r="A220" s="109" t="s">
        <v>1289</v>
      </c>
      <c r="B220" s="105" t="s">
        <v>1764</v>
      </c>
      <c r="C220" s="25" t="s">
        <v>2092</v>
      </c>
      <c r="D220" s="25" t="s">
        <v>1055</v>
      </c>
      <c r="E220" s="25" t="s">
        <v>876</v>
      </c>
      <c r="F220" s="25" t="s">
        <v>881</v>
      </c>
      <c r="G220" s="106">
        <v>114.85</v>
      </c>
      <c r="H220" s="107">
        <v>14.134666339570519</v>
      </c>
      <c r="I220" s="81">
        <v>123070.66904284302</v>
      </c>
      <c r="J220" s="81">
        <v>1836965.125</v>
      </c>
      <c r="K220" s="82">
        <v>6.6996736828546496E-2</v>
      </c>
      <c r="L220" s="110">
        <v>6.6996736828546496E-2</v>
      </c>
      <c r="M220" s="80"/>
    </row>
    <row r="221" spans="1:13" x14ac:dyDescent="0.2">
      <c r="A221" s="109" t="s">
        <v>947</v>
      </c>
      <c r="B221" s="105" t="s">
        <v>1766</v>
      </c>
      <c r="C221" s="25" t="s">
        <v>830</v>
      </c>
      <c r="D221" s="25" t="s">
        <v>1064</v>
      </c>
      <c r="E221" s="25" t="s">
        <v>876</v>
      </c>
      <c r="F221" s="25" t="s">
        <v>879</v>
      </c>
      <c r="G221" s="106">
        <v>34.450000000000003</v>
      </c>
      <c r="H221" s="107">
        <v>7.8751388934104005</v>
      </c>
      <c r="I221" s="81">
        <v>228596.1942934804</v>
      </c>
      <c r="J221" s="81">
        <v>3444878.25</v>
      </c>
      <c r="K221" s="82">
        <v>6.6358279655741217E-2</v>
      </c>
      <c r="L221" s="110">
        <v>6.6358279655741217E-2</v>
      </c>
      <c r="M221" s="80"/>
    </row>
    <row r="222" spans="1:13" x14ac:dyDescent="0.2">
      <c r="A222" s="109" t="s">
        <v>1337</v>
      </c>
      <c r="B222" s="105" t="s">
        <v>1765</v>
      </c>
      <c r="C222" s="25" t="s">
        <v>1350</v>
      </c>
      <c r="D222" s="25" t="s">
        <v>1051</v>
      </c>
      <c r="E222" s="25" t="s">
        <v>876</v>
      </c>
      <c r="F222" s="25" t="s">
        <v>879</v>
      </c>
      <c r="G222" s="106">
        <v>33.729999999999997</v>
      </c>
      <c r="H222" s="107">
        <v>9.3641128797210236</v>
      </c>
      <c r="I222" s="81">
        <v>277619.71182096127</v>
      </c>
      <c r="J222" s="81">
        <v>4183852</v>
      </c>
      <c r="K222" s="82">
        <v>6.6355050757283304E-2</v>
      </c>
      <c r="L222" s="110">
        <v>6.6355050757283304E-2</v>
      </c>
      <c r="M222" s="80"/>
    </row>
    <row r="223" spans="1:13" x14ac:dyDescent="0.2">
      <c r="A223" s="109" t="s">
        <v>1179</v>
      </c>
      <c r="B223" s="105" t="s">
        <v>1767</v>
      </c>
      <c r="C223" s="25" t="s">
        <v>708</v>
      </c>
      <c r="D223" s="25" t="s">
        <v>1068</v>
      </c>
      <c r="E223" s="25" t="s">
        <v>876</v>
      </c>
      <c r="F223" s="25" t="s">
        <v>879</v>
      </c>
      <c r="G223" s="106">
        <v>49.42</v>
      </c>
      <c r="H223" s="107">
        <v>2.851338843469553</v>
      </c>
      <c r="I223" s="81">
        <v>57696.051061706858</v>
      </c>
      <c r="J223" s="81">
        <v>872215.375</v>
      </c>
      <c r="K223" s="82">
        <v>6.6148858086463855E-2</v>
      </c>
      <c r="L223" s="110">
        <v>6.6148858086463855E-2</v>
      </c>
      <c r="M223" s="80"/>
    </row>
    <row r="224" spans="1:13" x14ac:dyDescent="0.2">
      <c r="A224" s="109" t="s">
        <v>737</v>
      </c>
      <c r="B224" s="105" t="s">
        <v>1768</v>
      </c>
      <c r="C224" s="25" t="s">
        <v>606</v>
      </c>
      <c r="D224" s="25" t="s">
        <v>1064</v>
      </c>
      <c r="E224" s="25" t="s">
        <v>876</v>
      </c>
      <c r="F224" s="25" t="s">
        <v>879</v>
      </c>
      <c r="G224" s="106">
        <v>47.36</v>
      </c>
      <c r="H224" s="107">
        <v>6.056694289766722</v>
      </c>
      <c r="I224" s="81">
        <v>127886.28145622303</v>
      </c>
      <c r="J224" s="81">
        <v>1956734.75</v>
      </c>
      <c r="K224" s="82">
        <v>6.5356983850888853E-2</v>
      </c>
      <c r="L224" s="110">
        <v>6.5356983850888853E-2</v>
      </c>
      <c r="M224" s="80"/>
    </row>
    <row r="225" spans="1:13" x14ac:dyDescent="0.2">
      <c r="A225" s="109" t="s">
        <v>1221</v>
      </c>
      <c r="B225" s="105" t="s">
        <v>1769</v>
      </c>
      <c r="C225" s="25" t="s">
        <v>30</v>
      </c>
      <c r="D225" s="25" t="s">
        <v>1066</v>
      </c>
      <c r="E225" s="25" t="s">
        <v>876</v>
      </c>
      <c r="F225" s="25" t="s">
        <v>881</v>
      </c>
      <c r="G225" s="106">
        <v>128.72</v>
      </c>
      <c r="H225" s="107">
        <v>12.605304277203945</v>
      </c>
      <c r="I225" s="81">
        <v>97928.094136140033</v>
      </c>
      <c r="J225" s="81">
        <v>1546467.25</v>
      </c>
      <c r="K225" s="82">
        <v>6.3323742637382094E-2</v>
      </c>
      <c r="L225" s="110">
        <v>6.3323742637382094E-2</v>
      </c>
      <c r="M225" s="80"/>
    </row>
    <row r="226" spans="1:13" x14ac:dyDescent="0.2">
      <c r="A226" s="109" t="s">
        <v>730</v>
      </c>
      <c r="B226" s="105" t="s">
        <v>1770</v>
      </c>
      <c r="C226" s="25" t="s">
        <v>599</v>
      </c>
      <c r="D226" s="25" t="s">
        <v>1056</v>
      </c>
      <c r="E226" s="25" t="s">
        <v>876</v>
      </c>
      <c r="F226" s="25" t="s">
        <v>879</v>
      </c>
      <c r="G226" s="106">
        <v>94.34</v>
      </c>
      <c r="H226" s="107">
        <v>13.730162996008509</v>
      </c>
      <c r="I226" s="81">
        <v>145539.1456011078</v>
      </c>
      <c r="J226" s="81">
        <v>2306699</v>
      </c>
      <c r="K226" s="82">
        <v>6.3094120906588932E-2</v>
      </c>
      <c r="L226" s="110">
        <v>6.3094120906588932E-2</v>
      </c>
      <c r="M226" s="80"/>
    </row>
    <row r="227" spans="1:13" x14ac:dyDescent="0.2">
      <c r="A227" s="109" t="s">
        <v>920</v>
      </c>
      <c r="B227" s="105" t="s">
        <v>1771</v>
      </c>
      <c r="C227" s="25" t="s">
        <v>806</v>
      </c>
      <c r="D227" s="25" t="s">
        <v>1068</v>
      </c>
      <c r="E227" s="25" t="s">
        <v>876</v>
      </c>
      <c r="F227" s="25" t="s">
        <v>881</v>
      </c>
      <c r="G227" s="106">
        <v>152.82</v>
      </c>
      <c r="H227" s="107">
        <v>12.771963231005964</v>
      </c>
      <c r="I227" s="81">
        <v>83575.207636474064</v>
      </c>
      <c r="J227" s="81">
        <v>1335847.875</v>
      </c>
      <c r="K227" s="82">
        <v>6.2563416988236073E-2</v>
      </c>
      <c r="L227" s="110">
        <v>6.2563416988236073E-2</v>
      </c>
      <c r="M227" s="80"/>
    </row>
    <row r="228" spans="1:13" x14ac:dyDescent="0.2">
      <c r="A228" s="109" t="s">
        <v>939</v>
      </c>
      <c r="B228" s="105" t="s">
        <v>1772</v>
      </c>
      <c r="C228" s="25" t="s">
        <v>822</v>
      </c>
      <c r="D228" s="25" t="s">
        <v>1059</v>
      </c>
      <c r="E228" s="25" t="s">
        <v>876</v>
      </c>
      <c r="F228" s="25" t="s">
        <v>879</v>
      </c>
      <c r="G228" s="106">
        <v>42.41</v>
      </c>
      <c r="H228" s="107">
        <v>21.090400999211909</v>
      </c>
      <c r="I228" s="81">
        <v>497297.83068172389</v>
      </c>
      <c r="J228" s="81">
        <v>8003800.5</v>
      </c>
      <c r="K228" s="82">
        <v>6.2132711913761955E-2</v>
      </c>
      <c r="L228" s="110">
        <v>6.2132711913761955E-2</v>
      </c>
      <c r="M228" s="80"/>
    </row>
    <row r="229" spans="1:13" x14ac:dyDescent="0.2">
      <c r="A229" s="109" t="s">
        <v>303</v>
      </c>
      <c r="B229" s="105" t="s">
        <v>1773</v>
      </c>
      <c r="C229" s="25" t="s">
        <v>143</v>
      </c>
      <c r="D229" s="25" t="s">
        <v>1069</v>
      </c>
      <c r="E229" s="25" t="s">
        <v>876</v>
      </c>
      <c r="F229" s="25" t="s">
        <v>879</v>
      </c>
      <c r="G229" s="106">
        <v>30.01</v>
      </c>
      <c r="H229" s="107">
        <v>4.3410231460689301</v>
      </c>
      <c r="I229" s="81">
        <v>144652.55401762511</v>
      </c>
      <c r="J229" s="81">
        <v>2336846</v>
      </c>
      <c r="K229" s="82">
        <v>6.1900764542304074E-2</v>
      </c>
      <c r="L229" s="110">
        <v>6.1900764542304074E-2</v>
      </c>
      <c r="M229" s="80"/>
    </row>
    <row r="230" spans="1:13" x14ac:dyDescent="0.2">
      <c r="A230" s="109" t="s">
        <v>205</v>
      </c>
      <c r="B230" s="105" t="s">
        <v>1774</v>
      </c>
      <c r="C230" s="25" t="s">
        <v>57</v>
      </c>
      <c r="D230" s="25" t="s">
        <v>1058</v>
      </c>
      <c r="E230" s="25" t="s">
        <v>876</v>
      </c>
      <c r="F230" s="25" t="s">
        <v>879</v>
      </c>
      <c r="G230" s="106">
        <v>24.25</v>
      </c>
      <c r="H230" s="107">
        <v>5.1628041544144532</v>
      </c>
      <c r="I230" s="81">
        <v>212899.14038822489</v>
      </c>
      <c r="J230" s="81">
        <v>3449984.5</v>
      </c>
      <c r="K230" s="82">
        <v>6.1710173013306259E-2</v>
      </c>
      <c r="L230" s="110">
        <v>6.1710173013306259E-2</v>
      </c>
      <c r="M230" s="80"/>
    </row>
    <row r="231" spans="1:13" x14ac:dyDescent="0.2">
      <c r="A231" s="109" t="s">
        <v>1088</v>
      </c>
      <c r="B231" s="105" t="s">
        <v>1775</v>
      </c>
      <c r="C231" s="25" t="s">
        <v>632</v>
      </c>
      <c r="D231" s="25" t="s">
        <v>1060</v>
      </c>
      <c r="E231" s="25" t="s">
        <v>876</v>
      </c>
      <c r="F231" s="25" t="s">
        <v>879</v>
      </c>
      <c r="G231" s="106">
        <v>45.15</v>
      </c>
      <c r="H231" s="107">
        <v>3.0663671153860657</v>
      </c>
      <c r="I231" s="81">
        <v>67915.107760488725</v>
      </c>
      <c r="J231" s="81">
        <v>1108230.625</v>
      </c>
      <c r="K231" s="82">
        <v>6.1282467952452339E-2</v>
      </c>
      <c r="L231" s="110">
        <v>6.1282467952452339E-2</v>
      </c>
      <c r="M231" s="80"/>
    </row>
    <row r="232" spans="1:13" x14ac:dyDescent="0.2">
      <c r="A232" s="109" t="s">
        <v>1135</v>
      </c>
      <c r="B232" s="105" t="s">
        <v>1776</v>
      </c>
      <c r="C232" s="25" t="s">
        <v>672</v>
      </c>
      <c r="D232" s="25" t="s">
        <v>1055</v>
      </c>
      <c r="E232" s="25" t="s">
        <v>876</v>
      </c>
      <c r="F232" s="25" t="s">
        <v>881</v>
      </c>
      <c r="G232" s="106">
        <v>79.92</v>
      </c>
      <c r="H232" s="107">
        <v>21.907120682486187</v>
      </c>
      <c r="I232" s="81">
        <v>274113.12165273004</v>
      </c>
      <c r="J232" s="81">
        <v>4485420</v>
      </c>
      <c r="K232" s="82">
        <v>6.1112030011176217E-2</v>
      </c>
      <c r="L232" s="110">
        <v>6.1112030011176217E-2</v>
      </c>
      <c r="M232" s="80"/>
    </row>
    <row r="233" spans="1:13" x14ac:dyDescent="0.2">
      <c r="A233" s="109" t="s">
        <v>1110</v>
      </c>
      <c r="B233" s="105" t="s">
        <v>1777</v>
      </c>
      <c r="C233" s="25" t="s">
        <v>651</v>
      </c>
      <c r="D233" s="25" t="s">
        <v>1052</v>
      </c>
      <c r="E233" s="25" t="s">
        <v>876</v>
      </c>
      <c r="F233" s="25" t="s">
        <v>879</v>
      </c>
      <c r="G233" s="106">
        <v>78.94</v>
      </c>
      <c r="H233" s="107">
        <v>8.4363943311096143</v>
      </c>
      <c r="I233" s="81">
        <v>106870.96948454034</v>
      </c>
      <c r="J233" s="81">
        <v>1750986</v>
      </c>
      <c r="K233" s="82">
        <v>6.1034736705227993E-2</v>
      </c>
      <c r="L233" s="110">
        <v>6.1034736705227993E-2</v>
      </c>
      <c r="M233" s="80"/>
    </row>
    <row r="234" spans="1:13" x14ac:dyDescent="0.2">
      <c r="A234" s="109" t="s">
        <v>211</v>
      </c>
      <c r="B234" s="105" t="s">
        <v>1778</v>
      </c>
      <c r="C234" s="25" t="s">
        <v>2093</v>
      </c>
      <c r="D234" s="25" t="s">
        <v>1070</v>
      </c>
      <c r="E234" s="25" t="s">
        <v>876</v>
      </c>
      <c r="F234" s="25" t="s">
        <v>881</v>
      </c>
      <c r="G234" s="106">
        <v>53.91</v>
      </c>
      <c r="H234" s="107">
        <v>11.188946833379376</v>
      </c>
      <c r="I234" s="81">
        <v>207548.63352586489</v>
      </c>
      <c r="J234" s="81">
        <v>3408418.5</v>
      </c>
      <c r="K234" s="82">
        <v>6.0892943025002616E-2</v>
      </c>
      <c r="L234" s="110">
        <v>6.0892943025002616E-2</v>
      </c>
      <c r="M234" s="80"/>
    </row>
    <row r="235" spans="1:13" x14ac:dyDescent="0.2">
      <c r="A235" s="109" t="s">
        <v>727</v>
      </c>
      <c r="B235" s="105" t="s">
        <v>1780</v>
      </c>
      <c r="C235" s="25" t="s">
        <v>1361</v>
      </c>
      <c r="D235" s="25" t="s">
        <v>1071</v>
      </c>
      <c r="E235" s="25" t="s">
        <v>876</v>
      </c>
      <c r="F235" s="25" t="s">
        <v>879</v>
      </c>
      <c r="G235" s="106">
        <v>80.58</v>
      </c>
      <c r="H235" s="107">
        <v>3.2807831598168837</v>
      </c>
      <c r="I235" s="81">
        <v>40714.608585466427</v>
      </c>
      <c r="J235" s="81">
        <v>672089.875</v>
      </c>
      <c r="K235" s="82">
        <v>6.0579113151297548E-2</v>
      </c>
      <c r="L235" s="110">
        <v>6.0579113151297548E-2</v>
      </c>
      <c r="M235" s="80"/>
    </row>
    <row r="236" spans="1:13" x14ac:dyDescent="0.2">
      <c r="A236" s="109" t="s">
        <v>266</v>
      </c>
      <c r="B236" s="105" t="s">
        <v>1779</v>
      </c>
      <c r="C236" s="25" t="s">
        <v>108</v>
      </c>
      <c r="D236" s="25" t="s">
        <v>1055</v>
      </c>
      <c r="E236" s="25" t="s">
        <v>876</v>
      </c>
      <c r="F236" s="25" t="s">
        <v>879</v>
      </c>
      <c r="G236" s="106">
        <v>24.13</v>
      </c>
      <c r="H236" s="107">
        <v>15.591020369547936</v>
      </c>
      <c r="I236" s="81">
        <v>646125.99956684373</v>
      </c>
      <c r="J236" s="81">
        <v>10666670</v>
      </c>
      <c r="K236" s="82">
        <v>6.0574293529924869E-2</v>
      </c>
      <c r="L236" s="110">
        <v>6.0574293529924869E-2</v>
      </c>
      <c r="M236" s="80"/>
    </row>
    <row r="237" spans="1:13" x14ac:dyDescent="0.2">
      <c r="A237" s="109" t="s">
        <v>933</v>
      </c>
      <c r="B237" s="105" t="s">
        <v>1781</v>
      </c>
      <c r="C237" s="25" t="s">
        <v>817</v>
      </c>
      <c r="D237" s="25" t="s">
        <v>1057</v>
      </c>
      <c r="E237" s="25" t="s">
        <v>876</v>
      </c>
      <c r="F237" s="25" t="s">
        <v>881</v>
      </c>
      <c r="G237" s="106">
        <v>43.54</v>
      </c>
      <c r="H237" s="107">
        <v>26.710758611509817</v>
      </c>
      <c r="I237" s="81">
        <v>613476.31170210883</v>
      </c>
      <c r="J237" s="81">
        <v>10141530</v>
      </c>
      <c r="K237" s="82">
        <v>6.049149504089707E-2</v>
      </c>
      <c r="L237" s="110">
        <v>6.049149504089707E-2</v>
      </c>
      <c r="M237" s="80"/>
    </row>
    <row r="238" spans="1:13" x14ac:dyDescent="0.2">
      <c r="A238" s="109" t="s">
        <v>1220</v>
      </c>
      <c r="B238" s="105" t="s">
        <v>1782</v>
      </c>
      <c r="C238" s="25" t="s">
        <v>29</v>
      </c>
      <c r="D238" s="25" t="s">
        <v>1056</v>
      </c>
      <c r="E238" s="25" t="s">
        <v>876</v>
      </c>
      <c r="F238" s="25" t="s">
        <v>879</v>
      </c>
      <c r="G238" s="106">
        <v>68.73</v>
      </c>
      <c r="H238" s="107">
        <v>6.9012052906436345</v>
      </c>
      <c r="I238" s="81">
        <v>100410.37815573454</v>
      </c>
      <c r="J238" s="81">
        <v>1660914</v>
      </c>
      <c r="K238" s="82">
        <v>6.0454893002126864E-2</v>
      </c>
      <c r="L238" s="110">
        <v>6.0454893002126864E-2</v>
      </c>
      <c r="M238" s="80"/>
    </row>
    <row r="239" spans="1:13" x14ac:dyDescent="0.2">
      <c r="A239" s="109" t="s">
        <v>1543</v>
      </c>
      <c r="B239" s="105" t="s">
        <v>1783</v>
      </c>
      <c r="C239" s="25" t="s">
        <v>2094</v>
      </c>
      <c r="D239" s="25" t="s">
        <v>1061</v>
      </c>
      <c r="E239" s="25" t="s">
        <v>876</v>
      </c>
      <c r="F239" s="25" t="s">
        <v>881</v>
      </c>
      <c r="G239" s="106">
        <v>122.6</v>
      </c>
      <c r="H239" s="107">
        <v>5.3981932396336338</v>
      </c>
      <c r="I239" s="81">
        <v>44030.939964385274</v>
      </c>
      <c r="J239" s="81">
        <v>741496.125</v>
      </c>
      <c r="K239" s="82">
        <v>5.9381213845703204E-2</v>
      </c>
      <c r="L239" s="110">
        <v>5.9381213845703204E-2</v>
      </c>
      <c r="M239" s="80"/>
    </row>
    <row r="240" spans="1:13" x14ac:dyDescent="0.2">
      <c r="A240" s="109" t="s">
        <v>1178</v>
      </c>
      <c r="B240" s="105" t="s">
        <v>1784</v>
      </c>
      <c r="C240" s="25" t="s">
        <v>707</v>
      </c>
      <c r="D240" s="25" t="s">
        <v>1068</v>
      </c>
      <c r="E240" s="25" t="s">
        <v>876</v>
      </c>
      <c r="F240" s="25" t="s">
        <v>879</v>
      </c>
      <c r="G240" s="106">
        <v>53.08</v>
      </c>
      <c r="H240" s="107">
        <v>3.2960403667744624</v>
      </c>
      <c r="I240" s="81">
        <v>62095.711506677893</v>
      </c>
      <c r="J240" s="81">
        <v>1053689.125</v>
      </c>
      <c r="K240" s="82">
        <v>5.8931719074805759E-2</v>
      </c>
      <c r="L240" s="110">
        <v>5.8931719074805759E-2</v>
      </c>
      <c r="M240" s="80"/>
    </row>
    <row r="241" spans="1:13" x14ac:dyDescent="0.2">
      <c r="A241" s="109" t="s">
        <v>1411</v>
      </c>
      <c r="B241" s="105" t="s">
        <v>1785</v>
      </c>
      <c r="C241" s="25" t="s">
        <v>1461</v>
      </c>
      <c r="D241" s="25" t="s">
        <v>1072</v>
      </c>
      <c r="E241" s="25" t="s">
        <v>876</v>
      </c>
      <c r="F241" s="25" t="s">
        <v>881</v>
      </c>
      <c r="G241" s="106">
        <v>24.94</v>
      </c>
      <c r="H241" s="107">
        <v>2.4070015467933028</v>
      </c>
      <c r="I241" s="81">
        <v>96511.68992755824</v>
      </c>
      <c r="J241" s="81">
        <v>1664506.375</v>
      </c>
      <c r="K241" s="82">
        <v>5.7982168994431302E-2</v>
      </c>
      <c r="L241" s="110">
        <v>5.7982168994431302E-2</v>
      </c>
      <c r="M241" s="80"/>
    </row>
    <row r="242" spans="1:13" x14ac:dyDescent="0.2">
      <c r="A242" s="109" t="s">
        <v>1096</v>
      </c>
      <c r="B242" s="105" t="s">
        <v>1786</v>
      </c>
      <c r="C242" s="25" t="s">
        <v>640</v>
      </c>
      <c r="D242" s="25" t="s">
        <v>1064</v>
      </c>
      <c r="E242" s="25" t="s">
        <v>876</v>
      </c>
      <c r="F242" s="25" t="s">
        <v>879</v>
      </c>
      <c r="G242" s="106">
        <v>56.22</v>
      </c>
      <c r="H242" s="107">
        <v>12.563269239851046</v>
      </c>
      <c r="I242" s="81">
        <v>223466.19067682402</v>
      </c>
      <c r="J242" s="81">
        <v>3890907</v>
      </c>
      <c r="K242" s="82">
        <v>5.7432930336506122E-2</v>
      </c>
      <c r="L242" s="110">
        <v>5.7432930336506122E-2</v>
      </c>
      <c r="M242" s="80"/>
    </row>
    <row r="243" spans="1:13" x14ac:dyDescent="0.2">
      <c r="A243" s="109" t="s">
        <v>928</v>
      </c>
      <c r="B243" s="105" t="s">
        <v>1787</v>
      </c>
      <c r="C243" s="25" t="s">
        <v>2095</v>
      </c>
      <c r="D243" s="25" t="s">
        <v>1051</v>
      </c>
      <c r="E243" s="25" t="s">
        <v>876</v>
      </c>
      <c r="F243" s="25" t="s">
        <v>881</v>
      </c>
      <c r="G243" s="106">
        <v>14.43</v>
      </c>
      <c r="H243" s="107">
        <v>10.638975413772446</v>
      </c>
      <c r="I243" s="81">
        <v>737281.7334561639</v>
      </c>
      <c r="J243" s="81">
        <v>12880875</v>
      </c>
      <c r="K243" s="82">
        <v>5.7238482126110525E-2</v>
      </c>
      <c r="L243" s="110">
        <v>5.7238482126110525E-2</v>
      </c>
      <c r="M243" s="80"/>
    </row>
    <row r="244" spans="1:13" x14ac:dyDescent="0.2">
      <c r="A244" s="109" t="s">
        <v>1477</v>
      </c>
      <c r="B244" s="105" t="s">
        <v>1788</v>
      </c>
      <c r="C244" s="25" t="s">
        <v>2096</v>
      </c>
      <c r="D244" s="25" t="s">
        <v>1072</v>
      </c>
      <c r="E244" s="25" t="s">
        <v>876</v>
      </c>
      <c r="F244" s="25" t="s">
        <v>881</v>
      </c>
      <c r="G244" s="106">
        <v>14.38</v>
      </c>
      <c r="H244" s="107">
        <v>0.66813109117618175</v>
      </c>
      <c r="I244" s="81">
        <v>46462.523725742816</v>
      </c>
      <c r="J244" s="81">
        <v>819403.0625</v>
      </c>
      <c r="K244" s="82">
        <v>5.670289244951756E-2</v>
      </c>
      <c r="L244" s="110">
        <v>5.670289244951756E-2</v>
      </c>
      <c r="M244" s="80"/>
    </row>
    <row r="245" spans="1:13" x14ac:dyDescent="0.2">
      <c r="A245" s="109" t="s">
        <v>918</v>
      </c>
      <c r="B245" s="105" t="s">
        <v>1789</v>
      </c>
      <c r="C245" s="25" t="s">
        <v>804</v>
      </c>
      <c r="D245" s="25" t="s">
        <v>1074</v>
      </c>
      <c r="E245" s="25" t="s">
        <v>876</v>
      </c>
      <c r="F245" s="25" t="s">
        <v>879</v>
      </c>
      <c r="G245" s="106">
        <v>12.47</v>
      </c>
      <c r="H245" s="107">
        <v>21.558706347380497</v>
      </c>
      <c r="I245" s="81">
        <v>1728845.7375605851</v>
      </c>
      <c r="J245" s="81">
        <v>31142538</v>
      </c>
      <c r="K245" s="82">
        <v>5.5513964133577849E-2</v>
      </c>
      <c r="L245" s="110">
        <v>5.5513964133577849E-2</v>
      </c>
      <c r="M245" s="80"/>
    </row>
    <row r="246" spans="1:13" x14ac:dyDescent="0.2">
      <c r="A246" s="109" t="s">
        <v>301</v>
      </c>
      <c r="B246" s="105" t="s">
        <v>1790</v>
      </c>
      <c r="C246" s="25" t="s">
        <v>141</v>
      </c>
      <c r="D246" s="25" t="s">
        <v>1055</v>
      </c>
      <c r="E246" s="25" t="s">
        <v>876</v>
      </c>
      <c r="F246" s="25" t="s">
        <v>879</v>
      </c>
      <c r="G246" s="106">
        <v>42.26</v>
      </c>
      <c r="H246" s="107">
        <v>24.319565625246291</v>
      </c>
      <c r="I246" s="81">
        <v>575474.81365940114</v>
      </c>
      <c r="J246" s="81">
        <v>10382973</v>
      </c>
      <c r="K246" s="82">
        <v>5.5424858916555131E-2</v>
      </c>
      <c r="L246" s="110">
        <v>5.5424858916555131E-2</v>
      </c>
      <c r="M246" s="80"/>
    </row>
    <row r="247" spans="1:13" x14ac:dyDescent="0.2">
      <c r="A247" s="109" t="s">
        <v>1109</v>
      </c>
      <c r="B247" s="105" t="s">
        <v>1791</v>
      </c>
      <c r="C247" s="25" t="s">
        <v>1458</v>
      </c>
      <c r="D247" s="25" t="s">
        <v>1054</v>
      </c>
      <c r="E247" s="25" t="s">
        <v>876</v>
      </c>
      <c r="F247" s="25" t="s">
        <v>879</v>
      </c>
      <c r="G247" s="106">
        <v>306.13</v>
      </c>
      <c r="H247" s="107">
        <v>31.358154275122594</v>
      </c>
      <c r="I247" s="81">
        <v>102434.11059067257</v>
      </c>
      <c r="J247" s="81">
        <v>1885266.75</v>
      </c>
      <c r="K247" s="82">
        <v>5.4334014319550573E-2</v>
      </c>
      <c r="L247" s="110">
        <v>5.4334014319550573E-2</v>
      </c>
      <c r="M247" s="80"/>
    </row>
    <row r="248" spans="1:13" x14ac:dyDescent="0.2">
      <c r="A248" s="109" t="s">
        <v>1242</v>
      </c>
      <c r="B248" s="105" t="s">
        <v>1792</v>
      </c>
      <c r="C248" s="25" t="s">
        <v>49</v>
      </c>
      <c r="D248" s="25" t="s">
        <v>1057</v>
      </c>
      <c r="E248" s="25" t="s">
        <v>876</v>
      </c>
      <c r="F248" s="25" t="s">
        <v>881</v>
      </c>
      <c r="G248" s="106">
        <v>102.2</v>
      </c>
      <c r="H248" s="107">
        <v>2.3872883827168563</v>
      </c>
      <c r="I248" s="81">
        <v>23358.986132258869</v>
      </c>
      <c r="J248" s="81">
        <v>435728.40625</v>
      </c>
      <c r="K248" s="82">
        <v>5.3609050493845026E-2</v>
      </c>
      <c r="L248" s="110">
        <v>5.3609050493845026E-2</v>
      </c>
      <c r="M248" s="80"/>
    </row>
    <row r="249" spans="1:13" x14ac:dyDescent="0.2">
      <c r="A249" s="109" t="s">
        <v>1138</v>
      </c>
      <c r="B249" s="105" t="s">
        <v>1793</v>
      </c>
      <c r="C249" s="25" t="s">
        <v>1260</v>
      </c>
      <c r="D249" s="25" t="s">
        <v>1062</v>
      </c>
      <c r="E249" s="25" t="s">
        <v>876</v>
      </c>
      <c r="F249" s="25" t="s">
        <v>881</v>
      </c>
      <c r="G249" s="106">
        <v>28.75</v>
      </c>
      <c r="H249" s="107">
        <v>6.4930523417385348</v>
      </c>
      <c r="I249" s="81">
        <v>225845.29884307948</v>
      </c>
      <c r="J249" s="81">
        <v>4230886.5</v>
      </c>
      <c r="K249" s="82">
        <v>5.3380136489853715E-2</v>
      </c>
      <c r="L249" s="110">
        <v>5.3380136489853715E-2</v>
      </c>
      <c r="M249" s="80"/>
    </row>
    <row r="250" spans="1:13" x14ac:dyDescent="0.2">
      <c r="A250" s="109" t="s">
        <v>1122</v>
      </c>
      <c r="B250" s="105" t="s">
        <v>1794</v>
      </c>
      <c r="C250" s="25" t="s">
        <v>661</v>
      </c>
      <c r="D250" s="25" t="s">
        <v>1064</v>
      </c>
      <c r="E250" s="25" t="s">
        <v>876</v>
      </c>
      <c r="F250" s="25" t="s">
        <v>879</v>
      </c>
      <c r="G250" s="106">
        <v>6.44</v>
      </c>
      <c r="H250" s="107">
        <v>17.441550674258227</v>
      </c>
      <c r="I250" s="81">
        <v>2708315.3220897866</v>
      </c>
      <c r="J250" s="81">
        <v>50951216</v>
      </c>
      <c r="K250" s="82">
        <v>5.3155067429397303E-2</v>
      </c>
      <c r="L250" s="110">
        <v>5.3155067429397303E-2</v>
      </c>
      <c r="M250" s="80"/>
    </row>
    <row r="251" spans="1:13" x14ac:dyDescent="0.2">
      <c r="A251" s="109" t="s">
        <v>224</v>
      </c>
      <c r="B251" s="105" t="s">
        <v>1795</v>
      </c>
      <c r="C251" s="25" t="s">
        <v>74</v>
      </c>
      <c r="D251" s="25" t="s">
        <v>1059</v>
      </c>
      <c r="E251" s="25" t="s">
        <v>876</v>
      </c>
      <c r="F251" s="25" t="s">
        <v>881</v>
      </c>
      <c r="G251" s="106">
        <v>32.54</v>
      </c>
      <c r="H251" s="107">
        <v>4.0740450950112947</v>
      </c>
      <c r="I251" s="81">
        <v>125201.13998190826</v>
      </c>
      <c r="J251" s="81">
        <v>2379491</v>
      </c>
      <c r="K251" s="82">
        <v>5.2616773915895566E-2</v>
      </c>
      <c r="L251" s="110">
        <v>5.2616773915895566E-2</v>
      </c>
      <c r="M251" s="80"/>
    </row>
    <row r="252" spans="1:13" x14ac:dyDescent="0.2">
      <c r="A252" s="109" t="s">
        <v>269</v>
      </c>
      <c r="B252" s="105" t="s">
        <v>1797</v>
      </c>
      <c r="C252" s="25" t="s">
        <v>111</v>
      </c>
      <c r="D252" s="25" t="s">
        <v>1055</v>
      </c>
      <c r="E252" s="25" t="s">
        <v>876</v>
      </c>
      <c r="F252" s="25" t="s">
        <v>879</v>
      </c>
      <c r="G252" s="106">
        <v>32.619999999999997</v>
      </c>
      <c r="H252" s="107">
        <v>3.342004521664522</v>
      </c>
      <c r="I252" s="81">
        <v>102452.62175550345</v>
      </c>
      <c r="J252" s="81">
        <v>1963325.25</v>
      </c>
      <c r="K252" s="82">
        <v>5.2183214042351593E-2</v>
      </c>
      <c r="L252" s="110">
        <v>5.2183214042351593E-2</v>
      </c>
      <c r="M252" s="80"/>
    </row>
    <row r="253" spans="1:13" x14ac:dyDescent="0.2">
      <c r="A253" s="109" t="s">
        <v>1205</v>
      </c>
      <c r="B253" s="105" t="s">
        <v>1796</v>
      </c>
      <c r="C253" s="25" t="s">
        <v>15</v>
      </c>
      <c r="D253" s="25" t="s">
        <v>1052</v>
      </c>
      <c r="E253" s="25" t="s">
        <v>876</v>
      </c>
      <c r="F253" s="25" t="s">
        <v>881</v>
      </c>
      <c r="G253" s="106">
        <v>137.44999999999999</v>
      </c>
      <c r="H253" s="107">
        <v>2.7635706234377801</v>
      </c>
      <c r="I253" s="81">
        <v>20106.006718354165</v>
      </c>
      <c r="J253" s="81">
        <v>385322.1875</v>
      </c>
      <c r="K253" s="82">
        <v>5.2179727434860379E-2</v>
      </c>
      <c r="L253" s="110">
        <v>5.2179727434860379E-2</v>
      </c>
      <c r="M253" s="80"/>
    </row>
    <row r="254" spans="1:13" x14ac:dyDescent="0.2">
      <c r="A254" s="109" t="s">
        <v>212</v>
      </c>
      <c r="B254" s="105" t="s">
        <v>1798</v>
      </c>
      <c r="C254" s="25" t="s">
        <v>2097</v>
      </c>
      <c r="D254" s="25" t="s">
        <v>1072</v>
      </c>
      <c r="E254" s="25" t="s">
        <v>876</v>
      </c>
      <c r="F254" s="25" t="s">
        <v>881</v>
      </c>
      <c r="G254" s="106">
        <v>14.04</v>
      </c>
      <c r="H254" s="107">
        <v>2.2460016639344778</v>
      </c>
      <c r="I254" s="81">
        <v>159971.6284853617</v>
      </c>
      <c r="J254" s="81">
        <v>3074051.5</v>
      </c>
      <c r="K254" s="82">
        <v>5.2039345627541277E-2</v>
      </c>
      <c r="L254" s="110">
        <v>5.2039345627541277E-2</v>
      </c>
      <c r="M254" s="80"/>
    </row>
    <row r="255" spans="1:13" x14ac:dyDescent="0.2">
      <c r="A255" s="109" t="s">
        <v>1133</v>
      </c>
      <c r="B255" s="105" t="s">
        <v>1799</v>
      </c>
      <c r="C255" s="25" t="s">
        <v>670</v>
      </c>
      <c r="D255" s="25" t="s">
        <v>1070</v>
      </c>
      <c r="E255" s="25" t="s">
        <v>876</v>
      </c>
      <c r="F255" s="25" t="s">
        <v>879</v>
      </c>
      <c r="G255" s="106">
        <v>38.99</v>
      </c>
      <c r="H255" s="107">
        <v>8.7991689477922375</v>
      </c>
      <c r="I255" s="81">
        <v>225677.58265689248</v>
      </c>
      <c r="J255" s="81">
        <v>4347794</v>
      </c>
      <c r="K255" s="82">
        <v>5.1906227079041113E-2</v>
      </c>
      <c r="L255" s="110">
        <v>5.1906227079041113E-2</v>
      </c>
      <c r="M255" s="80"/>
    </row>
    <row r="256" spans="1:13" x14ac:dyDescent="0.2">
      <c r="A256" s="109" t="s">
        <v>729</v>
      </c>
      <c r="B256" s="105" t="s">
        <v>1800</v>
      </c>
      <c r="C256" s="25" t="s">
        <v>598</v>
      </c>
      <c r="D256" s="25" t="s">
        <v>1071</v>
      </c>
      <c r="E256" s="25" t="s">
        <v>876</v>
      </c>
      <c r="F256" s="25" t="s">
        <v>881</v>
      </c>
      <c r="G256" s="106">
        <v>98.18</v>
      </c>
      <c r="H256" s="107">
        <v>4.5241091297175773</v>
      </c>
      <c r="I256" s="81">
        <v>46079.742612727408</v>
      </c>
      <c r="J256" s="81">
        <v>897512.875</v>
      </c>
      <c r="K256" s="82">
        <v>5.1341595086006324E-2</v>
      </c>
      <c r="L256" s="110">
        <v>5.1341595086006324E-2</v>
      </c>
      <c r="M256" s="80"/>
    </row>
    <row r="257" spans="1:13" x14ac:dyDescent="0.2">
      <c r="A257" s="109" t="s">
        <v>1544</v>
      </c>
      <c r="B257" s="105" t="s">
        <v>1801</v>
      </c>
      <c r="C257" s="25" t="s">
        <v>2098</v>
      </c>
      <c r="D257" s="25" t="s">
        <v>1060</v>
      </c>
      <c r="E257" s="25" t="s">
        <v>876</v>
      </c>
      <c r="F257" s="25" t="s">
        <v>879</v>
      </c>
      <c r="G257" s="106">
        <v>100.68</v>
      </c>
      <c r="H257" s="107">
        <v>6.85702591848188</v>
      </c>
      <c r="I257" s="81">
        <v>68107.130696085413</v>
      </c>
      <c r="J257" s="81">
        <v>1330748</v>
      </c>
      <c r="K257" s="82">
        <v>5.1179585237840233E-2</v>
      </c>
      <c r="L257" s="110">
        <v>5.1179585237840233E-2</v>
      </c>
      <c r="M257" s="80"/>
    </row>
    <row r="258" spans="1:13" x14ac:dyDescent="0.2">
      <c r="A258" s="109" t="s">
        <v>1227</v>
      </c>
      <c r="B258" s="105" t="s">
        <v>1802</v>
      </c>
      <c r="C258" s="25" t="s">
        <v>35</v>
      </c>
      <c r="D258" s="25" t="s">
        <v>1053</v>
      </c>
      <c r="E258" s="25" t="s">
        <v>876</v>
      </c>
      <c r="F258" s="25" t="s">
        <v>881</v>
      </c>
      <c r="G258" s="106">
        <v>137.74</v>
      </c>
      <c r="H258" s="107">
        <v>4.4671821973940498</v>
      </c>
      <c r="I258" s="81">
        <v>32431.989236198999</v>
      </c>
      <c r="J258" s="81">
        <v>635030.0625</v>
      </c>
      <c r="K258" s="82">
        <v>5.1071580939837789E-2</v>
      </c>
      <c r="L258" s="110">
        <v>5.1071580939837789E-2</v>
      </c>
      <c r="M258" s="80"/>
    </row>
    <row r="259" spans="1:13" x14ac:dyDescent="0.2">
      <c r="A259" s="109" t="s">
        <v>199</v>
      </c>
      <c r="B259" s="105" t="s">
        <v>1803</v>
      </c>
      <c r="C259" s="25" t="s">
        <v>788</v>
      </c>
      <c r="D259" s="25" t="s">
        <v>1054</v>
      </c>
      <c r="E259" s="25" t="s">
        <v>876</v>
      </c>
      <c r="F259" s="25" t="s">
        <v>879</v>
      </c>
      <c r="G259" s="106">
        <v>58.76</v>
      </c>
      <c r="H259" s="107">
        <v>52.841960177533018</v>
      </c>
      <c r="I259" s="81">
        <v>899284.55033242039</v>
      </c>
      <c r="J259" s="81">
        <v>17688294</v>
      </c>
      <c r="K259" s="82">
        <v>5.0840660514372971E-2</v>
      </c>
      <c r="L259" s="110">
        <v>5.0840660514372971E-2</v>
      </c>
      <c r="M259" s="80"/>
    </row>
    <row r="260" spans="1:13" x14ac:dyDescent="0.2">
      <c r="A260" s="109" t="s">
        <v>1545</v>
      </c>
      <c r="B260" s="105" t="s">
        <v>1804</v>
      </c>
      <c r="C260" s="25" t="s">
        <v>2099</v>
      </c>
      <c r="D260" s="25" t="s">
        <v>1059</v>
      </c>
      <c r="E260" s="25" t="s">
        <v>876</v>
      </c>
      <c r="F260" s="25" t="s">
        <v>881</v>
      </c>
      <c r="G260" s="106">
        <v>49.57</v>
      </c>
      <c r="H260" s="107">
        <v>3.2171666139473927</v>
      </c>
      <c r="I260" s="81">
        <v>64901.485050381139</v>
      </c>
      <c r="J260" s="81">
        <v>1280515.75</v>
      </c>
      <c r="K260" s="82">
        <v>5.0683863162464919E-2</v>
      </c>
      <c r="L260" s="110">
        <v>5.0683863162464919E-2</v>
      </c>
      <c r="M260" s="80"/>
    </row>
    <row r="261" spans="1:13" x14ac:dyDescent="0.2">
      <c r="A261" s="109" t="s">
        <v>254</v>
      </c>
      <c r="B261" s="105" t="s">
        <v>1805</v>
      </c>
      <c r="C261" s="25" t="s">
        <v>2100</v>
      </c>
      <c r="D261" s="25" t="s">
        <v>1072</v>
      </c>
      <c r="E261" s="25" t="s">
        <v>876</v>
      </c>
      <c r="F261" s="25" t="s">
        <v>879</v>
      </c>
      <c r="G261" s="106">
        <v>63.59</v>
      </c>
      <c r="H261" s="107">
        <v>3.8734258437173592</v>
      </c>
      <c r="I261" s="81">
        <v>60912.499508057219</v>
      </c>
      <c r="J261" s="81">
        <v>1229316.875</v>
      </c>
      <c r="K261" s="82">
        <v>4.954987664027407E-2</v>
      </c>
      <c r="L261" s="110">
        <v>4.954987664027407E-2</v>
      </c>
      <c r="M261" s="80"/>
    </row>
    <row r="262" spans="1:13" x14ac:dyDescent="0.2">
      <c r="A262" s="109" t="s">
        <v>887</v>
      </c>
      <c r="B262" s="105" t="s">
        <v>1806</v>
      </c>
      <c r="C262" s="25" t="s">
        <v>775</v>
      </c>
      <c r="D262" s="25" t="s">
        <v>1052</v>
      </c>
      <c r="E262" s="25" t="s">
        <v>876</v>
      </c>
      <c r="F262" s="25" t="s">
        <v>879</v>
      </c>
      <c r="G262" s="106">
        <v>10.26</v>
      </c>
      <c r="H262" s="107">
        <v>6.140282286373373</v>
      </c>
      <c r="I262" s="81">
        <v>598468.0591007187</v>
      </c>
      <c r="J262" s="81">
        <v>12181531</v>
      </c>
      <c r="K262" s="82">
        <v>4.912913320178873E-2</v>
      </c>
      <c r="L262" s="110">
        <v>4.912913320178873E-2</v>
      </c>
      <c r="M262" s="80"/>
    </row>
    <row r="263" spans="1:13" x14ac:dyDescent="0.2">
      <c r="A263" s="109" t="s">
        <v>1123</v>
      </c>
      <c r="B263" s="105" t="s">
        <v>1807</v>
      </c>
      <c r="C263" s="25" t="s">
        <v>662</v>
      </c>
      <c r="D263" s="25" t="s">
        <v>1071</v>
      </c>
      <c r="E263" s="25" t="s">
        <v>876</v>
      </c>
      <c r="F263" s="25" t="s">
        <v>881</v>
      </c>
      <c r="G263" s="106">
        <v>69.430000000000007</v>
      </c>
      <c r="H263" s="107">
        <v>3.793600524955858</v>
      </c>
      <c r="I263" s="81">
        <v>54639.212515567589</v>
      </c>
      <c r="J263" s="81">
        <v>1121667.75</v>
      </c>
      <c r="K263" s="82">
        <v>4.8712475254430371E-2</v>
      </c>
      <c r="L263" s="110">
        <v>4.8712475254430371E-2</v>
      </c>
      <c r="M263" s="80"/>
    </row>
    <row r="264" spans="1:13" x14ac:dyDescent="0.2">
      <c r="A264" s="109" t="s">
        <v>1154</v>
      </c>
      <c r="B264" s="105" t="s">
        <v>1808</v>
      </c>
      <c r="C264" s="25" t="s">
        <v>1343</v>
      </c>
      <c r="D264" s="25" t="s">
        <v>1053</v>
      </c>
      <c r="E264" s="25" t="s">
        <v>876</v>
      </c>
      <c r="F264" s="25" t="s">
        <v>879</v>
      </c>
      <c r="G264" s="106">
        <v>64.41</v>
      </c>
      <c r="H264" s="107">
        <v>6.8911415548934798</v>
      </c>
      <c r="I264" s="81">
        <v>106988.69049671604</v>
      </c>
      <c r="J264" s="81">
        <v>2209455.5</v>
      </c>
      <c r="K264" s="82">
        <v>4.842310265887502E-2</v>
      </c>
      <c r="L264" s="110">
        <v>4.842310265887502E-2</v>
      </c>
      <c r="M264" s="80"/>
    </row>
    <row r="265" spans="1:13" x14ac:dyDescent="0.2">
      <c r="A265" s="109" t="s">
        <v>1165</v>
      </c>
      <c r="B265" s="105" t="s">
        <v>1809</v>
      </c>
      <c r="C265" s="25" t="s">
        <v>696</v>
      </c>
      <c r="D265" s="25" t="s">
        <v>1064</v>
      </c>
      <c r="E265" s="25" t="s">
        <v>876</v>
      </c>
      <c r="F265" s="25" t="s">
        <v>879</v>
      </c>
      <c r="G265" s="106">
        <v>72.61</v>
      </c>
      <c r="H265" s="107">
        <v>5.4900405474765348</v>
      </c>
      <c r="I265" s="81">
        <v>75609.9786183244</v>
      </c>
      <c r="J265" s="81">
        <v>1586483</v>
      </c>
      <c r="K265" s="82">
        <v>4.7658864682649862E-2</v>
      </c>
      <c r="L265" s="110">
        <v>4.7658864682649862E-2</v>
      </c>
      <c r="M265" s="80"/>
    </row>
    <row r="266" spans="1:13" x14ac:dyDescent="0.2">
      <c r="A266" s="109" t="s">
        <v>724</v>
      </c>
      <c r="B266" s="105" t="s">
        <v>1810</v>
      </c>
      <c r="C266" s="25" t="s">
        <v>595</v>
      </c>
      <c r="D266" s="25" t="s">
        <v>1070</v>
      </c>
      <c r="E266" s="25" t="s">
        <v>876</v>
      </c>
      <c r="F266" s="25" t="s">
        <v>879</v>
      </c>
      <c r="G266" s="106">
        <v>27.19</v>
      </c>
      <c r="H266" s="107">
        <v>5.3077028274346354</v>
      </c>
      <c r="I266" s="81">
        <v>195207.90097221904</v>
      </c>
      <c r="J266" s="81">
        <v>4157555.25</v>
      </c>
      <c r="K266" s="82">
        <v>4.6952569294712088E-2</v>
      </c>
      <c r="L266" s="110">
        <v>4.6952569294712088E-2</v>
      </c>
      <c r="M266" s="80"/>
    </row>
    <row r="267" spans="1:13" x14ac:dyDescent="0.2">
      <c r="A267" s="109" t="s">
        <v>253</v>
      </c>
      <c r="B267" s="105" t="s">
        <v>1811</v>
      </c>
      <c r="C267" s="25" t="s">
        <v>98</v>
      </c>
      <c r="D267" s="25" t="s">
        <v>1068</v>
      </c>
      <c r="E267" s="25" t="s">
        <v>876</v>
      </c>
      <c r="F267" s="25" t="s">
        <v>881</v>
      </c>
      <c r="G267" s="106">
        <v>155.13</v>
      </c>
      <c r="H267" s="107">
        <v>2.8168225752975022</v>
      </c>
      <c r="I267" s="81">
        <v>18157.819733755576</v>
      </c>
      <c r="J267" s="81">
        <v>388185.84375</v>
      </c>
      <c r="K267" s="82">
        <v>4.6776099711275408E-2</v>
      </c>
      <c r="L267" s="110">
        <v>4.6776099711275408E-2</v>
      </c>
      <c r="M267" s="80"/>
    </row>
    <row r="268" spans="1:13" x14ac:dyDescent="0.2">
      <c r="A268" s="109" t="s">
        <v>260</v>
      </c>
      <c r="B268" s="105" t="s">
        <v>1812</v>
      </c>
      <c r="C268" s="25" t="s">
        <v>103</v>
      </c>
      <c r="D268" s="25" t="s">
        <v>1053</v>
      </c>
      <c r="E268" s="25" t="s">
        <v>876</v>
      </c>
      <c r="F268" s="25" t="s">
        <v>879</v>
      </c>
      <c r="G268" s="106">
        <v>78.25</v>
      </c>
      <c r="H268" s="107">
        <v>15.508620692460239</v>
      </c>
      <c r="I268" s="81">
        <v>198193.23568639284</v>
      </c>
      <c r="J268" s="81">
        <v>4277865</v>
      </c>
      <c r="K268" s="82">
        <v>4.6329941614892671E-2</v>
      </c>
      <c r="L268" s="110">
        <v>4.6329941614892671E-2</v>
      </c>
      <c r="M268" s="80"/>
    </row>
    <row r="269" spans="1:13" x14ac:dyDescent="0.2">
      <c r="A269" s="109" t="s">
        <v>1449</v>
      </c>
      <c r="B269" s="105" t="s">
        <v>1813</v>
      </c>
      <c r="C269" s="25" t="s">
        <v>2101</v>
      </c>
      <c r="D269" s="25" t="s">
        <v>1056</v>
      </c>
      <c r="E269" s="25" t="s">
        <v>876</v>
      </c>
      <c r="F269" s="25" t="s">
        <v>879</v>
      </c>
      <c r="G269" s="106">
        <v>57.87</v>
      </c>
      <c r="H269" s="107">
        <v>5.6359028981630042</v>
      </c>
      <c r="I269" s="81">
        <v>97389.025370019081</v>
      </c>
      <c r="J269" s="81">
        <v>2103467</v>
      </c>
      <c r="K269" s="82">
        <v>4.6299288446179129E-2</v>
      </c>
      <c r="L269" s="110">
        <v>4.6299288446179129E-2</v>
      </c>
      <c r="M269" s="80"/>
    </row>
    <row r="270" spans="1:13" x14ac:dyDescent="0.2">
      <c r="A270" s="109" t="s">
        <v>1272</v>
      </c>
      <c r="B270" s="105" t="s">
        <v>1814</v>
      </c>
      <c r="C270" s="25" t="s">
        <v>1263</v>
      </c>
      <c r="D270" s="25" t="s">
        <v>1058</v>
      </c>
      <c r="E270" s="25" t="s">
        <v>876</v>
      </c>
      <c r="F270" s="25" t="s">
        <v>879</v>
      </c>
      <c r="G270" s="106">
        <v>12.52</v>
      </c>
      <c r="H270" s="107">
        <v>2.2363542577953326</v>
      </c>
      <c r="I270" s="81">
        <v>178622.54455234285</v>
      </c>
      <c r="J270" s="81">
        <v>3884887.25</v>
      </c>
      <c r="K270" s="82">
        <v>4.5978823337110453E-2</v>
      </c>
      <c r="L270" s="110">
        <v>4.5978823337110453E-2</v>
      </c>
      <c r="M270" s="80"/>
    </row>
    <row r="271" spans="1:13" x14ac:dyDescent="0.2">
      <c r="A271" s="109" t="s">
        <v>257</v>
      </c>
      <c r="B271" s="105" t="s">
        <v>1815</v>
      </c>
      <c r="C271" s="25" t="s">
        <v>100</v>
      </c>
      <c r="D271" s="25" t="s">
        <v>1067</v>
      </c>
      <c r="E271" s="25" t="s">
        <v>876</v>
      </c>
      <c r="F271" s="25" t="s">
        <v>879</v>
      </c>
      <c r="G271" s="106">
        <v>84.68</v>
      </c>
      <c r="H271" s="107">
        <v>4.3667610462558288</v>
      </c>
      <c r="I271" s="81">
        <v>51567.796956256832</v>
      </c>
      <c r="J271" s="81">
        <v>1125039.625</v>
      </c>
      <c r="K271" s="82">
        <v>4.5836427278067499E-2</v>
      </c>
      <c r="L271" s="110">
        <v>4.5836427278067499E-2</v>
      </c>
      <c r="M271" s="80"/>
    </row>
    <row r="272" spans="1:13" x14ac:dyDescent="0.2">
      <c r="A272" s="109" t="s">
        <v>1132</v>
      </c>
      <c r="B272" s="105" t="s">
        <v>1816</v>
      </c>
      <c r="C272" s="25" t="s">
        <v>669</v>
      </c>
      <c r="D272" s="25" t="s">
        <v>1064</v>
      </c>
      <c r="E272" s="25" t="s">
        <v>876</v>
      </c>
      <c r="F272" s="25" t="s">
        <v>879</v>
      </c>
      <c r="G272" s="106">
        <v>25.16</v>
      </c>
      <c r="H272" s="107">
        <v>5.4721036972314954</v>
      </c>
      <c r="I272" s="81">
        <v>217492.19782319141</v>
      </c>
      <c r="J272" s="81">
        <v>4776439</v>
      </c>
      <c r="K272" s="82">
        <v>4.5534381957603016E-2</v>
      </c>
      <c r="L272" s="110">
        <v>4.5534381957603016E-2</v>
      </c>
      <c r="M272" s="80"/>
    </row>
    <row r="273" spans="1:13" x14ac:dyDescent="0.2">
      <c r="A273" s="109" t="s">
        <v>1199</v>
      </c>
      <c r="B273" s="105" t="s">
        <v>1817</v>
      </c>
      <c r="C273" s="25" t="s">
        <v>10</v>
      </c>
      <c r="D273" s="25" t="s">
        <v>1057</v>
      </c>
      <c r="E273" s="25" t="s">
        <v>876</v>
      </c>
      <c r="F273" s="25" t="s">
        <v>879</v>
      </c>
      <c r="G273" s="106">
        <v>38.4</v>
      </c>
      <c r="H273" s="107">
        <v>4.4686554203691893</v>
      </c>
      <c r="I273" s="81">
        <v>116371.23490544765</v>
      </c>
      <c r="J273" s="81">
        <v>2596469.75</v>
      </c>
      <c r="K273" s="82">
        <v>4.4819022022285319E-2</v>
      </c>
      <c r="L273" s="110">
        <v>4.4819022022285319E-2</v>
      </c>
      <c r="M273" s="80"/>
    </row>
    <row r="274" spans="1:13" x14ac:dyDescent="0.2">
      <c r="A274" s="109" t="s">
        <v>299</v>
      </c>
      <c r="B274" s="105" t="s">
        <v>1818</v>
      </c>
      <c r="C274" s="25" t="s">
        <v>140</v>
      </c>
      <c r="D274" s="25" t="s">
        <v>1056</v>
      </c>
      <c r="E274" s="25" t="s">
        <v>876</v>
      </c>
      <c r="F274" s="25" t="s">
        <v>881</v>
      </c>
      <c r="G274" s="106">
        <v>54.15</v>
      </c>
      <c r="H274" s="107">
        <v>4.3686251345270355</v>
      </c>
      <c r="I274" s="81">
        <v>80676.364441865851</v>
      </c>
      <c r="J274" s="81">
        <v>1844154.75</v>
      </c>
      <c r="K274" s="82">
        <v>4.3747068645874673E-2</v>
      </c>
      <c r="L274" s="110">
        <v>4.3747068645874673E-2</v>
      </c>
      <c r="M274" s="80"/>
    </row>
    <row r="275" spans="1:13" x14ac:dyDescent="0.2">
      <c r="A275" s="109" t="s">
        <v>1226</v>
      </c>
      <c r="B275" s="105" t="s">
        <v>1819</v>
      </c>
      <c r="C275" s="25" t="s">
        <v>2102</v>
      </c>
      <c r="D275" s="25" t="s">
        <v>1070</v>
      </c>
      <c r="E275" s="25" t="s">
        <v>876</v>
      </c>
      <c r="F275" s="25" t="s">
        <v>881</v>
      </c>
      <c r="G275" s="106">
        <v>46.82</v>
      </c>
      <c r="H275" s="107">
        <v>3.6960481549945898</v>
      </c>
      <c r="I275" s="81">
        <v>78941.652178440607</v>
      </c>
      <c r="J275" s="81">
        <v>1809967.375</v>
      </c>
      <c r="K275" s="82">
        <v>4.3614958627881679E-2</v>
      </c>
      <c r="L275" s="110">
        <v>4.3614958627881679E-2</v>
      </c>
      <c r="M275" s="80"/>
    </row>
    <row r="276" spans="1:13" x14ac:dyDescent="0.2">
      <c r="A276" s="109" t="s">
        <v>1546</v>
      </c>
      <c r="B276" s="111" t="s">
        <v>1820</v>
      </c>
      <c r="C276" s="25" t="s">
        <v>2103</v>
      </c>
      <c r="D276" s="25" t="s">
        <v>1052</v>
      </c>
      <c r="E276" s="25" t="s">
        <v>876</v>
      </c>
      <c r="F276" s="25" t="s">
        <v>879</v>
      </c>
      <c r="G276" s="106">
        <v>82.75</v>
      </c>
      <c r="H276" s="107">
        <v>5.0220443535232331</v>
      </c>
      <c r="I276" s="81">
        <v>60689.357746504335</v>
      </c>
      <c r="J276" s="81">
        <v>1408180.375</v>
      </c>
      <c r="K276" s="82">
        <v>4.3097715906248397E-2</v>
      </c>
      <c r="L276" s="110">
        <v>4.3097715906248397E-2</v>
      </c>
      <c r="M276" s="80"/>
    </row>
    <row r="277" spans="1:13" x14ac:dyDescent="0.2">
      <c r="A277" s="109" t="s">
        <v>285</v>
      </c>
      <c r="B277" s="105" t="s">
        <v>1821</v>
      </c>
      <c r="C277" s="25" t="s">
        <v>127</v>
      </c>
      <c r="D277" s="25" t="s">
        <v>1052</v>
      </c>
      <c r="E277" s="25" t="s">
        <v>876</v>
      </c>
      <c r="F277" s="25" t="s">
        <v>881</v>
      </c>
      <c r="G277" s="106">
        <v>116.85</v>
      </c>
      <c r="H277" s="107">
        <v>5.1204698824156889</v>
      </c>
      <c r="I277" s="81">
        <v>43820.880465688388</v>
      </c>
      <c r="J277" s="81">
        <v>1021666.875</v>
      </c>
      <c r="K277" s="82">
        <v>4.2891554515446524E-2</v>
      </c>
      <c r="L277" s="110">
        <v>4.2891554515446524E-2</v>
      </c>
      <c r="M277" s="80"/>
    </row>
    <row r="278" spans="1:13" x14ac:dyDescent="0.2">
      <c r="A278" s="109" t="s">
        <v>244</v>
      </c>
      <c r="B278" s="105" t="s">
        <v>1822</v>
      </c>
      <c r="C278" s="25" t="s">
        <v>91</v>
      </c>
      <c r="D278" s="25" t="s">
        <v>1064</v>
      </c>
      <c r="E278" s="25" t="s">
        <v>876</v>
      </c>
      <c r="F278" s="25" t="s">
        <v>879</v>
      </c>
      <c r="G278" s="106">
        <v>39.78</v>
      </c>
      <c r="H278" s="107">
        <v>4.4968026410984159</v>
      </c>
      <c r="I278" s="81">
        <v>113041.79590493753</v>
      </c>
      <c r="J278" s="81">
        <v>2653171</v>
      </c>
      <c r="K278" s="82">
        <v>4.2606298615859114E-2</v>
      </c>
      <c r="L278" s="110">
        <v>4.2606298615859114E-2</v>
      </c>
      <c r="M278" s="80"/>
    </row>
    <row r="279" spans="1:13" x14ac:dyDescent="0.2">
      <c r="A279" s="109" t="s">
        <v>718</v>
      </c>
      <c r="B279" s="105" t="s">
        <v>1823</v>
      </c>
      <c r="C279" s="25" t="s">
        <v>590</v>
      </c>
      <c r="D279" s="25" t="s">
        <v>1063</v>
      </c>
      <c r="E279" s="25" t="s">
        <v>876</v>
      </c>
      <c r="F279" s="25" t="s">
        <v>879</v>
      </c>
      <c r="G279" s="106">
        <v>85.53</v>
      </c>
      <c r="H279" s="107">
        <v>9.6778403751581283</v>
      </c>
      <c r="I279" s="81">
        <v>113151.41324866276</v>
      </c>
      <c r="J279" s="81">
        <v>2679433.25</v>
      </c>
      <c r="K279" s="82">
        <v>4.2229607044199653E-2</v>
      </c>
      <c r="L279" s="110">
        <v>4.2229607044199653E-2</v>
      </c>
      <c r="M279" s="80"/>
    </row>
    <row r="280" spans="1:13" x14ac:dyDescent="0.2">
      <c r="A280" s="109" t="s">
        <v>1102</v>
      </c>
      <c r="B280" s="105" t="s">
        <v>1824</v>
      </c>
      <c r="C280" s="25" t="s">
        <v>646</v>
      </c>
      <c r="D280" s="25" t="s">
        <v>1063</v>
      </c>
      <c r="E280" s="25" t="s">
        <v>876</v>
      </c>
      <c r="F280" s="25" t="s">
        <v>879</v>
      </c>
      <c r="G280" s="106">
        <v>45.67</v>
      </c>
      <c r="H280" s="107">
        <v>3.541550275445601</v>
      </c>
      <c r="I280" s="81">
        <v>77546.535481620347</v>
      </c>
      <c r="J280" s="81">
        <v>1867494.375</v>
      </c>
      <c r="K280" s="82">
        <v>4.1524374327296353E-2</v>
      </c>
      <c r="L280" s="110">
        <v>4.1524374327296353E-2</v>
      </c>
      <c r="M280" s="80"/>
    </row>
    <row r="281" spans="1:13" x14ac:dyDescent="0.2">
      <c r="A281" s="109" t="s">
        <v>1134</v>
      </c>
      <c r="B281" s="105" t="s">
        <v>1825</v>
      </c>
      <c r="C281" s="25" t="s">
        <v>671</v>
      </c>
      <c r="D281" s="25" t="s">
        <v>1068</v>
      </c>
      <c r="E281" s="25" t="s">
        <v>876</v>
      </c>
      <c r="F281" s="25" t="s">
        <v>881</v>
      </c>
      <c r="G281" s="106">
        <v>84.66</v>
      </c>
      <c r="H281" s="107">
        <v>2.1517973388601033</v>
      </c>
      <c r="I281" s="81">
        <v>25416.930532247854</v>
      </c>
      <c r="J281" s="81">
        <v>628955.5625</v>
      </c>
      <c r="K281" s="82">
        <v>4.0411329587768538E-2</v>
      </c>
      <c r="L281" s="110">
        <v>4.0411329587768538E-2</v>
      </c>
      <c r="M281" s="80"/>
    </row>
    <row r="282" spans="1:13" x14ac:dyDescent="0.2">
      <c r="A282" s="109" t="s">
        <v>1300</v>
      </c>
      <c r="B282" s="105" t="s">
        <v>1826</v>
      </c>
      <c r="C282" s="25" t="s">
        <v>1297</v>
      </c>
      <c r="D282" s="25" t="s">
        <v>1052</v>
      </c>
      <c r="E282" s="25" t="s">
        <v>876</v>
      </c>
      <c r="F282" s="25" t="s">
        <v>879</v>
      </c>
      <c r="G282" s="106">
        <v>27.95</v>
      </c>
      <c r="H282" s="107">
        <v>5.4421617182665596</v>
      </c>
      <c r="I282" s="81">
        <v>194710.61603815953</v>
      </c>
      <c r="J282" s="81">
        <v>4847321</v>
      </c>
      <c r="K282" s="82">
        <v>4.0168706804884498E-2</v>
      </c>
      <c r="L282" s="110">
        <v>4.0168706804884498E-2</v>
      </c>
      <c r="M282" s="80"/>
    </row>
    <row r="283" spans="1:13" x14ac:dyDescent="0.2">
      <c r="A283" s="109" t="s">
        <v>1202</v>
      </c>
      <c r="B283" s="105" t="s">
        <v>1827</v>
      </c>
      <c r="C283" s="25" t="s">
        <v>13</v>
      </c>
      <c r="D283" s="25" t="s">
        <v>1057</v>
      </c>
      <c r="E283" s="25" t="s">
        <v>876</v>
      </c>
      <c r="F283" s="25" t="s">
        <v>881</v>
      </c>
      <c r="G283" s="106">
        <v>111.67</v>
      </c>
      <c r="H283" s="107">
        <v>4.5740916695069371</v>
      </c>
      <c r="I283" s="81">
        <v>40960.792240592251</v>
      </c>
      <c r="J283" s="81">
        <v>1077462.25</v>
      </c>
      <c r="K283" s="82">
        <v>3.8015988254430491E-2</v>
      </c>
      <c r="L283" s="110">
        <v>3.8015988254430491E-2</v>
      </c>
      <c r="M283" s="80"/>
    </row>
    <row r="284" spans="1:13" x14ac:dyDescent="0.2">
      <c r="A284" s="109" t="s">
        <v>1367</v>
      </c>
      <c r="B284" s="105" t="s">
        <v>1828</v>
      </c>
      <c r="C284" s="25" t="s">
        <v>1369</v>
      </c>
      <c r="D284" s="25" t="s">
        <v>1074</v>
      </c>
      <c r="E284" s="25" t="s">
        <v>876</v>
      </c>
      <c r="F284" s="25" t="s">
        <v>881</v>
      </c>
      <c r="G284" s="106">
        <v>70.84</v>
      </c>
      <c r="H284" s="107">
        <v>6.5747718494018823</v>
      </c>
      <c r="I284" s="81">
        <v>92811.573255249605</v>
      </c>
      <c r="J284" s="81">
        <v>2484714.5</v>
      </c>
      <c r="K284" s="82">
        <v>3.7353013094763847E-2</v>
      </c>
      <c r="L284" s="110">
        <v>3.7353013094763847E-2</v>
      </c>
      <c r="M284" s="80"/>
    </row>
    <row r="285" spans="1:13" x14ac:dyDescent="0.2">
      <c r="A285" s="109" t="s">
        <v>204</v>
      </c>
      <c r="B285" s="105" t="s">
        <v>1829</v>
      </c>
      <c r="C285" s="25" t="s">
        <v>56</v>
      </c>
      <c r="D285" s="25" t="s">
        <v>1052</v>
      </c>
      <c r="E285" s="25" t="s">
        <v>876</v>
      </c>
      <c r="F285" s="25" t="s">
        <v>879</v>
      </c>
      <c r="G285" s="106">
        <v>40.909999999999997</v>
      </c>
      <c r="H285" s="107">
        <v>9.6628226620937792</v>
      </c>
      <c r="I285" s="81">
        <v>236197.08291600534</v>
      </c>
      <c r="J285" s="81">
        <v>6324825</v>
      </c>
      <c r="K285" s="82">
        <v>3.7344445564265472E-2</v>
      </c>
      <c r="L285" s="110">
        <v>3.7344445564265472E-2</v>
      </c>
      <c r="M285" s="80"/>
    </row>
    <row r="286" spans="1:13" x14ac:dyDescent="0.2">
      <c r="A286" s="109" t="s">
        <v>1176</v>
      </c>
      <c r="B286" s="105" t="s">
        <v>1830</v>
      </c>
      <c r="C286" s="25" t="s">
        <v>705</v>
      </c>
      <c r="D286" s="25" t="s">
        <v>1069</v>
      </c>
      <c r="E286" s="25" t="s">
        <v>876</v>
      </c>
      <c r="F286" s="25" t="s">
        <v>881</v>
      </c>
      <c r="G286" s="106">
        <v>19.809999999999999</v>
      </c>
      <c r="H286" s="107">
        <v>3.4706259712867369</v>
      </c>
      <c r="I286" s="81">
        <v>175195.65730877017</v>
      </c>
      <c r="J286" s="81">
        <v>4842438.5</v>
      </c>
      <c r="K286" s="82">
        <v>3.6179221957856597E-2</v>
      </c>
      <c r="L286" s="110">
        <v>3.6179221957856597E-2</v>
      </c>
      <c r="M286" s="80"/>
    </row>
    <row r="287" spans="1:13" x14ac:dyDescent="0.2">
      <c r="A287" s="109" t="s">
        <v>221</v>
      </c>
      <c r="B287" s="105" t="s">
        <v>1831</v>
      </c>
      <c r="C287" s="25" t="s">
        <v>71</v>
      </c>
      <c r="D287" s="25" t="s">
        <v>1053</v>
      </c>
      <c r="E287" s="25" t="s">
        <v>876</v>
      </c>
      <c r="F287" s="25" t="s">
        <v>879</v>
      </c>
      <c r="G287" s="106">
        <v>46.35</v>
      </c>
      <c r="H287" s="107">
        <v>2.1411336751685646</v>
      </c>
      <c r="I287" s="81">
        <v>46194.901298135148</v>
      </c>
      <c r="J287" s="81">
        <v>1294437</v>
      </c>
      <c r="K287" s="82">
        <v>3.568725345315002E-2</v>
      </c>
      <c r="L287" s="110">
        <v>3.568725345315002E-2</v>
      </c>
      <c r="M287" s="80"/>
    </row>
    <row r="288" spans="1:13" x14ac:dyDescent="0.2">
      <c r="A288" s="109" t="s">
        <v>1269</v>
      </c>
      <c r="B288" s="105" t="s">
        <v>1832</v>
      </c>
      <c r="C288" s="25" t="s">
        <v>1460</v>
      </c>
      <c r="D288" s="25" t="s">
        <v>1072</v>
      </c>
      <c r="E288" s="25" t="s">
        <v>876</v>
      </c>
      <c r="F288" s="25" t="s">
        <v>879</v>
      </c>
      <c r="G288" s="106">
        <v>25.66</v>
      </c>
      <c r="H288" s="107">
        <v>2.8898943377317639</v>
      </c>
      <c r="I288" s="81">
        <v>112622.53849305394</v>
      </c>
      <c r="J288" s="81">
        <v>3164680</v>
      </c>
      <c r="K288" s="82">
        <v>3.5587338528083073E-2</v>
      </c>
      <c r="L288" s="110">
        <v>3.5587338528083073E-2</v>
      </c>
      <c r="M288" s="80"/>
    </row>
    <row r="289" spans="1:13" x14ac:dyDescent="0.2">
      <c r="A289" s="109" t="s">
        <v>725</v>
      </c>
      <c r="B289" s="105" t="s">
        <v>1833</v>
      </c>
      <c r="C289" s="25" t="s">
        <v>596</v>
      </c>
      <c r="D289" s="25" t="s">
        <v>1064</v>
      </c>
      <c r="E289" s="25" t="s">
        <v>876</v>
      </c>
      <c r="F289" s="25" t="s">
        <v>879</v>
      </c>
      <c r="G289" s="106">
        <v>62.57</v>
      </c>
      <c r="H289" s="107">
        <v>3.109452759561286</v>
      </c>
      <c r="I289" s="81">
        <v>49695.585097671181</v>
      </c>
      <c r="J289" s="81">
        <v>1407153.25</v>
      </c>
      <c r="K289" s="82">
        <v>3.5316398620883108E-2</v>
      </c>
      <c r="L289" s="110">
        <v>3.5316398620883108E-2</v>
      </c>
      <c r="M289" s="80"/>
    </row>
    <row r="290" spans="1:13" x14ac:dyDescent="0.2">
      <c r="A290" s="109" t="s">
        <v>733</v>
      </c>
      <c r="B290" s="105" t="s">
        <v>1834</v>
      </c>
      <c r="C290" s="25" t="s">
        <v>602</v>
      </c>
      <c r="D290" s="25" t="s">
        <v>1052</v>
      </c>
      <c r="E290" s="25" t="s">
        <v>876</v>
      </c>
      <c r="F290" s="25" t="s">
        <v>881</v>
      </c>
      <c r="G290" s="106">
        <v>189.61</v>
      </c>
      <c r="H290" s="107">
        <v>3.2197671007784918</v>
      </c>
      <c r="I290" s="81">
        <v>16980.998369170884</v>
      </c>
      <c r="J290" s="81">
        <v>482993.4375</v>
      </c>
      <c r="K290" s="82">
        <v>3.5157824207851449E-2</v>
      </c>
      <c r="L290" s="110">
        <v>3.5157824207851449E-2</v>
      </c>
      <c r="M290" s="80"/>
    </row>
    <row r="291" spans="1:13" x14ac:dyDescent="0.2">
      <c r="A291" s="109" t="s">
        <v>711</v>
      </c>
      <c r="B291" s="105" t="s">
        <v>1835</v>
      </c>
      <c r="C291" s="25" t="s">
        <v>582</v>
      </c>
      <c r="D291" s="25" t="s">
        <v>1063</v>
      </c>
      <c r="E291" s="25" t="s">
        <v>876</v>
      </c>
      <c r="F291" s="25" t="s">
        <v>879</v>
      </c>
      <c r="G291" s="106">
        <v>157.66999999999999</v>
      </c>
      <c r="H291" s="107">
        <v>6.5338677451522207</v>
      </c>
      <c r="I291" s="81">
        <v>41440.145526430024</v>
      </c>
      <c r="J291" s="81">
        <v>1184971.125</v>
      </c>
      <c r="K291" s="82">
        <v>3.4971439094290187E-2</v>
      </c>
      <c r="L291" s="110">
        <v>3.4971439094290187E-2</v>
      </c>
      <c r="M291" s="80"/>
    </row>
    <row r="292" spans="1:13" x14ac:dyDescent="0.2">
      <c r="A292" s="109" t="s">
        <v>1131</v>
      </c>
      <c r="B292" s="105" t="s">
        <v>1836</v>
      </c>
      <c r="C292" s="25" t="s">
        <v>668</v>
      </c>
      <c r="D292" s="25" t="s">
        <v>1058</v>
      </c>
      <c r="E292" s="25" t="s">
        <v>876</v>
      </c>
      <c r="F292" s="25" t="s">
        <v>879</v>
      </c>
      <c r="G292" s="106">
        <v>22.67</v>
      </c>
      <c r="H292" s="107">
        <v>4.3731107614191727</v>
      </c>
      <c r="I292" s="81">
        <v>192902.98903481133</v>
      </c>
      <c r="J292" s="81">
        <v>5562505.5</v>
      </c>
      <c r="K292" s="82">
        <v>3.4679154750464757E-2</v>
      </c>
      <c r="L292" s="110">
        <v>3.4679154750464757E-2</v>
      </c>
      <c r="M292" s="80"/>
    </row>
    <row r="293" spans="1:13" x14ac:dyDescent="0.2">
      <c r="A293" s="109" t="s">
        <v>241</v>
      </c>
      <c r="B293" s="105" t="s">
        <v>1837</v>
      </c>
      <c r="C293" s="25" t="s">
        <v>89</v>
      </c>
      <c r="D293" s="25" t="s">
        <v>1055</v>
      </c>
      <c r="E293" s="25" t="s">
        <v>876</v>
      </c>
      <c r="F293" s="25" t="s">
        <v>881</v>
      </c>
      <c r="G293" s="106">
        <v>73.67</v>
      </c>
      <c r="H293" s="107">
        <v>2.8368387916978088</v>
      </c>
      <c r="I293" s="81">
        <v>38507.381453750626</v>
      </c>
      <c r="J293" s="81">
        <v>1133682.625</v>
      </c>
      <c r="K293" s="82">
        <v>3.3966632816438046E-2</v>
      </c>
      <c r="L293" s="110">
        <v>3.3966632816438046E-2</v>
      </c>
      <c r="M293" s="80"/>
    </row>
    <row r="294" spans="1:13" x14ac:dyDescent="0.2">
      <c r="A294" s="109" t="s">
        <v>1547</v>
      </c>
      <c r="B294" s="105" t="s">
        <v>1838</v>
      </c>
      <c r="C294" s="25" t="s">
        <v>2104</v>
      </c>
      <c r="D294" s="25" t="s">
        <v>1071</v>
      </c>
      <c r="E294" s="25" t="s">
        <v>876</v>
      </c>
      <c r="F294" s="25" t="s">
        <v>881</v>
      </c>
      <c r="G294" s="106">
        <v>67.040000000000006</v>
      </c>
      <c r="H294" s="107">
        <v>2.2842154228428488</v>
      </c>
      <c r="I294" s="81">
        <v>34072.425758395715</v>
      </c>
      <c r="J294" s="81">
        <v>1080253.125</v>
      </c>
      <c r="K294" s="82">
        <v>3.1541149911874324E-2</v>
      </c>
      <c r="L294" s="110">
        <v>3.1541149911874324E-2</v>
      </c>
      <c r="M294" s="80"/>
    </row>
    <row r="295" spans="1:13" x14ac:dyDescent="0.2">
      <c r="A295" s="109" t="s">
        <v>1442</v>
      </c>
      <c r="B295" s="105" t="s">
        <v>1839</v>
      </c>
      <c r="C295" s="25" t="s">
        <v>1455</v>
      </c>
      <c r="D295" s="25" t="s">
        <v>1071</v>
      </c>
      <c r="E295" s="25" t="s">
        <v>876</v>
      </c>
      <c r="F295" s="25" t="s">
        <v>881</v>
      </c>
      <c r="G295" s="106">
        <v>36.17</v>
      </c>
      <c r="H295" s="107">
        <v>8.2610701860459219</v>
      </c>
      <c r="I295" s="81">
        <v>228395.63688266304</v>
      </c>
      <c r="J295" s="81">
        <v>7336515.5</v>
      </c>
      <c r="K295" s="82">
        <v>3.1131350691300665E-2</v>
      </c>
      <c r="L295" s="110">
        <v>3.1131350691300665E-2</v>
      </c>
      <c r="M295" s="80"/>
    </row>
    <row r="296" spans="1:13" x14ac:dyDescent="0.2">
      <c r="A296" s="109" t="s">
        <v>744</v>
      </c>
      <c r="B296" s="105" t="s">
        <v>1840</v>
      </c>
      <c r="C296" s="25" t="s">
        <v>614</v>
      </c>
      <c r="D296" s="25" t="s">
        <v>1070</v>
      </c>
      <c r="E296" s="25" t="s">
        <v>876</v>
      </c>
      <c r="F296" s="25" t="s">
        <v>879</v>
      </c>
      <c r="G296" s="106">
        <v>42.11</v>
      </c>
      <c r="H296" s="107">
        <v>4.5353453283062271</v>
      </c>
      <c r="I296" s="81">
        <v>107702.33503458151</v>
      </c>
      <c r="J296" s="81">
        <v>3487533</v>
      </c>
      <c r="K296" s="82">
        <v>3.0882097756374353E-2</v>
      </c>
      <c r="L296" s="110">
        <v>3.0882097756374353E-2</v>
      </c>
      <c r="M296" s="80"/>
    </row>
    <row r="297" spans="1:13" x14ac:dyDescent="0.2">
      <c r="A297" s="109" t="s">
        <v>235</v>
      </c>
      <c r="B297" s="105" t="s">
        <v>1842</v>
      </c>
      <c r="C297" s="25" t="s">
        <v>83</v>
      </c>
      <c r="D297" s="25" t="s">
        <v>1068</v>
      </c>
      <c r="E297" s="25" t="s">
        <v>876</v>
      </c>
      <c r="F297" s="25" t="s">
        <v>879</v>
      </c>
      <c r="G297" s="106">
        <v>26.12</v>
      </c>
      <c r="H297" s="107">
        <v>1.8033003365689555</v>
      </c>
      <c r="I297" s="81">
        <v>69039.063421476079</v>
      </c>
      <c r="J297" s="81">
        <v>2306653</v>
      </c>
      <c r="K297" s="82">
        <v>2.9930407140335402E-2</v>
      </c>
      <c r="L297" s="110">
        <v>2.9930407140335402E-2</v>
      </c>
      <c r="M297" s="80"/>
    </row>
    <row r="298" spans="1:13" x14ac:dyDescent="0.2">
      <c r="A298" s="109" t="s">
        <v>1548</v>
      </c>
      <c r="B298" s="105" t="s">
        <v>1841</v>
      </c>
      <c r="C298" s="25" t="s">
        <v>2105</v>
      </c>
      <c r="D298" s="25" t="s">
        <v>1055</v>
      </c>
      <c r="E298" s="25" t="s">
        <v>876</v>
      </c>
      <c r="F298" s="25" t="s">
        <v>881</v>
      </c>
      <c r="G298" s="106">
        <v>75.92</v>
      </c>
      <c r="H298" s="107">
        <v>2.6898625452536717</v>
      </c>
      <c r="I298" s="81">
        <v>35430.223198810214</v>
      </c>
      <c r="J298" s="81">
        <v>1184072</v>
      </c>
      <c r="K298" s="82">
        <v>2.9922355396302096E-2</v>
      </c>
      <c r="L298" s="110">
        <v>2.9922355396302096E-2</v>
      </c>
      <c r="M298" s="80"/>
    </row>
    <row r="299" spans="1:13" x14ac:dyDescent="0.2">
      <c r="A299" s="109" t="s">
        <v>734</v>
      </c>
      <c r="B299" s="105" t="s">
        <v>1843</v>
      </c>
      <c r="C299" s="25" t="s">
        <v>603</v>
      </c>
      <c r="D299" s="25" t="s">
        <v>1063</v>
      </c>
      <c r="E299" s="25" t="s">
        <v>876</v>
      </c>
      <c r="F299" s="25" t="s">
        <v>879</v>
      </c>
      <c r="G299" s="106">
        <v>97.3</v>
      </c>
      <c r="H299" s="107">
        <v>22.751845025891111</v>
      </c>
      <c r="I299" s="81">
        <v>233831.91187966199</v>
      </c>
      <c r="J299" s="81">
        <v>8058011</v>
      </c>
      <c r="K299" s="82">
        <v>2.9018564491865548E-2</v>
      </c>
      <c r="L299" s="110">
        <v>2.9018564491865548E-2</v>
      </c>
      <c r="M299" s="80"/>
    </row>
    <row r="300" spans="1:13" x14ac:dyDescent="0.2">
      <c r="A300" s="109" t="s">
        <v>1150</v>
      </c>
      <c r="B300" s="105" t="s">
        <v>1844</v>
      </c>
      <c r="C300" s="25" t="s">
        <v>683</v>
      </c>
      <c r="D300" s="25" t="s">
        <v>1057</v>
      </c>
      <c r="E300" s="25" t="s">
        <v>876</v>
      </c>
      <c r="F300" s="25" t="s">
        <v>881</v>
      </c>
      <c r="G300" s="106">
        <v>93.39</v>
      </c>
      <c r="H300" s="107">
        <v>3.0435859100240656</v>
      </c>
      <c r="I300" s="81">
        <v>32590.06221248598</v>
      </c>
      <c r="J300" s="81">
        <v>1142910.375</v>
      </c>
      <c r="K300" s="82">
        <v>2.851497626179654E-2</v>
      </c>
      <c r="L300" s="110">
        <v>2.851497626179654E-2</v>
      </c>
      <c r="M300" s="80"/>
    </row>
    <row r="301" spans="1:13" x14ac:dyDescent="0.2">
      <c r="A301" s="109" t="s">
        <v>1191</v>
      </c>
      <c r="B301" s="105" t="s">
        <v>1845</v>
      </c>
      <c r="C301" s="25" t="s">
        <v>3</v>
      </c>
      <c r="D301" s="25" t="s">
        <v>1069</v>
      </c>
      <c r="E301" s="25" t="s">
        <v>876</v>
      </c>
      <c r="F301" s="25" t="s">
        <v>879</v>
      </c>
      <c r="G301" s="106">
        <v>9.76</v>
      </c>
      <c r="H301" s="107">
        <v>4.8880808112197274</v>
      </c>
      <c r="I301" s="81">
        <v>500827.95196923439</v>
      </c>
      <c r="J301" s="81">
        <v>17652358</v>
      </c>
      <c r="K301" s="82">
        <v>2.8371730959072684E-2</v>
      </c>
      <c r="L301" s="110">
        <v>2.8371730959072684E-2</v>
      </c>
      <c r="M301" s="80"/>
    </row>
    <row r="302" spans="1:13" x14ac:dyDescent="0.2">
      <c r="A302" s="109" t="s">
        <v>914</v>
      </c>
      <c r="B302" s="105" t="s">
        <v>1846</v>
      </c>
      <c r="C302" s="25" t="s">
        <v>800</v>
      </c>
      <c r="D302" s="25" t="s">
        <v>1064</v>
      </c>
      <c r="E302" s="25" t="s">
        <v>876</v>
      </c>
      <c r="F302" s="25" t="s">
        <v>881</v>
      </c>
      <c r="G302" s="106">
        <v>45.01</v>
      </c>
      <c r="H302" s="107">
        <v>8.0667535818751563</v>
      </c>
      <c r="I302" s="81">
        <v>179221.3637386171</v>
      </c>
      <c r="J302" s="81">
        <v>6381518</v>
      </c>
      <c r="K302" s="82">
        <v>2.8084440683018852E-2</v>
      </c>
      <c r="L302" s="110">
        <v>2.8084440683018852E-2</v>
      </c>
      <c r="M302" s="80"/>
    </row>
    <row r="303" spans="1:13" x14ac:dyDescent="0.2">
      <c r="A303" s="109" t="s">
        <v>1246</v>
      </c>
      <c r="B303" s="105" t="s">
        <v>1847</v>
      </c>
      <c r="C303" s="25" t="s">
        <v>53</v>
      </c>
      <c r="D303" s="25" t="s">
        <v>1056</v>
      </c>
      <c r="E303" s="25" t="s">
        <v>876</v>
      </c>
      <c r="F303" s="25" t="s">
        <v>879</v>
      </c>
      <c r="G303" s="106">
        <v>16.91</v>
      </c>
      <c r="H303" s="107">
        <v>10.207306857960024</v>
      </c>
      <c r="I303" s="81">
        <v>603625.47947723384</v>
      </c>
      <c r="J303" s="81">
        <v>23396388</v>
      </c>
      <c r="K303" s="82">
        <v>2.5799943114177874E-2</v>
      </c>
      <c r="L303" s="110">
        <v>2.5799943114177874E-2</v>
      </c>
      <c r="M303" s="80"/>
    </row>
    <row r="304" spans="1:13" x14ac:dyDescent="0.2">
      <c r="A304" s="109" t="s">
        <v>1450</v>
      </c>
      <c r="B304" s="105" t="s">
        <v>1848</v>
      </c>
      <c r="C304" s="25" t="s">
        <v>1470</v>
      </c>
      <c r="D304" s="25" t="s">
        <v>1065</v>
      </c>
      <c r="E304" s="25" t="s">
        <v>876</v>
      </c>
      <c r="F304" s="25" t="s">
        <v>879</v>
      </c>
      <c r="G304" s="106">
        <v>69.98</v>
      </c>
      <c r="H304" s="107">
        <v>5.2115032252832014</v>
      </c>
      <c r="I304" s="81">
        <v>74471.323596501868</v>
      </c>
      <c r="J304" s="81">
        <v>2910675</v>
      </c>
      <c r="K304" s="82">
        <v>2.558558533553278E-2</v>
      </c>
      <c r="L304" s="110">
        <v>2.558558533553278E-2</v>
      </c>
      <c r="M304" s="80"/>
    </row>
    <row r="305" spans="1:13" x14ac:dyDescent="0.2">
      <c r="A305" s="109" t="s">
        <v>1182</v>
      </c>
      <c r="B305" s="105" t="s">
        <v>1849</v>
      </c>
      <c r="C305" s="25" t="s">
        <v>607</v>
      </c>
      <c r="D305" s="25" t="s">
        <v>1062</v>
      </c>
      <c r="E305" s="25" t="s">
        <v>876</v>
      </c>
      <c r="F305" s="25" t="s">
        <v>881</v>
      </c>
      <c r="G305" s="106">
        <v>4.66</v>
      </c>
      <c r="H305" s="107">
        <v>2.3512544393698946</v>
      </c>
      <c r="I305" s="81">
        <v>504561.03849139367</v>
      </c>
      <c r="J305" s="81">
        <v>19824360</v>
      </c>
      <c r="K305" s="82">
        <v>2.5451567591155209E-2</v>
      </c>
      <c r="L305" s="110">
        <v>2.5451567591155209E-2</v>
      </c>
      <c r="M305" s="80"/>
    </row>
    <row r="306" spans="1:13" x14ac:dyDescent="0.2">
      <c r="A306" s="109" t="s">
        <v>740</v>
      </c>
      <c r="B306" s="105" t="s">
        <v>1850</v>
      </c>
      <c r="C306" s="25" t="s">
        <v>1427</v>
      </c>
      <c r="D306" s="25" t="s">
        <v>1054</v>
      </c>
      <c r="E306" s="25" t="s">
        <v>876</v>
      </c>
      <c r="F306" s="25" t="s">
        <v>879</v>
      </c>
      <c r="G306" s="106">
        <v>89.04</v>
      </c>
      <c r="H306" s="107">
        <v>6.0930867024401918</v>
      </c>
      <c r="I306" s="81">
        <v>68430.892884548433</v>
      </c>
      <c r="J306" s="81">
        <v>2721464.25</v>
      </c>
      <c r="K306" s="82">
        <v>2.514488032850273E-2</v>
      </c>
      <c r="L306" s="110">
        <v>2.514488032850273E-2</v>
      </c>
      <c r="M306" s="80"/>
    </row>
    <row r="307" spans="1:13" x14ac:dyDescent="0.2">
      <c r="A307" s="109" t="s">
        <v>1218</v>
      </c>
      <c r="B307" s="105" t="s">
        <v>1851</v>
      </c>
      <c r="C307" s="25" t="s">
        <v>27</v>
      </c>
      <c r="D307" s="25" t="s">
        <v>1069</v>
      </c>
      <c r="E307" s="25" t="s">
        <v>876</v>
      </c>
      <c r="F307" s="25" t="s">
        <v>881</v>
      </c>
      <c r="G307" s="106">
        <v>12.32</v>
      </c>
      <c r="H307" s="107">
        <v>4.7331120263731847</v>
      </c>
      <c r="I307" s="81">
        <v>384181.17097184941</v>
      </c>
      <c r="J307" s="81">
        <v>16941806</v>
      </c>
      <c r="K307" s="82">
        <v>2.2676518133417974E-2</v>
      </c>
      <c r="L307" s="110">
        <v>2.2676518133417974E-2</v>
      </c>
      <c r="M307" s="80"/>
    </row>
    <row r="308" spans="1:13" x14ac:dyDescent="0.2">
      <c r="A308" s="109" t="s">
        <v>1549</v>
      </c>
      <c r="B308" s="105" t="s">
        <v>1852</v>
      </c>
      <c r="C308" s="25" t="s">
        <v>2106</v>
      </c>
      <c r="D308" s="25" t="s">
        <v>1059</v>
      </c>
      <c r="E308" s="25" t="s">
        <v>876</v>
      </c>
      <c r="F308" s="25" t="s">
        <v>881</v>
      </c>
      <c r="G308" s="106">
        <v>123.92</v>
      </c>
      <c r="H308" s="107">
        <v>1.7708520722205208</v>
      </c>
      <c r="I308" s="81">
        <v>14290.284637028089</v>
      </c>
      <c r="J308" s="81">
        <v>652945.6875</v>
      </c>
      <c r="K308" s="82">
        <v>2.1885870311423243E-2</v>
      </c>
      <c r="L308" s="110">
        <v>2.1885870311423243E-2</v>
      </c>
      <c r="M308" s="80"/>
    </row>
    <row r="309" spans="1:13" x14ac:dyDescent="0.2">
      <c r="A309" s="109" t="s">
        <v>1288</v>
      </c>
      <c r="B309" s="105" t="s">
        <v>1854</v>
      </c>
      <c r="C309" s="25" t="s">
        <v>1290</v>
      </c>
      <c r="D309" s="25" t="s">
        <v>1064</v>
      </c>
      <c r="E309" s="25" t="s">
        <v>876</v>
      </c>
      <c r="F309" s="25" t="s">
        <v>881</v>
      </c>
      <c r="G309" s="106">
        <v>42.29</v>
      </c>
      <c r="H309" s="107">
        <v>4.3870033509311872</v>
      </c>
      <c r="I309" s="81">
        <v>103736.18706387295</v>
      </c>
      <c r="J309" s="81">
        <v>4915291.5</v>
      </c>
      <c r="K309" s="82">
        <v>2.1104788406521351E-2</v>
      </c>
      <c r="L309" s="110">
        <v>2.1104788406521351E-2</v>
      </c>
      <c r="M309" s="80"/>
    </row>
    <row r="310" spans="1:13" x14ac:dyDescent="0.2">
      <c r="A310" s="109" t="s">
        <v>1177</v>
      </c>
      <c r="B310" s="105" t="s">
        <v>1853</v>
      </c>
      <c r="C310" s="25" t="s">
        <v>706</v>
      </c>
      <c r="D310" s="25" t="s">
        <v>1051</v>
      </c>
      <c r="E310" s="25" t="s">
        <v>876</v>
      </c>
      <c r="F310" s="25" t="s">
        <v>881</v>
      </c>
      <c r="G310" s="106">
        <v>31.23</v>
      </c>
      <c r="H310" s="107">
        <v>0.57784962922783412</v>
      </c>
      <c r="I310" s="81">
        <v>18503.030074538397</v>
      </c>
      <c r="J310" s="81">
        <v>878809.8125</v>
      </c>
      <c r="K310" s="82">
        <v>2.1054646649770307E-2</v>
      </c>
      <c r="L310" s="110">
        <v>2.1054646649770307E-2</v>
      </c>
      <c r="M310" s="80"/>
    </row>
    <row r="311" spans="1:13" x14ac:dyDescent="0.2">
      <c r="A311" s="109" t="s">
        <v>250</v>
      </c>
      <c r="B311" s="105" t="s">
        <v>1855</v>
      </c>
      <c r="C311" s="25" t="s">
        <v>96</v>
      </c>
      <c r="D311" s="25" t="s">
        <v>1052</v>
      </c>
      <c r="E311" s="25" t="s">
        <v>876</v>
      </c>
      <c r="F311" s="25" t="s">
        <v>881</v>
      </c>
      <c r="G311" s="106">
        <v>47.1</v>
      </c>
      <c r="H311" s="107">
        <v>1.6068844969078091</v>
      </c>
      <c r="I311" s="81">
        <v>34116.443671078741</v>
      </c>
      <c r="J311" s="81">
        <v>1645830.625</v>
      </c>
      <c r="K311" s="82">
        <v>2.0729012544093803E-2</v>
      </c>
      <c r="L311" s="110">
        <v>2.0729012544093803E-2</v>
      </c>
      <c r="M311" s="80"/>
    </row>
    <row r="312" spans="1:13" x14ac:dyDescent="0.2">
      <c r="A312" s="109" t="s">
        <v>1312</v>
      </c>
      <c r="B312" s="105" t="s">
        <v>1856</v>
      </c>
      <c r="C312" s="25" t="s">
        <v>2107</v>
      </c>
      <c r="D312" s="25" t="s">
        <v>1063</v>
      </c>
      <c r="E312" s="25" t="s">
        <v>876</v>
      </c>
      <c r="F312" s="25" t="s">
        <v>881</v>
      </c>
      <c r="G312" s="106">
        <v>61.94</v>
      </c>
      <c r="H312" s="107">
        <v>2.7495427796773297</v>
      </c>
      <c r="I312" s="81">
        <v>44390.422661887795</v>
      </c>
      <c r="J312" s="81">
        <v>2409871.5</v>
      </c>
      <c r="K312" s="82">
        <v>1.8420244673580229E-2</v>
      </c>
      <c r="L312" s="110">
        <v>1.8420244673580229E-2</v>
      </c>
      <c r="M312" s="80"/>
    </row>
    <row r="313" spans="1:13" x14ac:dyDescent="0.2">
      <c r="A313" s="109" t="s">
        <v>1306</v>
      </c>
      <c r="B313" s="105" t="s">
        <v>1857</v>
      </c>
      <c r="C313" s="25" t="s">
        <v>1305</v>
      </c>
      <c r="D313" s="25" t="s">
        <v>1063</v>
      </c>
      <c r="E313" s="25" t="s">
        <v>876</v>
      </c>
      <c r="F313" s="25" t="s">
        <v>881</v>
      </c>
      <c r="G313" s="106">
        <v>80.180000000000007</v>
      </c>
      <c r="H313" s="107">
        <v>2.6920723838918801</v>
      </c>
      <c r="I313" s="81">
        <v>33575.360238112742</v>
      </c>
      <c r="J313" s="81">
        <v>1846030.5</v>
      </c>
      <c r="K313" s="82">
        <v>1.8187868639284531E-2</v>
      </c>
      <c r="L313" s="110">
        <v>1.8187868639284531E-2</v>
      </c>
      <c r="M313" s="80"/>
    </row>
    <row r="314" spans="1:13" x14ac:dyDescent="0.2">
      <c r="A314" s="109" t="s">
        <v>1244</v>
      </c>
      <c r="B314" s="105" t="s">
        <v>1858</v>
      </c>
      <c r="C314" s="25" t="s">
        <v>51</v>
      </c>
      <c r="D314" s="25" t="s">
        <v>1064</v>
      </c>
      <c r="E314" s="25" t="s">
        <v>876</v>
      </c>
      <c r="F314" s="25" t="s">
        <v>881</v>
      </c>
      <c r="G314" s="106">
        <v>15.99</v>
      </c>
      <c r="H314" s="107">
        <v>5.1170101030558639</v>
      </c>
      <c r="I314" s="81">
        <v>320013.13965327485</v>
      </c>
      <c r="J314" s="81">
        <v>17741306</v>
      </c>
      <c r="K314" s="82">
        <v>1.8037744214167484E-2</v>
      </c>
      <c r="L314" s="110">
        <v>1.8037744214167484E-2</v>
      </c>
      <c r="M314" s="80"/>
    </row>
    <row r="315" spans="1:13" x14ac:dyDescent="0.2">
      <c r="A315" s="109" t="s">
        <v>1550</v>
      </c>
      <c r="B315" s="105" t="s">
        <v>1859</v>
      </c>
      <c r="C315" s="25" t="s">
        <v>2108</v>
      </c>
      <c r="D315" s="25" t="s">
        <v>1063</v>
      </c>
      <c r="E315" s="25" t="s">
        <v>876</v>
      </c>
      <c r="F315" s="25" t="s">
        <v>881</v>
      </c>
      <c r="G315" s="106">
        <v>254.09</v>
      </c>
      <c r="H315" s="107">
        <v>4.3157973077738934</v>
      </c>
      <c r="I315" s="81">
        <v>16985.309566586224</v>
      </c>
      <c r="J315" s="81">
        <v>976035.3125</v>
      </c>
      <c r="K315" s="82">
        <v>1.7402351481608125E-2</v>
      </c>
      <c r="L315" s="110">
        <v>1.7402351481608125E-2</v>
      </c>
      <c r="M315" s="80"/>
    </row>
    <row r="316" spans="1:13" x14ac:dyDescent="0.2">
      <c r="A316" s="109" t="s">
        <v>1121</v>
      </c>
      <c r="B316" s="105" t="s">
        <v>1860</v>
      </c>
      <c r="C316" s="25" t="s">
        <v>660</v>
      </c>
      <c r="D316" s="25" t="s">
        <v>1052</v>
      </c>
      <c r="E316" s="25" t="s">
        <v>876</v>
      </c>
      <c r="F316" s="25" t="s">
        <v>879</v>
      </c>
      <c r="G316" s="106">
        <v>24.98</v>
      </c>
      <c r="H316" s="107">
        <v>2.6138674498453334</v>
      </c>
      <c r="I316" s="81">
        <v>104638.40872078996</v>
      </c>
      <c r="J316" s="81">
        <v>6984113</v>
      </c>
      <c r="K316" s="82">
        <v>1.4982347611040938E-2</v>
      </c>
      <c r="L316" s="110">
        <v>1.4982347611040938E-2</v>
      </c>
      <c r="M316" s="80"/>
    </row>
    <row r="317" spans="1:13" x14ac:dyDescent="0.2">
      <c r="A317" s="109" t="s">
        <v>1235</v>
      </c>
      <c r="B317" s="105" t="s">
        <v>1861</v>
      </c>
      <c r="C317" s="25" t="s">
        <v>42</v>
      </c>
      <c r="D317" s="25" t="s">
        <v>1063</v>
      </c>
      <c r="E317" s="25" t="s">
        <v>876</v>
      </c>
      <c r="F317" s="25" t="s">
        <v>879</v>
      </c>
      <c r="G317" s="106">
        <v>38.69</v>
      </c>
      <c r="H317" s="107">
        <v>5.470109518390128</v>
      </c>
      <c r="I317" s="81">
        <v>141383.03226648044</v>
      </c>
      <c r="J317" s="81">
        <v>9508824</v>
      </c>
      <c r="K317" s="82">
        <v>1.4868613854508238E-2</v>
      </c>
      <c r="L317" s="110">
        <v>1.4868613854508238E-2</v>
      </c>
      <c r="M317" s="80"/>
    </row>
    <row r="318" spans="1:13" x14ac:dyDescent="0.2">
      <c r="A318" s="109" t="s">
        <v>1223</v>
      </c>
      <c r="B318" s="105" t="s">
        <v>1862</v>
      </c>
      <c r="C318" s="25" t="s">
        <v>32</v>
      </c>
      <c r="D318" s="25" t="s">
        <v>1063</v>
      </c>
      <c r="E318" s="25" t="s">
        <v>876</v>
      </c>
      <c r="F318" s="25" t="s">
        <v>881</v>
      </c>
      <c r="G318" s="106">
        <v>45.26</v>
      </c>
      <c r="H318" s="107">
        <v>3.5836716581366042</v>
      </c>
      <c r="I318" s="81">
        <v>79179.665447118969</v>
      </c>
      <c r="J318" s="81">
        <v>5414334.5</v>
      </c>
      <c r="K318" s="82">
        <v>1.4624080844491408E-2</v>
      </c>
      <c r="L318" s="110">
        <v>1.4624080844491408E-2</v>
      </c>
      <c r="M318" s="80"/>
    </row>
    <row r="319" spans="1:13" x14ac:dyDescent="0.2">
      <c r="A319" s="109" t="s">
        <v>1186</v>
      </c>
      <c r="B319" s="105" t="s">
        <v>1863</v>
      </c>
      <c r="C319" s="25" t="s">
        <v>611</v>
      </c>
      <c r="D319" s="25" t="s">
        <v>1063</v>
      </c>
      <c r="E319" s="25" t="s">
        <v>876</v>
      </c>
      <c r="F319" s="25" t="s">
        <v>881</v>
      </c>
      <c r="G319" s="106">
        <v>26.48</v>
      </c>
      <c r="H319" s="107">
        <v>2.5889272879233607</v>
      </c>
      <c r="I319" s="81">
        <v>97769.157398918454</v>
      </c>
      <c r="J319" s="81">
        <v>6839705.5</v>
      </c>
      <c r="K319" s="82">
        <v>1.4294351913093108E-2</v>
      </c>
      <c r="L319" s="110">
        <v>1.4294351913093108E-2</v>
      </c>
      <c r="M319" s="80"/>
    </row>
    <row r="320" spans="1:13" x14ac:dyDescent="0.2">
      <c r="A320" s="109" t="s">
        <v>741</v>
      </c>
      <c r="B320" s="105" t="s">
        <v>1864</v>
      </c>
      <c r="C320" s="25" t="s">
        <v>1291</v>
      </c>
      <c r="D320" s="25" t="s">
        <v>1070</v>
      </c>
      <c r="E320" s="25" t="s">
        <v>876</v>
      </c>
      <c r="F320" s="25" t="s">
        <v>881</v>
      </c>
      <c r="G320" s="106">
        <v>108.73</v>
      </c>
      <c r="H320" s="107">
        <v>1.4784468436718869</v>
      </c>
      <c r="I320" s="81">
        <v>13597.414178900826</v>
      </c>
      <c r="J320" s="81">
        <v>952811.5</v>
      </c>
      <c r="K320" s="82">
        <v>1.4270833400836184E-2</v>
      </c>
      <c r="L320" s="110">
        <v>1.4270833400836184E-2</v>
      </c>
      <c r="M320" s="80"/>
    </row>
    <row r="321" spans="1:13" x14ac:dyDescent="0.2">
      <c r="A321" s="109" t="s">
        <v>1148</v>
      </c>
      <c r="B321" s="105" t="s">
        <v>1865</v>
      </c>
      <c r="C321" s="25" t="s">
        <v>681</v>
      </c>
      <c r="D321" s="25" t="s">
        <v>1064</v>
      </c>
      <c r="E321" s="25" t="s">
        <v>876</v>
      </c>
      <c r="F321" s="25" t="s">
        <v>881</v>
      </c>
      <c r="G321" s="106">
        <v>18.78</v>
      </c>
      <c r="H321" s="107">
        <v>0.52183813547417846</v>
      </c>
      <c r="I321" s="81">
        <v>27786.908172213974</v>
      </c>
      <c r="J321" s="81">
        <v>2111916.5</v>
      </c>
      <c r="K321" s="82">
        <v>1.3157200188650438E-2</v>
      </c>
      <c r="L321" s="110">
        <v>1.3157200188650438E-2</v>
      </c>
      <c r="M321" s="80"/>
    </row>
    <row r="322" spans="1:13" x14ac:dyDescent="0.2">
      <c r="A322" s="109" t="s">
        <v>1418</v>
      </c>
      <c r="B322" s="105" t="s">
        <v>1866</v>
      </c>
      <c r="C322" s="25" t="s">
        <v>1429</v>
      </c>
      <c r="D322" s="25" t="s">
        <v>1064</v>
      </c>
      <c r="E322" s="25" t="s">
        <v>876</v>
      </c>
      <c r="F322" s="25" t="s">
        <v>879</v>
      </c>
      <c r="G322" s="106">
        <v>10.11</v>
      </c>
      <c r="H322" s="107">
        <v>1.7052056384532626</v>
      </c>
      <c r="I322" s="81">
        <v>168665.24613781032</v>
      </c>
      <c r="J322" s="81">
        <v>14017018</v>
      </c>
      <c r="K322" s="82">
        <v>1.2032890743081753E-2</v>
      </c>
      <c r="L322" s="110">
        <v>1.2032890743081753E-2</v>
      </c>
      <c r="M322" s="80"/>
    </row>
    <row r="323" spans="1:13" x14ac:dyDescent="0.2">
      <c r="A323" s="109" t="s">
        <v>940</v>
      </c>
      <c r="B323" s="105" t="s">
        <v>1867</v>
      </c>
      <c r="C323" s="25" t="s">
        <v>823</v>
      </c>
      <c r="D323" s="25" t="s">
        <v>1068</v>
      </c>
      <c r="E323" s="25" t="s">
        <v>876</v>
      </c>
      <c r="F323" s="25" t="s">
        <v>881</v>
      </c>
      <c r="G323" s="106">
        <v>180.5</v>
      </c>
      <c r="H323" s="107">
        <v>2.7794853331109208</v>
      </c>
      <c r="I323" s="81">
        <v>15398.810709755793</v>
      </c>
      <c r="J323" s="81">
        <v>1330278.75</v>
      </c>
      <c r="K323" s="82">
        <v>1.1575627070458573E-2</v>
      </c>
      <c r="L323" s="110">
        <v>1.1575627070458573E-2</v>
      </c>
      <c r="M323" s="80"/>
    </row>
    <row r="324" spans="1:13" x14ac:dyDescent="0.2">
      <c r="A324" s="109" t="s">
        <v>1311</v>
      </c>
      <c r="B324" s="105" t="s">
        <v>1868</v>
      </c>
      <c r="C324" s="25" t="s">
        <v>697</v>
      </c>
      <c r="D324" s="25" t="s">
        <v>1055</v>
      </c>
      <c r="E324" s="25" t="s">
        <v>876</v>
      </c>
      <c r="F324" s="25" t="s">
        <v>881</v>
      </c>
      <c r="G324" s="106">
        <v>81.510000000000005</v>
      </c>
      <c r="H324" s="107">
        <v>2.5622945320275283</v>
      </c>
      <c r="I324" s="81">
        <v>31435.339615108918</v>
      </c>
      <c r="J324" s="81">
        <v>3698901</v>
      </c>
      <c r="K324" s="82">
        <v>8.4985620364289062E-3</v>
      </c>
      <c r="L324" s="110">
        <v>8.4985620364289062E-3</v>
      </c>
      <c r="M324" s="80"/>
    </row>
    <row r="325" spans="1:13" x14ac:dyDescent="0.2">
      <c r="A325" s="109" t="s">
        <v>726</v>
      </c>
      <c r="B325" s="105" t="s">
        <v>1869</v>
      </c>
      <c r="C325" s="25" t="s">
        <v>1362</v>
      </c>
      <c r="D325" s="25" t="s">
        <v>1053</v>
      </c>
      <c r="E325" s="25" t="s">
        <v>876</v>
      </c>
      <c r="F325" s="25" t="s">
        <v>881</v>
      </c>
      <c r="G325" s="106">
        <v>164.22</v>
      </c>
      <c r="H325" s="107">
        <v>0.64757759701235584</v>
      </c>
      <c r="I325" s="81">
        <v>3943.3540190741442</v>
      </c>
      <c r="J325" s="81">
        <v>711933.3125</v>
      </c>
      <c r="K325" s="82">
        <v>5.5389373552795287E-3</v>
      </c>
      <c r="L325" s="110">
        <v>5.5389373552795287E-3</v>
      </c>
      <c r="M325" s="80"/>
    </row>
    <row r="326" spans="1:13" x14ac:dyDescent="0.2">
      <c r="A326" s="109" t="s">
        <v>752</v>
      </c>
      <c r="B326" s="105" t="s">
        <v>1870</v>
      </c>
      <c r="C326" s="25" t="s">
        <v>951</v>
      </c>
      <c r="D326" s="25" t="s">
        <v>1057</v>
      </c>
      <c r="E326" s="25" t="s">
        <v>876</v>
      </c>
      <c r="F326" s="25" t="s">
        <v>881</v>
      </c>
      <c r="G326" s="106">
        <v>107.99</v>
      </c>
      <c r="H326" s="107">
        <v>1.1837098571266591</v>
      </c>
      <c r="I326" s="81">
        <v>10961.29138926437</v>
      </c>
      <c r="J326" s="81">
        <v>2787792.75</v>
      </c>
      <c r="K326" s="82">
        <v>3.9318889071880865E-3</v>
      </c>
      <c r="L326" s="110">
        <v>3.9318889071880865E-3</v>
      </c>
      <c r="M326" s="80"/>
    </row>
    <row r="327" spans="1:13" x14ac:dyDescent="0.2">
      <c r="A327" s="109" t="s">
        <v>1181</v>
      </c>
      <c r="B327" s="105" t="s">
        <v>1871</v>
      </c>
      <c r="C327" s="25" t="s">
        <v>710</v>
      </c>
      <c r="D327" s="25" t="s">
        <v>1064</v>
      </c>
      <c r="E327" s="25" t="s">
        <v>876</v>
      </c>
      <c r="F327" s="25" t="s">
        <v>881</v>
      </c>
      <c r="G327" s="106">
        <v>28.03</v>
      </c>
      <c r="H327" s="107">
        <v>0.36894687489467848</v>
      </c>
      <c r="I327" s="81">
        <v>13162.571348365265</v>
      </c>
      <c r="J327" s="81">
        <v>3432619.25</v>
      </c>
      <c r="K327" s="82">
        <v>3.8345561769966958E-3</v>
      </c>
      <c r="L327" s="110">
        <v>3.8345561769966958E-3</v>
      </c>
      <c r="M327" s="80"/>
    </row>
    <row r="328" spans="1:13" x14ac:dyDescent="0.2">
      <c r="A328" s="109" t="s">
        <v>717</v>
      </c>
      <c r="B328" s="105" t="s">
        <v>1872</v>
      </c>
      <c r="C328" s="25" t="s">
        <v>1250</v>
      </c>
      <c r="D328" s="25" t="s">
        <v>1065</v>
      </c>
      <c r="E328" s="25" t="s">
        <v>876</v>
      </c>
      <c r="F328" s="25" t="s">
        <v>881</v>
      </c>
      <c r="G328" s="106">
        <v>423.02</v>
      </c>
      <c r="H328" s="107">
        <v>1.1303582283114759</v>
      </c>
      <c r="I328" s="81">
        <v>2672.1153333447023</v>
      </c>
      <c r="J328" s="81">
        <v>920046.625</v>
      </c>
      <c r="K328" s="82">
        <v>2.9043259990706475E-3</v>
      </c>
      <c r="L328" s="110">
        <v>2.9043259990706475E-3</v>
      </c>
      <c r="M328" s="80"/>
    </row>
    <row r="329" spans="1:13" x14ac:dyDescent="0.2">
      <c r="A329" s="109" t="s">
        <v>1100</v>
      </c>
      <c r="B329" s="105" t="s">
        <v>1873</v>
      </c>
      <c r="C329" s="25" t="s">
        <v>644</v>
      </c>
      <c r="D329" s="25" t="s">
        <v>1052</v>
      </c>
      <c r="E329" s="25" t="s">
        <v>876</v>
      </c>
      <c r="F329" s="25" t="s">
        <v>881</v>
      </c>
      <c r="G329" s="106">
        <v>77.37</v>
      </c>
      <c r="H329" s="107">
        <v>6.0182263999845137E-2</v>
      </c>
      <c r="I329" s="81">
        <v>777.85012278460817</v>
      </c>
      <c r="J329" s="81">
        <v>557659.4375</v>
      </c>
      <c r="K329" s="82">
        <v>1.3948479492640312E-3</v>
      </c>
      <c r="L329" s="110">
        <v>1.3948479492640312E-3</v>
      </c>
      <c r="M329" s="80"/>
    </row>
    <row r="330" spans="1:13" x14ac:dyDescent="0.2">
      <c r="A330" s="109" t="s">
        <v>892</v>
      </c>
      <c r="B330" s="105" t="s">
        <v>1874</v>
      </c>
      <c r="C330" s="25" t="s">
        <v>780</v>
      </c>
      <c r="D330" s="25" t="s">
        <v>1054</v>
      </c>
      <c r="E330" s="25" t="s">
        <v>876</v>
      </c>
      <c r="F330" s="25" t="s">
        <v>880</v>
      </c>
      <c r="G330" s="106">
        <v>171.51</v>
      </c>
      <c r="H330" s="107">
        <v>-1.4763124231923326</v>
      </c>
      <c r="I330" s="81">
        <v>-8607.7337950692836</v>
      </c>
      <c r="J330" s="81">
        <v>2816959.25</v>
      </c>
      <c r="K330" s="82">
        <v>-3.0556827526238739E-3</v>
      </c>
      <c r="L330" s="110">
        <v>3.0556827526238739E-3</v>
      </c>
      <c r="M330" s="80"/>
    </row>
    <row r="331" spans="1:13" x14ac:dyDescent="0.2">
      <c r="A331" s="109" t="s">
        <v>238</v>
      </c>
      <c r="B331" s="105" t="s">
        <v>1876</v>
      </c>
      <c r="C331" s="25" t="s">
        <v>86</v>
      </c>
      <c r="D331" s="25" t="s">
        <v>1071</v>
      </c>
      <c r="E331" s="25" t="s">
        <v>876</v>
      </c>
      <c r="F331" s="25" t="s">
        <v>880</v>
      </c>
      <c r="G331" s="106">
        <v>64.58</v>
      </c>
      <c r="H331" s="107">
        <v>-0.18974674306356687</v>
      </c>
      <c r="I331" s="81">
        <v>-2938.165733409211</v>
      </c>
      <c r="J331" s="81">
        <v>620971.25</v>
      </c>
      <c r="K331" s="82">
        <v>-4.7315648404160594E-3</v>
      </c>
      <c r="L331" s="110">
        <v>4.7315648404160594E-3</v>
      </c>
      <c r="M331" s="80"/>
    </row>
    <row r="332" spans="1:13" x14ac:dyDescent="0.2">
      <c r="A332" s="109" t="s">
        <v>1077</v>
      </c>
      <c r="B332" s="105" t="s">
        <v>1875</v>
      </c>
      <c r="C332" s="25" t="s">
        <v>622</v>
      </c>
      <c r="D332" s="25" t="s">
        <v>1055</v>
      </c>
      <c r="E332" s="25" t="s">
        <v>876</v>
      </c>
      <c r="F332" s="25" t="s">
        <v>880</v>
      </c>
      <c r="G332" s="106">
        <v>102.3</v>
      </c>
      <c r="H332" s="107">
        <v>-0.83164525150329305</v>
      </c>
      <c r="I332" s="81">
        <v>-8129.4745992501767</v>
      </c>
      <c r="J332" s="81">
        <v>1654089.75</v>
      </c>
      <c r="K332" s="82">
        <v>-4.91477236906291E-3</v>
      </c>
      <c r="L332" s="110">
        <v>4.91477236906291E-3</v>
      </c>
      <c r="M332" s="80"/>
    </row>
    <row r="333" spans="1:13" x14ac:dyDescent="0.2">
      <c r="A333" s="109" t="s">
        <v>1551</v>
      </c>
      <c r="B333" s="105" t="s">
        <v>1877</v>
      </c>
      <c r="C333" s="25" t="s">
        <v>2109</v>
      </c>
      <c r="D333" s="25" t="s">
        <v>1054</v>
      </c>
      <c r="E333" s="25" t="s">
        <v>876</v>
      </c>
      <c r="F333" s="25" t="s">
        <v>880</v>
      </c>
      <c r="G333" s="106">
        <v>170.42</v>
      </c>
      <c r="H333" s="107">
        <v>-1.1077972650457892</v>
      </c>
      <c r="I333" s="81">
        <v>-6500.3947015948206</v>
      </c>
      <c r="J333" s="81">
        <v>1199889.625</v>
      </c>
      <c r="K333" s="82">
        <v>-5.4174938812349685E-3</v>
      </c>
      <c r="L333" s="110">
        <v>5.4174938812349685E-3</v>
      </c>
      <c r="M333" s="80"/>
    </row>
    <row r="334" spans="1:13" x14ac:dyDescent="0.2">
      <c r="A334" s="109" t="s">
        <v>1214</v>
      </c>
      <c r="B334" s="105" t="s">
        <v>1879</v>
      </c>
      <c r="C334" s="25" t="s">
        <v>23</v>
      </c>
      <c r="D334" s="25" t="s">
        <v>1068</v>
      </c>
      <c r="E334" s="25" t="s">
        <v>876</v>
      </c>
      <c r="F334" s="25" t="s">
        <v>880</v>
      </c>
      <c r="G334" s="106">
        <v>54.75</v>
      </c>
      <c r="H334" s="107">
        <v>-0.27743543493193068</v>
      </c>
      <c r="I334" s="81">
        <v>-5067.3138800352635</v>
      </c>
      <c r="J334" s="81">
        <v>809690.9375</v>
      </c>
      <c r="K334" s="82">
        <v>-6.2583309820424702E-3</v>
      </c>
      <c r="L334" s="110">
        <v>6.2583309820424702E-3</v>
      </c>
      <c r="M334" s="80"/>
    </row>
    <row r="335" spans="1:13" x14ac:dyDescent="0.2">
      <c r="A335" s="109" t="s">
        <v>738</v>
      </c>
      <c r="B335" s="105" t="s">
        <v>1878</v>
      </c>
      <c r="C335" s="25" t="s">
        <v>1428</v>
      </c>
      <c r="D335" s="25" t="s">
        <v>1063</v>
      </c>
      <c r="E335" s="25" t="s">
        <v>876</v>
      </c>
      <c r="F335" s="25" t="s">
        <v>880</v>
      </c>
      <c r="G335" s="106">
        <v>1425.19</v>
      </c>
      <c r="H335" s="107">
        <v>-4.7282380400869597</v>
      </c>
      <c r="I335" s="81">
        <v>-3317.6194332593968</v>
      </c>
      <c r="J335" s="81">
        <v>527442.375</v>
      </c>
      <c r="K335" s="82">
        <v>-6.2900130715879566E-3</v>
      </c>
      <c r="L335" s="110">
        <v>6.2900130715879566E-3</v>
      </c>
      <c r="M335" s="80"/>
    </row>
    <row r="336" spans="1:13" x14ac:dyDescent="0.2">
      <c r="A336" s="109" t="s">
        <v>1200</v>
      </c>
      <c r="B336" s="105" t="s">
        <v>1880</v>
      </c>
      <c r="C336" s="25" t="s">
        <v>11</v>
      </c>
      <c r="D336" s="25" t="s">
        <v>1051</v>
      </c>
      <c r="E336" s="25" t="s">
        <v>876</v>
      </c>
      <c r="F336" s="25" t="s">
        <v>880</v>
      </c>
      <c r="G336" s="106">
        <v>92.62</v>
      </c>
      <c r="H336" s="107">
        <v>-0.47105305874249659</v>
      </c>
      <c r="I336" s="81">
        <v>-5085.8676176041527</v>
      </c>
      <c r="J336" s="81">
        <v>737225.5625</v>
      </c>
      <c r="K336" s="82">
        <v>-6.8986588044471836E-3</v>
      </c>
      <c r="L336" s="110">
        <v>6.8986588044471836E-3</v>
      </c>
      <c r="M336" s="80"/>
    </row>
    <row r="337" spans="1:13" x14ac:dyDescent="0.2">
      <c r="A337" s="109" t="s">
        <v>1166</v>
      </c>
      <c r="B337" s="105" t="s">
        <v>1881</v>
      </c>
      <c r="C337" s="25" t="s">
        <v>1329</v>
      </c>
      <c r="D337" s="25" t="s">
        <v>1053</v>
      </c>
      <c r="E337" s="25" t="s">
        <v>876</v>
      </c>
      <c r="F337" s="25" t="s">
        <v>880</v>
      </c>
      <c r="G337" s="106">
        <v>73.12</v>
      </c>
      <c r="H337" s="107">
        <v>-1.9613623916426914</v>
      </c>
      <c r="I337" s="81">
        <v>-26823.88391196241</v>
      </c>
      <c r="J337" s="81">
        <v>3707560.5</v>
      </c>
      <c r="K337" s="82">
        <v>-7.2349146863449456E-3</v>
      </c>
      <c r="L337" s="110">
        <v>7.2349146863449456E-3</v>
      </c>
      <c r="M337" s="80"/>
    </row>
    <row r="338" spans="1:13" x14ac:dyDescent="0.2">
      <c r="A338" s="109" t="s">
        <v>713</v>
      </c>
      <c r="B338" s="105" t="s">
        <v>1882</v>
      </c>
      <c r="C338" s="25" t="s">
        <v>586</v>
      </c>
      <c r="D338" s="25" t="s">
        <v>1068</v>
      </c>
      <c r="E338" s="25" t="s">
        <v>876</v>
      </c>
      <c r="F338" s="25" t="s">
        <v>880</v>
      </c>
      <c r="G338" s="106">
        <v>49.82</v>
      </c>
      <c r="H338" s="107">
        <v>-0.74322279242137024</v>
      </c>
      <c r="I338" s="81">
        <v>-14918.161228851268</v>
      </c>
      <c r="J338" s="81">
        <v>1873035.75</v>
      </c>
      <c r="K338" s="82">
        <v>-7.9646964714107926E-3</v>
      </c>
      <c r="L338" s="110">
        <v>7.9646964714107926E-3</v>
      </c>
      <c r="M338" s="80"/>
    </row>
    <row r="339" spans="1:13" x14ac:dyDescent="0.2">
      <c r="A339" s="109" t="s">
        <v>1208</v>
      </c>
      <c r="B339" s="105" t="s">
        <v>1883</v>
      </c>
      <c r="C339" s="25" t="s">
        <v>18</v>
      </c>
      <c r="D339" s="25" t="s">
        <v>1072</v>
      </c>
      <c r="E339" s="25" t="s">
        <v>876</v>
      </c>
      <c r="F339" s="25" t="s">
        <v>880</v>
      </c>
      <c r="G339" s="106">
        <v>22.89</v>
      </c>
      <c r="H339" s="107">
        <v>-0.54911332459273565</v>
      </c>
      <c r="I339" s="81">
        <v>-23989.223442233968</v>
      </c>
      <c r="J339" s="81">
        <v>3008109.5</v>
      </c>
      <c r="K339" s="82">
        <v>-7.974850464131697E-3</v>
      </c>
      <c r="L339" s="110">
        <v>7.974850464131697E-3</v>
      </c>
      <c r="M339" s="80"/>
    </row>
    <row r="340" spans="1:13" x14ac:dyDescent="0.2">
      <c r="A340" s="109" t="s">
        <v>1453</v>
      </c>
      <c r="B340" s="105" t="s">
        <v>1884</v>
      </c>
      <c r="C340" s="25" t="s">
        <v>1474</v>
      </c>
      <c r="D340" s="25" t="s">
        <v>1052</v>
      </c>
      <c r="E340" s="25" t="s">
        <v>876</v>
      </c>
      <c r="F340" s="25" t="s">
        <v>880</v>
      </c>
      <c r="G340" s="106">
        <v>48.59</v>
      </c>
      <c r="H340" s="107">
        <v>-0.99058818205600185</v>
      </c>
      <c r="I340" s="81">
        <v>-20386.667669397033</v>
      </c>
      <c r="J340" s="81">
        <v>2112070</v>
      </c>
      <c r="K340" s="82">
        <v>-9.6524583320614522E-3</v>
      </c>
      <c r="L340" s="110">
        <v>9.6524583320614522E-3</v>
      </c>
      <c r="M340" s="80"/>
    </row>
    <row r="341" spans="1:13" x14ac:dyDescent="0.2">
      <c r="A341" s="109" t="s">
        <v>1552</v>
      </c>
      <c r="B341" s="105" t="s">
        <v>1885</v>
      </c>
      <c r="C341" s="25" t="s">
        <v>2110</v>
      </c>
      <c r="D341" s="25" t="s">
        <v>1063</v>
      </c>
      <c r="E341" s="25" t="s">
        <v>876</v>
      </c>
      <c r="F341" s="25" t="s">
        <v>880</v>
      </c>
      <c r="G341" s="106">
        <v>66.44</v>
      </c>
      <c r="H341" s="107">
        <v>-2.1696086604446676</v>
      </c>
      <c r="I341" s="81">
        <v>-32655.157441972726</v>
      </c>
      <c r="J341" s="81">
        <v>2539223.75</v>
      </c>
      <c r="K341" s="82">
        <v>-1.2860291434330167E-2</v>
      </c>
      <c r="L341" s="110">
        <v>1.2860291434330167E-2</v>
      </c>
      <c r="M341" s="80"/>
    </row>
    <row r="342" spans="1:13" x14ac:dyDescent="0.2">
      <c r="A342" s="109" t="s">
        <v>1222</v>
      </c>
      <c r="B342" s="105" t="s">
        <v>1887</v>
      </c>
      <c r="C342" s="25" t="s">
        <v>31</v>
      </c>
      <c r="D342" s="25" t="s">
        <v>1073</v>
      </c>
      <c r="E342" s="25" t="s">
        <v>876</v>
      </c>
      <c r="F342" s="25" t="s">
        <v>880</v>
      </c>
      <c r="G342" s="106">
        <v>32.33</v>
      </c>
      <c r="H342" s="107">
        <v>-4.7253482502269719</v>
      </c>
      <c r="I342" s="81">
        <v>-146159.8592708621</v>
      </c>
      <c r="J342" s="81">
        <v>10429872</v>
      </c>
      <c r="K342" s="82">
        <v>-1.4013581304819667E-2</v>
      </c>
      <c r="L342" s="110">
        <v>1.4013581304819667E-2</v>
      </c>
      <c r="M342" s="80"/>
    </row>
    <row r="343" spans="1:13" x14ac:dyDescent="0.2">
      <c r="A343" s="109" t="s">
        <v>1090</v>
      </c>
      <c r="B343" s="105" t="s">
        <v>1886</v>
      </c>
      <c r="C343" s="25" t="s">
        <v>634</v>
      </c>
      <c r="D343" s="25" t="s">
        <v>1055</v>
      </c>
      <c r="E343" s="25" t="s">
        <v>876</v>
      </c>
      <c r="F343" s="25" t="s">
        <v>880</v>
      </c>
      <c r="G343" s="106">
        <v>55.04</v>
      </c>
      <c r="H343" s="107">
        <v>-1.3961900927664328</v>
      </c>
      <c r="I343" s="81">
        <v>-25366.825813343617</v>
      </c>
      <c r="J343" s="81">
        <v>1805533.125</v>
      </c>
      <c r="K343" s="82">
        <v>-1.4049493449943554E-2</v>
      </c>
      <c r="L343" s="110">
        <v>1.4049493449943554E-2</v>
      </c>
      <c r="M343" s="80"/>
    </row>
    <row r="344" spans="1:13" x14ac:dyDescent="0.2">
      <c r="A344" s="109" t="s">
        <v>188</v>
      </c>
      <c r="B344" s="105" t="s">
        <v>1888</v>
      </c>
      <c r="C344" s="25" t="s">
        <v>193</v>
      </c>
      <c r="D344" s="25" t="s">
        <v>1056</v>
      </c>
      <c r="E344" s="25" t="s">
        <v>876</v>
      </c>
      <c r="F344" s="25" t="s">
        <v>878</v>
      </c>
      <c r="G344" s="106">
        <v>37.590000000000003</v>
      </c>
      <c r="H344" s="107">
        <v>-2.8424347090419033</v>
      </c>
      <c r="I344" s="81">
        <v>-75616.778639050361</v>
      </c>
      <c r="J344" s="81">
        <v>4543092</v>
      </c>
      <c r="K344" s="82">
        <v>-1.664434236397818E-2</v>
      </c>
      <c r="L344" s="110">
        <v>1.664434236397818E-2</v>
      </c>
      <c r="M344" s="80"/>
    </row>
    <row r="345" spans="1:13" x14ac:dyDescent="0.2">
      <c r="A345" s="109" t="s">
        <v>293</v>
      </c>
      <c r="B345" s="105" t="s">
        <v>1889</v>
      </c>
      <c r="C345" s="25" t="s">
        <v>135</v>
      </c>
      <c r="D345" s="25" t="s">
        <v>1067</v>
      </c>
      <c r="E345" s="25" t="s">
        <v>876</v>
      </c>
      <c r="F345" s="25" t="s">
        <v>880</v>
      </c>
      <c r="G345" s="106">
        <v>64.37</v>
      </c>
      <c r="H345" s="107">
        <v>-2.2695954778225729</v>
      </c>
      <c r="I345" s="81">
        <v>-35258.590613990571</v>
      </c>
      <c r="J345" s="81">
        <v>1814728.75</v>
      </c>
      <c r="K345" s="82">
        <v>-1.9429124387868198E-2</v>
      </c>
      <c r="L345" s="110">
        <v>1.9429124387868198E-2</v>
      </c>
      <c r="M345" s="80"/>
    </row>
    <row r="346" spans="1:13" x14ac:dyDescent="0.2">
      <c r="A346" s="109" t="s">
        <v>1225</v>
      </c>
      <c r="B346" s="105" t="s">
        <v>1890</v>
      </c>
      <c r="C346" s="25" t="s">
        <v>34</v>
      </c>
      <c r="D346" s="25" t="s">
        <v>1070</v>
      </c>
      <c r="E346" s="25" t="s">
        <v>876</v>
      </c>
      <c r="F346" s="25" t="s">
        <v>880</v>
      </c>
      <c r="G346" s="106">
        <v>52.26</v>
      </c>
      <c r="H346" s="107">
        <v>-0.94981803858922598</v>
      </c>
      <c r="I346" s="81">
        <v>-18174.85722520524</v>
      </c>
      <c r="J346" s="81">
        <v>904552.25</v>
      </c>
      <c r="K346" s="82">
        <v>-2.0092656035298393E-2</v>
      </c>
      <c r="L346" s="110">
        <v>2.0092656035298393E-2</v>
      </c>
      <c r="M346" s="80"/>
    </row>
    <row r="347" spans="1:13" x14ac:dyDescent="0.2">
      <c r="A347" s="109" t="s">
        <v>1283</v>
      </c>
      <c r="B347" s="105" t="s">
        <v>1891</v>
      </c>
      <c r="C347" s="25" t="s">
        <v>133</v>
      </c>
      <c r="D347" s="25" t="s">
        <v>1073</v>
      </c>
      <c r="E347" s="25" t="s">
        <v>876</v>
      </c>
      <c r="F347" s="25" t="s">
        <v>880</v>
      </c>
      <c r="G347" s="106">
        <v>30.69</v>
      </c>
      <c r="H347" s="107">
        <v>-3.6592963581530307</v>
      </c>
      <c r="I347" s="81">
        <v>-119234.15960094593</v>
      </c>
      <c r="J347" s="81">
        <v>5025422</v>
      </c>
      <c r="K347" s="82">
        <v>-2.3726198436856832E-2</v>
      </c>
      <c r="L347" s="110">
        <v>2.3726198436856832E-2</v>
      </c>
      <c r="M347" s="80"/>
    </row>
    <row r="348" spans="1:13" x14ac:dyDescent="0.2">
      <c r="A348" s="109" t="s">
        <v>1333</v>
      </c>
      <c r="B348" s="105" t="s">
        <v>1892</v>
      </c>
      <c r="C348" s="25" t="s">
        <v>1344</v>
      </c>
      <c r="D348" s="25" t="s">
        <v>1063</v>
      </c>
      <c r="E348" s="25" t="s">
        <v>876</v>
      </c>
      <c r="F348" s="25" t="s">
        <v>880</v>
      </c>
      <c r="G348" s="106">
        <v>77.489999999999995</v>
      </c>
      <c r="H348" s="107">
        <v>-8.8431694210977732</v>
      </c>
      <c r="I348" s="81">
        <v>-114120.13706410857</v>
      </c>
      <c r="J348" s="81">
        <v>4496539.5</v>
      </c>
      <c r="K348" s="82">
        <v>-2.5379547330588014E-2</v>
      </c>
      <c r="L348" s="110">
        <v>2.5379547330588014E-2</v>
      </c>
      <c r="M348" s="80"/>
    </row>
    <row r="349" spans="1:13" x14ac:dyDescent="0.2">
      <c r="A349" s="109" t="s">
        <v>712</v>
      </c>
      <c r="B349" s="105" t="s">
        <v>1893</v>
      </c>
      <c r="C349" s="25" t="s">
        <v>583</v>
      </c>
      <c r="D349" s="25" t="s">
        <v>1055</v>
      </c>
      <c r="E349" s="25" t="s">
        <v>876</v>
      </c>
      <c r="F349" s="25" t="s">
        <v>880</v>
      </c>
      <c r="G349" s="106">
        <v>198.81</v>
      </c>
      <c r="H349" s="107">
        <v>-4.4700310230840863</v>
      </c>
      <c r="I349" s="81">
        <v>-22483.934525849232</v>
      </c>
      <c r="J349" s="81">
        <v>839137.6875</v>
      </c>
      <c r="K349" s="82">
        <v>-2.6794094533919063E-2</v>
      </c>
      <c r="L349" s="110">
        <v>2.6794094533919063E-2</v>
      </c>
      <c r="M349" s="80"/>
    </row>
    <row r="350" spans="1:13" x14ac:dyDescent="0.2">
      <c r="A350" s="109" t="s">
        <v>210</v>
      </c>
      <c r="B350" s="105" t="s">
        <v>1894</v>
      </c>
      <c r="C350" s="25" t="s">
        <v>62</v>
      </c>
      <c r="D350" s="25" t="s">
        <v>1056</v>
      </c>
      <c r="E350" s="25" t="s">
        <v>876</v>
      </c>
      <c r="F350" s="25" t="s">
        <v>878</v>
      </c>
      <c r="G350" s="106">
        <v>61.99</v>
      </c>
      <c r="H350" s="107">
        <v>-18.221443985210186</v>
      </c>
      <c r="I350" s="81">
        <v>-293941.66777238564</v>
      </c>
      <c r="J350" s="81">
        <v>10412389</v>
      </c>
      <c r="K350" s="82">
        <v>-2.822999292212245E-2</v>
      </c>
      <c r="L350" s="110">
        <v>2.822999292212245E-2</v>
      </c>
      <c r="M350" s="80"/>
    </row>
    <row r="351" spans="1:13" x14ac:dyDescent="0.2">
      <c r="A351" s="109" t="s">
        <v>300</v>
      </c>
      <c r="B351" s="105" t="s">
        <v>1895</v>
      </c>
      <c r="C351" s="25" t="s">
        <v>2111</v>
      </c>
      <c r="D351" s="25" t="s">
        <v>1053</v>
      </c>
      <c r="E351" s="25" t="s">
        <v>876</v>
      </c>
      <c r="F351" s="25" t="s">
        <v>880</v>
      </c>
      <c r="G351" s="106">
        <v>61.87</v>
      </c>
      <c r="H351" s="107">
        <v>-2.5223022323138955</v>
      </c>
      <c r="I351" s="81">
        <v>-40767.774887892279</v>
      </c>
      <c r="J351" s="81">
        <v>1427275.375</v>
      </c>
      <c r="K351" s="82">
        <v>-2.8563356169367303E-2</v>
      </c>
      <c r="L351" s="110">
        <v>2.8563356169367303E-2</v>
      </c>
      <c r="M351" s="80"/>
    </row>
    <row r="352" spans="1:13" x14ac:dyDescent="0.2">
      <c r="A352" s="109" t="s">
        <v>226</v>
      </c>
      <c r="B352" s="105" t="s">
        <v>1896</v>
      </c>
      <c r="C352" s="25" t="s">
        <v>1265</v>
      </c>
      <c r="D352" s="25" t="s">
        <v>1070</v>
      </c>
      <c r="E352" s="25" t="s">
        <v>876</v>
      </c>
      <c r="F352" s="25" t="s">
        <v>880</v>
      </c>
      <c r="G352" s="106">
        <v>21.18</v>
      </c>
      <c r="H352" s="107">
        <v>-2.5149176592361884</v>
      </c>
      <c r="I352" s="81">
        <v>-118740.21053995224</v>
      </c>
      <c r="J352" s="81">
        <v>4105867</v>
      </c>
      <c r="K352" s="82">
        <v>-2.8919643656249033E-2</v>
      </c>
      <c r="L352" s="110">
        <v>2.8919643656249033E-2</v>
      </c>
      <c r="M352" s="80"/>
    </row>
    <row r="353" spans="1:13" x14ac:dyDescent="0.2">
      <c r="A353" s="109" t="s">
        <v>225</v>
      </c>
      <c r="B353" s="105" t="s">
        <v>1898</v>
      </c>
      <c r="C353" s="25" t="s">
        <v>75</v>
      </c>
      <c r="D353" s="25" t="s">
        <v>1068</v>
      </c>
      <c r="E353" s="25" t="s">
        <v>876</v>
      </c>
      <c r="F353" s="25" t="s">
        <v>880</v>
      </c>
      <c r="G353" s="106">
        <v>123.74</v>
      </c>
      <c r="H353" s="107">
        <v>-4.0064385142411778</v>
      </c>
      <c r="I353" s="81">
        <v>-32377.877115251158</v>
      </c>
      <c r="J353" s="81">
        <v>1112321.5</v>
      </c>
      <c r="K353" s="82">
        <v>-2.910838018976632E-2</v>
      </c>
      <c r="L353" s="110">
        <v>2.910838018976632E-2</v>
      </c>
      <c r="M353" s="80"/>
    </row>
    <row r="354" spans="1:13" x14ac:dyDescent="0.2">
      <c r="A354" s="109" t="s">
        <v>1274</v>
      </c>
      <c r="B354" s="105" t="s">
        <v>1897</v>
      </c>
      <c r="C354" s="25" t="s">
        <v>612</v>
      </c>
      <c r="D354" s="25" t="s">
        <v>1063</v>
      </c>
      <c r="E354" s="25" t="s">
        <v>876</v>
      </c>
      <c r="F354" s="25" t="s">
        <v>880</v>
      </c>
      <c r="G354" s="106">
        <v>63.11</v>
      </c>
      <c r="H354" s="107">
        <v>-5.9416054981946935</v>
      </c>
      <c r="I354" s="81">
        <v>-94146.815056166903</v>
      </c>
      <c r="J354" s="81">
        <v>3196337.75</v>
      </c>
      <c r="K354" s="82">
        <v>-2.9454589101595069E-2</v>
      </c>
      <c r="L354" s="110">
        <v>2.9454589101595069E-2</v>
      </c>
      <c r="M354" s="80"/>
    </row>
    <row r="355" spans="1:13" x14ac:dyDescent="0.2">
      <c r="A355" s="109" t="s">
        <v>270</v>
      </c>
      <c r="B355" s="105" t="s">
        <v>1899</v>
      </c>
      <c r="C355" s="25" t="s">
        <v>112</v>
      </c>
      <c r="D355" s="25" t="s">
        <v>1063</v>
      </c>
      <c r="E355" s="25" t="s">
        <v>876</v>
      </c>
      <c r="F355" s="25" t="s">
        <v>880</v>
      </c>
      <c r="G355" s="106">
        <v>72.98</v>
      </c>
      <c r="H355" s="107">
        <v>-4.8396478403351013</v>
      </c>
      <c r="I355" s="81">
        <v>-66314.714172856955</v>
      </c>
      <c r="J355" s="81">
        <v>2240891.75</v>
      </c>
      <c r="K355" s="82">
        <v>-2.9593002059495714E-2</v>
      </c>
      <c r="L355" s="110">
        <v>2.9593002059495714E-2</v>
      </c>
      <c r="M355" s="80"/>
    </row>
    <row r="356" spans="1:13" x14ac:dyDescent="0.2">
      <c r="A356" s="109" t="s">
        <v>1127</v>
      </c>
      <c r="B356" s="105" t="s">
        <v>1900</v>
      </c>
      <c r="C356" s="25" t="s">
        <v>665</v>
      </c>
      <c r="D356" s="25" t="s">
        <v>1069</v>
      </c>
      <c r="E356" s="25" t="s">
        <v>876</v>
      </c>
      <c r="F356" s="25" t="s">
        <v>880</v>
      </c>
      <c r="G356" s="106">
        <v>47.16</v>
      </c>
      <c r="H356" s="107">
        <v>-3.1704384561890864</v>
      </c>
      <c r="I356" s="81">
        <v>-67227.278545146022</v>
      </c>
      <c r="J356" s="81">
        <v>2094948.875</v>
      </c>
      <c r="K356" s="82">
        <v>-3.2090176207830383E-2</v>
      </c>
      <c r="L356" s="110">
        <v>3.2090176207830383E-2</v>
      </c>
      <c r="M356" s="80"/>
    </row>
    <row r="357" spans="1:13" x14ac:dyDescent="0.2">
      <c r="A357" s="109" t="s">
        <v>1201</v>
      </c>
      <c r="B357" s="105" t="s">
        <v>1901</v>
      </c>
      <c r="C357" s="25" t="s">
        <v>12</v>
      </c>
      <c r="D357" s="25" t="s">
        <v>1060</v>
      </c>
      <c r="E357" s="25" t="s">
        <v>876</v>
      </c>
      <c r="F357" s="25" t="s">
        <v>880</v>
      </c>
      <c r="G357" s="106">
        <v>18.010000000000002</v>
      </c>
      <c r="H357" s="107">
        <v>-4.3145840330845511</v>
      </c>
      <c r="I357" s="81">
        <v>-239566.02071541094</v>
      </c>
      <c r="J357" s="81">
        <v>7210327.5</v>
      </c>
      <c r="K357" s="82">
        <v>-3.3225400748497336E-2</v>
      </c>
      <c r="L357" s="110">
        <v>3.3225400748497336E-2</v>
      </c>
      <c r="M357" s="80"/>
    </row>
    <row r="358" spans="1:13" x14ac:dyDescent="0.2">
      <c r="A358" s="109" t="s">
        <v>1185</v>
      </c>
      <c r="B358" s="105" t="s">
        <v>1903</v>
      </c>
      <c r="C358" s="25" t="s">
        <v>610</v>
      </c>
      <c r="D358" s="25" t="s">
        <v>1063</v>
      </c>
      <c r="E358" s="25" t="s">
        <v>876</v>
      </c>
      <c r="F358" s="25" t="s">
        <v>880</v>
      </c>
      <c r="G358" s="106">
        <v>105.09</v>
      </c>
      <c r="H358" s="107">
        <v>-1.8607955612262315</v>
      </c>
      <c r="I358" s="81">
        <v>-17706.685329015429</v>
      </c>
      <c r="J358" s="81">
        <v>506223.6875</v>
      </c>
      <c r="K358" s="82">
        <v>-3.4977986542787824E-2</v>
      </c>
      <c r="L358" s="110">
        <v>3.4977986542787824E-2</v>
      </c>
      <c r="M358" s="80"/>
    </row>
    <row r="359" spans="1:13" x14ac:dyDescent="0.2">
      <c r="A359" s="109" t="s">
        <v>214</v>
      </c>
      <c r="B359" s="105" t="s">
        <v>1902</v>
      </c>
      <c r="C359" s="25" t="s">
        <v>64</v>
      </c>
      <c r="D359" s="25" t="s">
        <v>1072</v>
      </c>
      <c r="E359" s="25" t="s">
        <v>876</v>
      </c>
      <c r="F359" s="25" t="s">
        <v>880</v>
      </c>
      <c r="G359" s="106">
        <v>85.84</v>
      </c>
      <c r="H359" s="107">
        <v>-3.2963887384242407</v>
      </c>
      <c r="I359" s="81">
        <v>-38401.546346973912</v>
      </c>
      <c r="J359" s="81">
        <v>1086970.125</v>
      </c>
      <c r="K359" s="82">
        <v>-3.5328980497025077E-2</v>
      </c>
      <c r="L359" s="110">
        <v>3.5328980497025077E-2</v>
      </c>
      <c r="M359" s="80"/>
    </row>
    <row r="360" spans="1:13" x14ac:dyDescent="0.2">
      <c r="A360" s="109" t="s">
        <v>1169</v>
      </c>
      <c r="B360" s="105" t="s">
        <v>1905</v>
      </c>
      <c r="C360" s="25" t="s">
        <v>699</v>
      </c>
      <c r="D360" s="25" t="s">
        <v>1071</v>
      </c>
      <c r="E360" s="25" t="s">
        <v>876</v>
      </c>
      <c r="F360" s="25" t="s">
        <v>880</v>
      </c>
      <c r="G360" s="106">
        <v>51.07</v>
      </c>
      <c r="H360" s="107">
        <v>-1.9742654553013326</v>
      </c>
      <c r="I360" s="81">
        <v>-38658.027321349771</v>
      </c>
      <c r="J360" s="81">
        <v>1039652.75</v>
      </c>
      <c r="K360" s="82">
        <v>-3.7183595504700746E-2</v>
      </c>
      <c r="L360" s="110">
        <v>3.7183595504700746E-2</v>
      </c>
      <c r="M360" s="80"/>
    </row>
    <row r="361" spans="1:13" x14ac:dyDescent="0.2">
      <c r="A361" s="109" t="s">
        <v>1091</v>
      </c>
      <c r="B361" s="105" t="s">
        <v>1904</v>
      </c>
      <c r="C361" s="25" t="s">
        <v>635</v>
      </c>
      <c r="D361" s="25" t="s">
        <v>1056</v>
      </c>
      <c r="E361" s="25" t="s">
        <v>876</v>
      </c>
      <c r="F361" s="25" t="s">
        <v>880</v>
      </c>
      <c r="G361" s="106">
        <v>30.05</v>
      </c>
      <c r="H361" s="107">
        <v>-14.777428838192513</v>
      </c>
      <c r="I361" s="81">
        <v>-491761.35900807031</v>
      </c>
      <c r="J361" s="81">
        <v>13208635</v>
      </c>
      <c r="K361" s="82">
        <v>-3.7230293592643772E-2</v>
      </c>
      <c r="L361" s="110">
        <v>3.7230293592643772E-2</v>
      </c>
      <c r="M361" s="80"/>
    </row>
    <row r="362" spans="1:13" x14ac:dyDescent="0.2">
      <c r="A362" s="109" t="s">
        <v>277</v>
      </c>
      <c r="B362" s="105" t="s">
        <v>1906</v>
      </c>
      <c r="C362" s="25" t="s">
        <v>119</v>
      </c>
      <c r="D362" s="25" t="s">
        <v>1064</v>
      </c>
      <c r="E362" s="25" t="s">
        <v>876</v>
      </c>
      <c r="F362" s="25" t="s">
        <v>880</v>
      </c>
      <c r="G362" s="106">
        <v>73.75</v>
      </c>
      <c r="H362" s="107">
        <v>-6.3907598371818768</v>
      </c>
      <c r="I362" s="81">
        <v>-86654.370673652564</v>
      </c>
      <c r="J362" s="81">
        <v>2242917.25</v>
      </c>
      <c r="K362" s="82">
        <v>-3.8634671285199026E-2</v>
      </c>
      <c r="L362" s="110">
        <v>3.8634671285199026E-2</v>
      </c>
      <c r="M362" s="80"/>
    </row>
    <row r="363" spans="1:13" x14ac:dyDescent="0.2">
      <c r="A363" s="109" t="s">
        <v>1161</v>
      </c>
      <c r="B363" s="105" t="s">
        <v>1907</v>
      </c>
      <c r="C363" s="25" t="s">
        <v>692</v>
      </c>
      <c r="D363" s="25" t="s">
        <v>1052</v>
      </c>
      <c r="E363" s="25" t="s">
        <v>876</v>
      </c>
      <c r="F363" s="25" t="s">
        <v>880</v>
      </c>
      <c r="G363" s="106">
        <v>68.06</v>
      </c>
      <c r="H363" s="107">
        <v>-3.1034171970223028</v>
      </c>
      <c r="I363" s="81">
        <v>-45598.254437588934</v>
      </c>
      <c r="J363" s="81">
        <v>1136405.375</v>
      </c>
      <c r="K363" s="82">
        <v>-4.0124990114191371E-2</v>
      </c>
      <c r="L363" s="110">
        <v>4.0124990114191371E-2</v>
      </c>
      <c r="M363" s="80"/>
    </row>
    <row r="364" spans="1:13" x14ac:dyDescent="0.2">
      <c r="A364" s="109" t="s">
        <v>292</v>
      </c>
      <c r="B364" s="105" t="s">
        <v>1908</v>
      </c>
      <c r="C364" s="25" t="s">
        <v>134</v>
      </c>
      <c r="D364" s="25" t="s">
        <v>1070</v>
      </c>
      <c r="E364" s="25" t="s">
        <v>876</v>
      </c>
      <c r="F364" s="25" t="s">
        <v>880</v>
      </c>
      <c r="G364" s="106">
        <v>181.34</v>
      </c>
      <c r="H364" s="107">
        <v>-5.0575163533063394</v>
      </c>
      <c r="I364" s="81">
        <v>-27889.689827431008</v>
      </c>
      <c r="J364" s="81">
        <v>692931.4375</v>
      </c>
      <c r="K364" s="82">
        <v>-4.024884471695081E-2</v>
      </c>
      <c r="L364" s="110">
        <v>4.024884471695081E-2</v>
      </c>
      <c r="M364" s="80"/>
    </row>
    <row r="365" spans="1:13" x14ac:dyDescent="0.2">
      <c r="A365" s="109" t="s">
        <v>896</v>
      </c>
      <c r="B365" s="105" t="s">
        <v>1909</v>
      </c>
      <c r="C365" s="25" t="s">
        <v>784</v>
      </c>
      <c r="D365" s="25" t="s">
        <v>1069</v>
      </c>
      <c r="E365" s="25" t="s">
        <v>876</v>
      </c>
      <c r="F365" s="25" t="s">
        <v>880</v>
      </c>
      <c r="G365" s="106">
        <v>15.84</v>
      </c>
      <c r="H365" s="107">
        <v>-53.120530572151154</v>
      </c>
      <c r="I365" s="81">
        <v>-3353568.8492519669</v>
      </c>
      <c r="J365" s="81">
        <v>75153440</v>
      </c>
      <c r="K365" s="82">
        <v>-4.4622958699588031E-2</v>
      </c>
      <c r="L365" s="110">
        <v>4.4622958699588031E-2</v>
      </c>
      <c r="M365" s="80"/>
    </row>
    <row r="366" spans="1:13" x14ac:dyDescent="0.2">
      <c r="A366" s="109" t="s">
        <v>242</v>
      </c>
      <c r="B366" s="105" t="s">
        <v>1910</v>
      </c>
      <c r="C366" s="25" t="s">
        <v>2112</v>
      </c>
      <c r="D366" s="25" t="s">
        <v>1070</v>
      </c>
      <c r="E366" s="25" t="s">
        <v>876</v>
      </c>
      <c r="F366" s="25" t="s">
        <v>880</v>
      </c>
      <c r="G366" s="106">
        <v>106.45</v>
      </c>
      <c r="H366" s="107">
        <v>-5.3313544672330222</v>
      </c>
      <c r="I366" s="81">
        <v>-50083.179588849431</v>
      </c>
      <c r="J366" s="81">
        <v>1113056.875</v>
      </c>
      <c r="K366" s="82">
        <v>-4.4996065083241527E-2</v>
      </c>
      <c r="L366" s="110">
        <v>4.4996065083241527E-2</v>
      </c>
      <c r="M366" s="80"/>
    </row>
    <row r="367" spans="1:13" x14ac:dyDescent="0.2">
      <c r="A367" s="109" t="s">
        <v>719</v>
      </c>
      <c r="B367" s="105" t="s">
        <v>1911</v>
      </c>
      <c r="C367" s="25" t="s">
        <v>1384</v>
      </c>
      <c r="D367" s="25" t="s">
        <v>1054</v>
      </c>
      <c r="E367" s="25" t="s">
        <v>876</v>
      </c>
      <c r="F367" s="25" t="s">
        <v>878</v>
      </c>
      <c r="G367" s="106">
        <v>20.82</v>
      </c>
      <c r="H367" s="107">
        <v>-8.7008714500265416</v>
      </c>
      <c r="I367" s="81">
        <v>-417909.29154786456</v>
      </c>
      <c r="J367" s="81">
        <v>8861901</v>
      </c>
      <c r="K367" s="82">
        <v>-4.7157973390569874E-2</v>
      </c>
      <c r="L367" s="110">
        <v>4.7157973390569874E-2</v>
      </c>
      <c r="M367" s="80"/>
    </row>
    <row r="368" spans="1:13" x14ac:dyDescent="0.2">
      <c r="A368" s="109" t="s">
        <v>1160</v>
      </c>
      <c r="B368" s="105" t="s">
        <v>1912</v>
      </c>
      <c r="C368" s="25" t="s">
        <v>2113</v>
      </c>
      <c r="D368" s="25" t="s">
        <v>1066</v>
      </c>
      <c r="E368" s="25" t="s">
        <v>876</v>
      </c>
      <c r="F368" s="25" t="s">
        <v>880</v>
      </c>
      <c r="G368" s="106">
        <v>90.86</v>
      </c>
      <c r="H368" s="107">
        <v>-8.6129522888237151</v>
      </c>
      <c r="I368" s="81">
        <v>-94793.663755488815</v>
      </c>
      <c r="J368" s="81">
        <v>1861555.25</v>
      </c>
      <c r="K368" s="82">
        <v>-5.0921756824294534E-2</v>
      </c>
      <c r="L368" s="110">
        <v>5.0921756824294534E-2</v>
      </c>
      <c r="M368" s="80"/>
    </row>
    <row r="369" spans="1:13" x14ac:dyDescent="0.2">
      <c r="A369" s="109" t="s">
        <v>294</v>
      </c>
      <c r="B369" s="105" t="s">
        <v>1913</v>
      </c>
      <c r="C369" s="25" t="s">
        <v>136</v>
      </c>
      <c r="D369" s="25" t="s">
        <v>1055</v>
      </c>
      <c r="E369" s="25" t="s">
        <v>876</v>
      </c>
      <c r="F369" s="25" t="s">
        <v>880</v>
      </c>
      <c r="G369" s="106">
        <v>21.46</v>
      </c>
      <c r="H369" s="107">
        <v>-3.9457125220211866</v>
      </c>
      <c r="I369" s="81">
        <v>-183863.5844371476</v>
      </c>
      <c r="J369" s="81">
        <v>3541017.5</v>
      </c>
      <c r="K369" s="82">
        <v>-5.1923941194062892E-2</v>
      </c>
      <c r="L369" s="110">
        <v>5.1923941194062892E-2</v>
      </c>
      <c r="M369" s="80"/>
    </row>
    <row r="370" spans="1:13" x14ac:dyDescent="0.2">
      <c r="A370" s="109" t="s">
        <v>1094</v>
      </c>
      <c r="B370" s="105" t="s">
        <v>1914</v>
      </c>
      <c r="C370" s="25" t="s">
        <v>638</v>
      </c>
      <c r="D370" s="25" t="s">
        <v>1063</v>
      </c>
      <c r="E370" s="25" t="s">
        <v>876</v>
      </c>
      <c r="F370" s="25" t="s">
        <v>880</v>
      </c>
      <c r="G370" s="106">
        <v>47.96</v>
      </c>
      <c r="H370" s="107">
        <v>-2.4234073232935862</v>
      </c>
      <c r="I370" s="81">
        <v>-50529.760702535161</v>
      </c>
      <c r="J370" s="81">
        <v>942759.25</v>
      </c>
      <c r="K370" s="82">
        <v>-5.3597735267551246E-2</v>
      </c>
      <c r="L370" s="110">
        <v>5.3597735267551246E-2</v>
      </c>
      <c r="M370" s="80"/>
    </row>
    <row r="371" spans="1:13" x14ac:dyDescent="0.2">
      <c r="A371" s="109" t="s">
        <v>757</v>
      </c>
      <c r="B371" s="105" t="s">
        <v>1915</v>
      </c>
      <c r="C371" s="25" t="s">
        <v>956</v>
      </c>
      <c r="D371" s="25" t="s">
        <v>1069</v>
      </c>
      <c r="E371" s="25" t="s">
        <v>876</v>
      </c>
      <c r="F371" s="25" t="s">
        <v>880</v>
      </c>
      <c r="G371" s="106">
        <v>9.86</v>
      </c>
      <c r="H371" s="107">
        <v>-7.7793895246963354</v>
      </c>
      <c r="I371" s="81">
        <v>-788984.73881301575</v>
      </c>
      <c r="J371" s="81">
        <v>14568722</v>
      </c>
      <c r="K371" s="82">
        <v>-5.4156070711831539E-2</v>
      </c>
      <c r="L371" s="110">
        <v>5.4156070711831539E-2</v>
      </c>
      <c r="M371" s="80"/>
    </row>
    <row r="372" spans="1:13" x14ac:dyDescent="0.2">
      <c r="A372" s="109" t="s">
        <v>1301</v>
      </c>
      <c r="B372" s="105" t="s">
        <v>1916</v>
      </c>
      <c r="C372" s="25" t="s">
        <v>1298</v>
      </c>
      <c r="D372" s="25" t="s">
        <v>1051</v>
      </c>
      <c r="E372" s="25" t="s">
        <v>876</v>
      </c>
      <c r="F372" s="25" t="s">
        <v>880</v>
      </c>
      <c r="G372" s="106">
        <v>63.4</v>
      </c>
      <c r="H372" s="107">
        <v>-5.4460706823292249</v>
      </c>
      <c r="I372" s="81">
        <v>-85900.168490997254</v>
      </c>
      <c r="J372" s="81">
        <v>1525890.75</v>
      </c>
      <c r="K372" s="82">
        <v>-5.6295097464217049E-2</v>
      </c>
      <c r="L372" s="110">
        <v>5.6295097464217049E-2</v>
      </c>
      <c r="M372" s="80"/>
    </row>
    <row r="373" spans="1:13" x14ac:dyDescent="0.2">
      <c r="A373" s="109" t="s">
        <v>271</v>
      </c>
      <c r="B373" s="105" t="s">
        <v>1917</v>
      </c>
      <c r="C373" s="25" t="s">
        <v>113</v>
      </c>
      <c r="D373" s="25" t="s">
        <v>1063</v>
      </c>
      <c r="E373" s="25" t="s">
        <v>876</v>
      </c>
      <c r="F373" s="25" t="s">
        <v>880</v>
      </c>
      <c r="G373" s="106">
        <v>78.569999999999993</v>
      </c>
      <c r="H373" s="107">
        <v>-18.241966960856619</v>
      </c>
      <c r="I373" s="81">
        <v>-232174.70995108338</v>
      </c>
      <c r="J373" s="81">
        <v>4030791</v>
      </c>
      <c r="K373" s="82">
        <v>-5.7600284894722492E-2</v>
      </c>
      <c r="L373" s="110">
        <v>5.7600284894722492E-2</v>
      </c>
      <c r="M373" s="80"/>
    </row>
    <row r="374" spans="1:13" x14ac:dyDescent="0.2">
      <c r="A374" s="109" t="s">
        <v>1237</v>
      </c>
      <c r="B374" s="105" t="s">
        <v>1918</v>
      </c>
      <c r="C374" s="25" t="s">
        <v>44</v>
      </c>
      <c r="D374" s="25" t="s">
        <v>1068</v>
      </c>
      <c r="E374" s="25" t="s">
        <v>876</v>
      </c>
      <c r="F374" s="25" t="s">
        <v>880</v>
      </c>
      <c r="G374" s="106">
        <v>35.46</v>
      </c>
      <c r="H374" s="107">
        <v>-5.3709412653088648</v>
      </c>
      <c r="I374" s="81">
        <v>-151464.78469568148</v>
      </c>
      <c r="J374" s="81">
        <v>2586681.25</v>
      </c>
      <c r="K374" s="82">
        <v>-5.8555643334748525E-2</v>
      </c>
      <c r="L374" s="110">
        <v>5.8555643334748525E-2</v>
      </c>
      <c r="M374" s="80"/>
    </row>
    <row r="375" spans="1:13" x14ac:dyDescent="0.2">
      <c r="A375" s="109" t="s">
        <v>1075</v>
      </c>
      <c r="B375" s="105" t="s">
        <v>1919</v>
      </c>
      <c r="C375" s="25" t="s">
        <v>620</v>
      </c>
      <c r="D375" s="25" t="s">
        <v>1054</v>
      </c>
      <c r="E375" s="25" t="s">
        <v>876</v>
      </c>
      <c r="F375" s="25" t="s">
        <v>880</v>
      </c>
      <c r="G375" s="106">
        <v>47.62</v>
      </c>
      <c r="H375" s="107">
        <v>-5.7062338765120968</v>
      </c>
      <c r="I375" s="81">
        <v>-119828.5148364573</v>
      </c>
      <c r="J375" s="81">
        <v>1984013.25</v>
      </c>
      <c r="K375" s="82">
        <v>-6.039703355633199E-2</v>
      </c>
      <c r="L375" s="110">
        <v>6.039703355633199E-2</v>
      </c>
      <c r="M375" s="80"/>
    </row>
    <row r="376" spans="1:13" x14ac:dyDescent="0.2">
      <c r="A376" s="109" t="s">
        <v>1189</v>
      </c>
      <c r="B376" s="105" t="s">
        <v>1920</v>
      </c>
      <c r="C376" s="25" t="s">
        <v>1</v>
      </c>
      <c r="D376" s="25" t="s">
        <v>1070</v>
      </c>
      <c r="E376" s="25" t="s">
        <v>876</v>
      </c>
      <c r="F376" s="25" t="s">
        <v>880</v>
      </c>
      <c r="G376" s="106">
        <v>85.31</v>
      </c>
      <c r="H376" s="107">
        <v>-5.0616496687176795</v>
      </c>
      <c r="I376" s="81">
        <v>-59332.430766823098</v>
      </c>
      <c r="J376" s="81">
        <v>960237.4375</v>
      </c>
      <c r="K376" s="82">
        <v>-6.1789332981326398E-2</v>
      </c>
      <c r="L376" s="110">
        <v>6.1789332981326398E-2</v>
      </c>
      <c r="M376" s="80"/>
    </row>
    <row r="377" spans="1:13" x14ac:dyDescent="0.2">
      <c r="A377" s="109" t="s">
        <v>1382</v>
      </c>
      <c r="B377" s="105" t="s">
        <v>1922</v>
      </c>
      <c r="C377" s="25" t="s">
        <v>1383</v>
      </c>
      <c r="D377" s="25" t="s">
        <v>1054</v>
      </c>
      <c r="E377" s="25" t="s">
        <v>876</v>
      </c>
      <c r="F377" s="25" t="s">
        <v>880</v>
      </c>
      <c r="G377" s="106">
        <v>74.2</v>
      </c>
      <c r="H377" s="107">
        <v>-10.378840751254611</v>
      </c>
      <c r="I377" s="81">
        <v>-139876.55998995432</v>
      </c>
      <c r="J377" s="81">
        <v>2156738.25</v>
      </c>
      <c r="K377" s="82">
        <v>-6.4855603126598382E-2</v>
      </c>
      <c r="L377" s="110">
        <v>6.4855603126598382E-2</v>
      </c>
      <c r="M377" s="80"/>
    </row>
    <row r="378" spans="1:13" x14ac:dyDescent="0.2">
      <c r="A378" s="109" t="s">
        <v>758</v>
      </c>
      <c r="B378" s="105" t="s">
        <v>1921</v>
      </c>
      <c r="C378" s="25" t="s">
        <v>957</v>
      </c>
      <c r="D378" s="25" t="s">
        <v>1068</v>
      </c>
      <c r="E378" s="25" t="s">
        <v>876</v>
      </c>
      <c r="F378" s="25" t="s">
        <v>880</v>
      </c>
      <c r="G378" s="106">
        <v>141.4</v>
      </c>
      <c r="H378" s="107">
        <v>-12.889231656887974</v>
      </c>
      <c r="I378" s="81">
        <v>-91154.39644192344</v>
      </c>
      <c r="J378" s="81">
        <v>1404691.5</v>
      </c>
      <c r="K378" s="82">
        <v>-6.4892822688770765E-2</v>
      </c>
      <c r="L378" s="110">
        <v>6.4892822688770765E-2</v>
      </c>
      <c r="M378" s="80"/>
    </row>
    <row r="379" spans="1:13" x14ac:dyDescent="0.2">
      <c r="A379" s="109" t="s">
        <v>243</v>
      </c>
      <c r="B379" s="105" t="s">
        <v>1923</v>
      </c>
      <c r="C379" s="25" t="s">
        <v>90</v>
      </c>
      <c r="D379" s="25" t="s">
        <v>1068</v>
      </c>
      <c r="E379" s="25" t="s">
        <v>876</v>
      </c>
      <c r="F379" s="25" t="s">
        <v>880</v>
      </c>
      <c r="G379" s="106">
        <v>118.3</v>
      </c>
      <c r="H379" s="107">
        <v>-5.1816125076879551</v>
      </c>
      <c r="I379" s="81">
        <v>-43800.612913676719</v>
      </c>
      <c r="J379" s="81">
        <v>668580.125</v>
      </c>
      <c r="K379" s="82">
        <v>-6.5512885106593199E-2</v>
      </c>
      <c r="L379" s="110">
        <v>6.5512885106593199E-2</v>
      </c>
      <c r="M379" s="80"/>
    </row>
    <row r="380" spans="1:13" x14ac:dyDescent="0.2">
      <c r="A380" s="109" t="s">
        <v>240</v>
      </c>
      <c r="B380" s="105" t="s">
        <v>1924</v>
      </c>
      <c r="C380" s="25" t="s">
        <v>88</v>
      </c>
      <c r="D380" s="25" t="s">
        <v>1067</v>
      </c>
      <c r="E380" s="25" t="s">
        <v>876</v>
      </c>
      <c r="F380" s="25" t="s">
        <v>880</v>
      </c>
      <c r="G380" s="106">
        <v>38.35</v>
      </c>
      <c r="H380" s="107">
        <v>-3.085495050481625</v>
      </c>
      <c r="I380" s="81">
        <v>-80456.194275922418</v>
      </c>
      <c r="J380" s="81">
        <v>1153400.25</v>
      </c>
      <c r="K380" s="82">
        <v>-6.975565878013501E-2</v>
      </c>
      <c r="L380" s="110">
        <v>6.975565878013501E-2</v>
      </c>
      <c r="M380" s="80"/>
    </row>
    <row r="381" spans="1:13" x14ac:dyDescent="0.2">
      <c r="A381" s="109" t="s">
        <v>296</v>
      </c>
      <c r="B381" s="105" t="s">
        <v>1925</v>
      </c>
      <c r="C381" s="25" t="s">
        <v>138</v>
      </c>
      <c r="D381" s="25" t="s">
        <v>1065</v>
      </c>
      <c r="E381" s="25" t="s">
        <v>876</v>
      </c>
      <c r="F381" s="25" t="s">
        <v>878</v>
      </c>
      <c r="G381" s="106">
        <v>90.72</v>
      </c>
      <c r="H381" s="107">
        <v>-18.250629199167186</v>
      </c>
      <c r="I381" s="81">
        <v>-201175.36595201923</v>
      </c>
      <c r="J381" s="81">
        <v>2691617.25</v>
      </c>
      <c r="K381" s="82">
        <v>-7.4741446226063241E-2</v>
      </c>
      <c r="L381" s="110">
        <v>7.4741446226063241E-2</v>
      </c>
      <c r="M381" s="80"/>
    </row>
    <row r="382" spans="1:13" x14ac:dyDescent="0.2">
      <c r="A382" s="109" t="s">
        <v>1243</v>
      </c>
      <c r="B382" s="105" t="s">
        <v>1926</v>
      </c>
      <c r="C382" s="25" t="s">
        <v>50</v>
      </c>
      <c r="D382" s="25" t="s">
        <v>1059</v>
      </c>
      <c r="E382" s="25" t="s">
        <v>876</v>
      </c>
      <c r="F382" s="25" t="s">
        <v>880</v>
      </c>
      <c r="G382" s="106">
        <v>67.92</v>
      </c>
      <c r="H382" s="107">
        <v>-8.3956985781459466</v>
      </c>
      <c r="I382" s="81">
        <v>-123611.58095032313</v>
      </c>
      <c r="J382" s="81">
        <v>1622993</v>
      </c>
      <c r="K382" s="82">
        <v>-7.616273203293121E-2</v>
      </c>
      <c r="L382" s="110">
        <v>7.616273203293121E-2</v>
      </c>
      <c r="M382" s="80"/>
    </row>
    <row r="383" spans="1:13" x14ac:dyDescent="0.2">
      <c r="A383" s="109" t="s">
        <v>1216</v>
      </c>
      <c r="B383" s="105" t="s">
        <v>1927</v>
      </c>
      <c r="C383" s="25" t="s">
        <v>25</v>
      </c>
      <c r="D383" s="25" t="s">
        <v>1063</v>
      </c>
      <c r="E383" s="25" t="s">
        <v>876</v>
      </c>
      <c r="F383" s="25" t="s">
        <v>878</v>
      </c>
      <c r="G383" s="106">
        <v>52.45</v>
      </c>
      <c r="H383" s="107">
        <v>-18.190381832911577</v>
      </c>
      <c r="I383" s="81">
        <v>-346813.76230527309</v>
      </c>
      <c r="J383" s="81">
        <v>4455603</v>
      </c>
      <c r="K383" s="82">
        <v>-7.7837671422986546E-2</v>
      </c>
      <c r="L383" s="110">
        <v>7.7837671422986546E-2</v>
      </c>
      <c r="M383" s="80"/>
    </row>
    <row r="384" spans="1:13" x14ac:dyDescent="0.2">
      <c r="A384" s="109" t="s">
        <v>1156</v>
      </c>
      <c r="B384" s="105" t="s">
        <v>1928</v>
      </c>
      <c r="C384" s="25" t="s">
        <v>688</v>
      </c>
      <c r="D384" s="25" t="s">
        <v>1052</v>
      </c>
      <c r="E384" s="25" t="s">
        <v>876</v>
      </c>
      <c r="F384" s="25" t="s">
        <v>880</v>
      </c>
      <c r="G384" s="106">
        <v>123.89</v>
      </c>
      <c r="H384" s="107">
        <v>-8.1230277978674756</v>
      </c>
      <c r="I384" s="81">
        <v>-65566.452480970809</v>
      </c>
      <c r="J384" s="81">
        <v>802350</v>
      </c>
      <c r="K384" s="82">
        <v>-8.1718018920634142E-2</v>
      </c>
      <c r="L384" s="110">
        <v>8.1718018920634142E-2</v>
      </c>
      <c r="M384" s="80"/>
    </row>
    <row r="385" spans="1:13" x14ac:dyDescent="0.2">
      <c r="A385" s="109" t="s">
        <v>1168</v>
      </c>
      <c r="B385" s="105" t="s">
        <v>1929</v>
      </c>
      <c r="C385" s="25" t="s">
        <v>1346</v>
      </c>
      <c r="D385" s="25" t="s">
        <v>1068</v>
      </c>
      <c r="E385" s="25" t="s">
        <v>876</v>
      </c>
      <c r="F385" s="25" t="s">
        <v>880</v>
      </c>
      <c r="G385" s="106">
        <v>67.709999999999994</v>
      </c>
      <c r="H385" s="107">
        <v>-12.537969775648467</v>
      </c>
      <c r="I385" s="81">
        <v>-185171.61092377</v>
      </c>
      <c r="J385" s="81">
        <v>2236578.5</v>
      </c>
      <c r="K385" s="82">
        <v>-8.2792359366671009E-2</v>
      </c>
      <c r="L385" s="110">
        <v>8.2792359366671009E-2</v>
      </c>
      <c r="M385" s="80"/>
    </row>
    <row r="386" spans="1:13" x14ac:dyDescent="0.2">
      <c r="A386" s="109" t="s">
        <v>931</v>
      </c>
      <c r="B386" s="105" t="s">
        <v>1930</v>
      </c>
      <c r="C386" s="25" t="s">
        <v>815</v>
      </c>
      <c r="D386" s="25" t="s">
        <v>1054</v>
      </c>
      <c r="E386" s="25" t="s">
        <v>876</v>
      </c>
      <c r="F386" s="25" t="s">
        <v>880</v>
      </c>
      <c r="G386" s="106">
        <v>119.92</v>
      </c>
      <c r="H386" s="107">
        <v>-63.655023969637718</v>
      </c>
      <c r="I386" s="81">
        <v>-530812.40801899368</v>
      </c>
      <c r="J386" s="81">
        <v>6222101</v>
      </c>
      <c r="K386" s="82">
        <v>-8.5310799040226717E-2</v>
      </c>
      <c r="L386" s="110">
        <v>8.5310799040226717E-2</v>
      </c>
      <c r="M386" s="80"/>
    </row>
    <row r="387" spans="1:13" x14ac:dyDescent="0.2">
      <c r="A387" s="109" t="s">
        <v>922</v>
      </c>
      <c r="B387" s="105" t="s">
        <v>1931</v>
      </c>
      <c r="C387" s="25" t="s">
        <v>808</v>
      </c>
      <c r="D387" s="25" t="s">
        <v>1054</v>
      </c>
      <c r="E387" s="25" t="s">
        <v>876</v>
      </c>
      <c r="F387" s="25" t="s">
        <v>880</v>
      </c>
      <c r="G387" s="106">
        <v>78.17</v>
      </c>
      <c r="H387" s="107">
        <v>-65.898600109530449</v>
      </c>
      <c r="I387" s="81">
        <v>-843016.50389574585</v>
      </c>
      <c r="J387" s="81">
        <v>9749055</v>
      </c>
      <c r="K387" s="82">
        <v>-8.6471612263521527E-2</v>
      </c>
      <c r="L387" s="110">
        <v>8.6471612263521527E-2</v>
      </c>
      <c r="M387" s="80"/>
    </row>
    <row r="388" spans="1:13" x14ac:dyDescent="0.2">
      <c r="A388" s="109" t="s">
        <v>1196</v>
      </c>
      <c r="B388" s="105" t="s">
        <v>1932</v>
      </c>
      <c r="C388" s="25" t="s">
        <v>7</v>
      </c>
      <c r="D388" s="25" t="s">
        <v>1074</v>
      </c>
      <c r="E388" s="25" t="s">
        <v>876</v>
      </c>
      <c r="F388" s="25" t="s">
        <v>880</v>
      </c>
      <c r="G388" s="106">
        <v>52.33</v>
      </c>
      <c r="H388" s="107">
        <v>-9.8264717000650457</v>
      </c>
      <c r="I388" s="81">
        <v>-187778.93560223671</v>
      </c>
      <c r="J388" s="81">
        <v>1955737.125</v>
      </c>
      <c r="K388" s="82">
        <v>-9.6014404595523906E-2</v>
      </c>
      <c r="L388" s="110">
        <v>9.6014404595523906E-2</v>
      </c>
      <c r="M388" s="80"/>
    </row>
    <row r="389" spans="1:13" x14ac:dyDescent="0.2">
      <c r="A389" s="109" t="s">
        <v>1104</v>
      </c>
      <c r="B389" s="105" t="s">
        <v>1934</v>
      </c>
      <c r="C389" s="25" t="s">
        <v>648</v>
      </c>
      <c r="D389" s="25" t="s">
        <v>1063</v>
      </c>
      <c r="E389" s="25" t="s">
        <v>876</v>
      </c>
      <c r="F389" s="25" t="s">
        <v>878</v>
      </c>
      <c r="G389" s="106">
        <v>39.020000000000003</v>
      </c>
      <c r="H389" s="107">
        <v>-29.673144166995797</v>
      </c>
      <c r="I389" s="81">
        <v>-760459.87101475638</v>
      </c>
      <c r="J389" s="81">
        <v>7808858.5</v>
      </c>
      <c r="K389" s="82">
        <v>-9.7384255459969774E-2</v>
      </c>
      <c r="L389" s="110">
        <v>9.7384255459969774E-2</v>
      </c>
      <c r="M389" s="80"/>
    </row>
    <row r="390" spans="1:13" x14ac:dyDescent="0.2">
      <c r="A390" s="109" t="s">
        <v>272</v>
      </c>
      <c r="B390" s="105" t="s">
        <v>1933</v>
      </c>
      <c r="C390" s="25" t="s">
        <v>114</v>
      </c>
      <c r="D390" s="25" t="s">
        <v>1059</v>
      </c>
      <c r="E390" s="25" t="s">
        <v>876</v>
      </c>
      <c r="F390" s="25" t="s">
        <v>880</v>
      </c>
      <c r="G390" s="106">
        <v>64.010000000000005</v>
      </c>
      <c r="H390" s="107">
        <v>-3.0074655179947216</v>
      </c>
      <c r="I390" s="81">
        <v>-46984.307420633042</v>
      </c>
      <c r="J390" s="81">
        <v>482369.15625</v>
      </c>
      <c r="K390" s="82">
        <v>-9.7403216627479056E-2</v>
      </c>
      <c r="L390" s="110">
        <v>9.7403216627479056E-2</v>
      </c>
      <c r="M390" s="80"/>
    </row>
    <row r="391" spans="1:13" x14ac:dyDescent="0.2">
      <c r="A391" s="109" t="s">
        <v>728</v>
      </c>
      <c r="B391" s="105" t="s">
        <v>1935</v>
      </c>
      <c r="C391" s="25" t="s">
        <v>597</v>
      </c>
      <c r="D391" s="25" t="s">
        <v>1063</v>
      </c>
      <c r="E391" s="25" t="s">
        <v>876</v>
      </c>
      <c r="F391" s="25" t="s">
        <v>880</v>
      </c>
      <c r="G391" s="106">
        <v>59.48</v>
      </c>
      <c r="H391" s="107">
        <v>-11.307614701947196</v>
      </c>
      <c r="I391" s="81">
        <v>-190107.84636763946</v>
      </c>
      <c r="J391" s="81">
        <v>1945631.375</v>
      </c>
      <c r="K391" s="82">
        <v>-9.7710105218486956E-2</v>
      </c>
      <c r="L391" s="110">
        <v>9.7710105218486956E-2</v>
      </c>
      <c r="M391" s="80"/>
    </row>
    <row r="392" spans="1:13" x14ac:dyDescent="0.2">
      <c r="A392" s="109" t="s">
        <v>909</v>
      </c>
      <c r="B392" s="105" t="s">
        <v>1936</v>
      </c>
      <c r="C392" s="25" t="s">
        <v>1459</v>
      </c>
      <c r="D392" s="25" t="s">
        <v>1073</v>
      </c>
      <c r="E392" s="25" t="s">
        <v>876</v>
      </c>
      <c r="F392" s="25" t="s">
        <v>880</v>
      </c>
      <c r="G392" s="106">
        <v>93.08</v>
      </c>
      <c r="H392" s="107">
        <v>-41.350454424581017</v>
      </c>
      <c r="I392" s="81">
        <v>-444246.3947634403</v>
      </c>
      <c r="J392" s="81">
        <v>4527796</v>
      </c>
      <c r="K392" s="82">
        <v>-9.8115373299380165E-2</v>
      </c>
      <c r="L392" s="110">
        <v>9.8115373299380165E-2</v>
      </c>
      <c r="M392" s="80"/>
    </row>
    <row r="393" spans="1:13" x14ac:dyDescent="0.2">
      <c r="A393" s="109" t="s">
        <v>276</v>
      </c>
      <c r="B393" s="105" t="s">
        <v>1937</v>
      </c>
      <c r="C393" s="25" t="s">
        <v>118</v>
      </c>
      <c r="D393" s="25" t="s">
        <v>1057</v>
      </c>
      <c r="E393" s="25" t="s">
        <v>876</v>
      </c>
      <c r="F393" s="25" t="s">
        <v>880</v>
      </c>
      <c r="G393" s="106">
        <v>76.03</v>
      </c>
      <c r="H393" s="107">
        <v>-17.396387419151569</v>
      </c>
      <c r="I393" s="81">
        <v>-228809.51491715864</v>
      </c>
      <c r="J393" s="81">
        <v>2330736.75</v>
      </c>
      <c r="K393" s="82">
        <v>-9.8170466877976953E-2</v>
      </c>
      <c r="L393" s="110">
        <v>9.8170466877976953E-2</v>
      </c>
      <c r="M393" s="80"/>
    </row>
    <row r="394" spans="1:13" x14ac:dyDescent="0.2">
      <c r="A394" s="109" t="s">
        <v>305</v>
      </c>
      <c r="B394" s="105" t="s">
        <v>1938</v>
      </c>
      <c r="C394" s="25" t="s">
        <v>201</v>
      </c>
      <c r="D394" s="25" t="s">
        <v>1056</v>
      </c>
      <c r="E394" s="25" t="s">
        <v>876</v>
      </c>
      <c r="F394" s="25" t="s">
        <v>880</v>
      </c>
      <c r="G394" s="106">
        <v>75.22</v>
      </c>
      <c r="H394" s="107">
        <v>-17.854966066342612</v>
      </c>
      <c r="I394" s="81">
        <v>-237369.92909256334</v>
      </c>
      <c r="J394" s="81">
        <v>2304230.25</v>
      </c>
      <c r="K394" s="82">
        <v>-0.10301484805720407</v>
      </c>
      <c r="L394" s="110">
        <v>0.10301484805720407</v>
      </c>
      <c r="M394" s="80"/>
    </row>
    <row r="395" spans="1:13" x14ac:dyDescent="0.2">
      <c r="A395" s="109" t="s">
        <v>1129</v>
      </c>
      <c r="B395" s="105" t="s">
        <v>1939</v>
      </c>
      <c r="C395" s="25" t="s">
        <v>666</v>
      </c>
      <c r="D395" s="25" t="s">
        <v>1068</v>
      </c>
      <c r="E395" s="25" t="s">
        <v>876</v>
      </c>
      <c r="F395" s="25" t="s">
        <v>880</v>
      </c>
      <c r="G395" s="106">
        <v>125.49</v>
      </c>
      <c r="H395" s="107">
        <v>-14.688489732854977</v>
      </c>
      <c r="I395" s="81">
        <v>-117049.08544788411</v>
      </c>
      <c r="J395" s="81">
        <v>1121409</v>
      </c>
      <c r="K395" s="82">
        <v>-0.10437680226205079</v>
      </c>
      <c r="L395" s="110">
        <v>0.10437680226205079</v>
      </c>
      <c r="M395" s="80"/>
    </row>
    <row r="396" spans="1:13" x14ac:dyDescent="0.2">
      <c r="A396" s="109" t="s">
        <v>208</v>
      </c>
      <c r="B396" s="105" t="s">
        <v>1940</v>
      </c>
      <c r="C396" s="25" t="s">
        <v>60</v>
      </c>
      <c r="D396" s="25" t="s">
        <v>1061</v>
      </c>
      <c r="E396" s="25" t="s">
        <v>876</v>
      </c>
      <c r="F396" s="25" t="s">
        <v>880</v>
      </c>
      <c r="G396" s="106">
        <v>69.89</v>
      </c>
      <c r="H396" s="107">
        <v>-5.5572326908838949</v>
      </c>
      <c r="I396" s="81">
        <v>-79513.988995334032</v>
      </c>
      <c r="J396" s="81">
        <v>757097.4375</v>
      </c>
      <c r="K396" s="82">
        <v>-0.1050247762796503</v>
      </c>
      <c r="L396" s="110">
        <v>0.1050247762796503</v>
      </c>
      <c r="M396" s="80"/>
    </row>
    <row r="397" spans="1:13" x14ac:dyDescent="0.2">
      <c r="A397" s="109" t="s">
        <v>1187</v>
      </c>
      <c r="B397" s="105" t="s">
        <v>1941</v>
      </c>
      <c r="C397" s="25" t="s">
        <v>0</v>
      </c>
      <c r="D397" s="25" t="s">
        <v>1074</v>
      </c>
      <c r="E397" s="25" t="s">
        <v>876</v>
      </c>
      <c r="F397" s="25" t="s">
        <v>880</v>
      </c>
      <c r="G397" s="106">
        <v>28.93</v>
      </c>
      <c r="H397" s="107">
        <v>-8.434980214509272</v>
      </c>
      <c r="I397" s="81">
        <v>-291565.16469095304</v>
      </c>
      <c r="J397" s="81">
        <v>2742472.25</v>
      </c>
      <c r="K397" s="82">
        <v>-0.10631471829512698</v>
      </c>
      <c r="L397" s="110">
        <v>0.10631471829512698</v>
      </c>
      <c r="M397" s="80"/>
    </row>
    <row r="398" spans="1:13" x14ac:dyDescent="0.2">
      <c r="A398" s="109" t="s">
        <v>723</v>
      </c>
      <c r="B398" s="105" t="s">
        <v>1942</v>
      </c>
      <c r="C398" s="25" t="s">
        <v>594</v>
      </c>
      <c r="D398" s="25" t="s">
        <v>1051</v>
      </c>
      <c r="E398" s="25" t="s">
        <v>876</v>
      </c>
      <c r="F398" s="25" t="s">
        <v>880</v>
      </c>
      <c r="G398" s="106">
        <v>124.81</v>
      </c>
      <c r="H398" s="107">
        <v>-7.6607370760467006</v>
      </c>
      <c r="I398" s="81">
        <v>-61379.19298170579</v>
      </c>
      <c r="J398" s="81">
        <v>574051.3125</v>
      </c>
      <c r="K398" s="82">
        <v>-0.10692283363032254</v>
      </c>
      <c r="L398" s="110">
        <v>0.10692283363032254</v>
      </c>
      <c r="M398" s="80"/>
    </row>
    <row r="399" spans="1:13" x14ac:dyDescent="0.2">
      <c r="A399" s="109" t="s">
        <v>948</v>
      </c>
      <c r="B399" s="105" t="s">
        <v>1944</v>
      </c>
      <c r="C399" s="25" t="s">
        <v>831</v>
      </c>
      <c r="D399" s="25" t="s">
        <v>1071</v>
      </c>
      <c r="E399" s="25" t="s">
        <v>876</v>
      </c>
      <c r="F399" s="25" t="s">
        <v>880</v>
      </c>
      <c r="G399" s="106">
        <v>94.01</v>
      </c>
      <c r="H399" s="107">
        <v>-11.863330034185532</v>
      </c>
      <c r="I399" s="81">
        <v>-126192.21395793564</v>
      </c>
      <c r="J399" s="81">
        <v>1179408.75</v>
      </c>
      <c r="K399" s="82">
        <v>-0.1069961656278501</v>
      </c>
      <c r="L399" s="110">
        <v>0.1069961656278501</v>
      </c>
      <c r="M399" s="80"/>
    </row>
    <row r="400" spans="1:13" x14ac:dyDescent="0.2">
      <c r="A400" s="109" t="s">
        <v>903</v>
      </c>
      <c r="B400" s="105" t="s">
        <v>1943</v>
      </c>
      <c r="C400" s="25" t="s">
        <v>1478</v>
      </c>
      <c r="D400" s="25" t="s">
        <v>1072</v>
      </c>
      <c r="E400" s="25" t="s">
        <v>876</v>
      </c>
      <c r="F400" s="25" t="s">
        <v>880</v>
      </c>
      <c r="G400" s="106">
        <v>65.66</v>
      </c>
      <c r="H400" s="107">
        <v>-48.951011843807237</v>
      </c>
      <c r="I400" s="81">
        <v>-745522.56844056107</v>
      </c>
      <c r="J400" s="81">
        <v>6928208</v>
      </c>
      <c r="K400" s="82">
        <v>-0.10760683981204967</v>
      </c>
      <c r="L400" s="110">
        <v>0.10760683981204967</v>
      </c>
      <c r="M400" s="80"/>
    </row>
    <row r="401" spans="1:13" x14ac:dyDescent="0.2">
      <c r="A401" s="109" t="s">
        <v>926</v>
      </c>
      <c r="B401" s="105" t="s">
        <v>1945</v>
      </c>
      <c r="C401" s="25" t="s">
        <v>811</v>
      </c>
      <c r="D401" s="25" t="s">
        <v>1063</v>
      </c>
      <c r="E401" s="25" t="s">
        <v>876</v>
      </c>
      <c r="F401" s="25" t="s">
        <v>880</v>
      </c>
      <c r="G401" s="106">
        <v>135.24</v>
      </c>
      <c r="H401" s="107">
        <v>-60.372753237028967</v>
      </c>
      <c r="I401" s="81">
        <v>-446411.9582743934</v>
      </c>
      <c r="J401" s="81">
        <v>4004125.5</v>
      </c>
      <c r="K401" s="82">
        <v>-0.11148800362885564</v>
      </c>
      <c r="L401" s="110">
        <v>0.11148800362885564</v>
      </c>
      <c r="M401" s="80"/>
    </row>
    <row r="402" spans="1:13" x14ac:dyDescent="0.2">
      <c r="A402" s="109" t="s">
        <v>223</v>
      </c>
      <c r="B402" s="105" t="s">
        <v>1946</v>
      </c>
      <c r="C402" s="25" t="s">
        <v>73</v>
      </c>
      <c r="D402" s="25" t="s">
        <v>1059</v>
      </c>
      <c r="E402" s="25" t="s">
        <v>876</v>
      </c>
      <c r="F402" s="25" t="s">
        <v>880</v>
      </c>
      <c r="G402" s="106">
        <v>49.13</v>
      </c>
      <c r="H402" s="107">
        <v>-6.2631128407457473</v>
      </c>
      <c r="I402" s="81">
        <v>-127480.41605425905</v>
      </c>
      <c r="J402" s="81">
        <v>1140937</v>
      </c>
      <c r="K402" s="82">
        <v>-0.11173308960464869</v>
      </c>
      <c r="L402" s="110">
        <v>0.11173308960464869</v>
      </c>
      <c r="M402" s="80"/>
    </row>
    <row r="403" spans="1:13" x14ac:dyDescent="0.2">
      <c r="A403" s="109" t="s">
        <v>891</v>
      </c>
      <c r="B403" s="105" t="s">
        <v>1947</v>
      </c>
      <c r="C403" s="25" t="s">
        <v>779</v>
      </c>
      <c r="D403" s="25" t="s">
        <v>1059</v>
      </c>
      <c r="E403" s="25" t="s">
        <v>876</v>
      </c>
      <c r="F403" s="25" t="s">
        <v>880</v>
      </c>
      <c r="G403" s="106">
        <v>68.739999999999995</v>
      </c>
      <c r="H403" s="107">
        <v>-12.066696052328423</v>
      </c>
      <c r="I403" s="81">
        <v>-175541.11219564188</v>
      </c>
      <c r="J403" s="81">
        <v>1507032</v>
      </c>
      <c r="K403" s="82">
        <v>-0.11648134359167017</v>
      </c>
      <c r="L403" s="110">
        <v>0.11648134359167017</v>
      </c>
      <c r="M403" s="80"/>
    </row>
    <row r="404" spans="1:13" x14ac:dyDescent="0.2">
      <c r="A404" s="109" t="s">
        <v>912</v>
      </c>
      <c r="B404" s="105" t="s">
        <v>1948</v>
      </c>
      <c r="C404" s="25" t="s">
        <v>798</v>
      </c>
      <c r="D404" s="25" t="s">
        <v>1072</v>
      </c>
      <c r="E404" s="25" t="s">
        <v>876</v>
      </c>
      <c r="F404" s="25" t="s">
        <v>880</v>
      </c>
      <c r="G404" s="106">
        <v>94.87</v>
      </c>
      <c r="H404" s="107">
        <v>-94.935870588351889</v>
      </c>
      <c r="I404" s="81">
        <v>-1000694.3247428258</v>
      </c>
      <c r="J404" s="81">
        <v>8281446</v>
      </c>
      <c r="K404" s="82">
        <v>-0.12083570003871616</v>
      </c>
      <c r="L404" s="110">
        <v>0.12083570003871616</v>
      </c>
      <c r="M404" s="80"/>
    </row>
    <row r="405" spans="1:13" x14ac:dyDescent="0.2">
      <c r="A405" s="109" t="s">
        <v>1103</v>
      </c>
      <c r="B405" s="105" t="s">
        <v>1949</v>
      </c>
      <c r="C405" s="25" t="s">
        <v>647</v>
      </c>
      <c r="D405" s="25" t="s">
        <v>1069</v>
      </c>
      <c r="E405" s="25" t="s">
        <v>876</v>
      </c>
      <c r="F405" s="25" t="s">
        <v>880</v>
      </c>
      <c r="G405" s="106">
        <v>38.090000000000003</v>
      </c>
      <c r="H405" s="107">
        <v>-14.634889638595496</v>
      </c>
      <c r="I405" s="81">
        <v>-384218.68308205553</v>
      </c>
      <c r="J405" s="81">
        <v>3052151.75</v>
      </c>
      <c r="K405" s="82">
        <v>-0.12588452821261445</v>
      </c>
      <c r="L405" s="110">
        <v>0.12588452821261445</v>
      </c>
      <c r="M405" s="80"/>
    </row>
    <row r="406" spans="1:13" x14ac:dyDescent="0.2">
      <c r="A406" s="109" t="s">
        <v>1553</v>
      </c>
      <c r="B406" s="105" t="s">
        <v>2060</v>
      </c>
      <c r="C406" s="25" t="s">
        <v>2114</v>
      </c>
      <c r="D406" s="25" t="s">
        <v>1054</v>
      </c>
      <c r="E406" s="25" t="s">
        <v>876</v>
      </c>
      <c r="F406" s="25" t="s">
        <v>880</v>
      </c>
      <c r="G406" s="106">
        <v>408.07</v>
      </c>
      <c r="H406" s="107">
        <v>-8.1465364775021651</v>
      </c>
      <c r="I406" s="81">
        <v>-19963.576047007045</v>
      </c>
      <c r="J406" s="81">
        <v>157083.09375</v>
      </c>
      <c r="K406" s="82">
        <v>-0.12708927211975696</v>
      </c>
      <c r="L406" s="110">
        <v>0.12708927211975696</v>
      </c>
      <c r="M406" s="80"/>
    </row>
    <row r="407" spans="1:13" x14ac:dyDescent="0.2">
      <c r="A407" s="109" t="s">
        <v>284</v>
      </c>
      <c r="B407" s="105" t="s">
        <v>1950</v>
      </c>
      <c r="C407" s="25" t="s">
        <v>126</v>
      </c>
      <c r="D407" s="25" t="s">
        <v>1064</v>
      </c>
      <c r="E407" s="25" t="s">
        <v>876</v>
      </c>
      <c r="F407" s="25" t="s">
        <v>880</v>
      </c>
      <c r="G407" s="106">
        <v>55.63</v>
      </c>
      <c r="H407" s="107">
        <v>-43.309084325114341</v>
      </c>
      <c r="I407" s="81">
        <v>-778520.30064918834</v>
      </c>
      <c r="J407" s="81">
        <v>6066819.5</v>
      </c>
      <c r="K407" s="82">
        <v>-0.1283242893000506</v>
      </c>
      <c r="L407" s="110">
        <v>0.1283242893000506</v>
      </c>
      <c r="M407" s="80"/>
    </row>
    <row r="408" spans="1:13" x14ac:dyDescent="0.2">
      <c r="A408" s="109" t="s">
        <v>1335</v>
      </c>
      <c r="B408" s="105" t="s">
        <v>1951</v>
      </c>
      <c r="C408" s="25" t="s">
        <v>1348</v>
      </c>
      <c r="D408" s="25" t="s">
        <v>1052</v>
      </c>
      <c r="E408" s="25" t="s">
        <v>876</v>
      </c>
      <c r="F408" s="25" t="s">
        <v>880</v>
      </c>
      <c r="G408" s="106">
        <v>79.67</v>
      </c>
      <c r="H408" s="107">
        <v>-31.304694951087882</v>
      </c>
      <c r="I408" s="81">
        <v>-392929.52116339759</v>
      </c>
      <c r="J408" s="81">
        <v>2995395.75</v>
      </c>
      <c r="K408" s="82">
        <v>-0.13117783223248466</v>
      </c>
      <c r="L408" s="110">
        <v>0.13117783223248466</v>
      </c>
      <c r="M408" s="80"/>
    </row>
    <row r="409" spans="1:13" x14ac:dyDescent="0.2">
      <c r="A409" s="109" t="s">
        <v>900</v>
      </c>
      <c r="B409" s="105" t="s">
        <v>1952</v>
      </c>
      <c r="C409" s="25" t="s">
        <v>789</v>
      </c>
      <c r="D409" s="25" t="s">
        <v>1069</v>
      </c>
      <c r="E409" s="25" t="s">
        <v>876</v>
      </c>
      <c r="F409" s="25" t="s">
        <v>880</v>
      </c>
      <c r="G409" s="106">
        <v>47.26</v>
      </c>
      <c r="H409" s="107">
        <v>-102.14630478810653</v>
      </c>
      <c r="I409" s="81">
        <v>-2161369.1237432617</v>
      </c>
      <c r="J409" s="81">
        <v>15837723</v>
      </c>
      <c r="K409" s="82">
        <v>-0.13646968846110402</v>
      </c>
      <c r="L409" s="110">
        <v>0.13646968846110402</v>
      </c>
      <c r="M409" s="80"/>
    </row>
    <row r="410" spans="1:13" x14ac:dyDescent="0.2">
      <c r="A410" s="109" t="s">
        <v>1076</v>
      </c>
      <c r="B410" s="105" t="s">
        <v>1953</v>
      </c>
      <c r="C410" s="25" t="s">
        <v>621</v>
      </c>
      <c r="D410" s="25" t="s">
        <v>1053</v>
      </c>
      <c r="E410" s="25" t="s">
        <v>876</v>
      </c>
      <c r="F410" s="25" t="s">
        <v>878</v>
      </c>
      <c r="G410" s="106">
        <v>86.31</v>
      </c>
      <c r="H410" s="107">
        <v>-22.036320154903457</v>
      </c>
      <c r="I410" s="81">
        <v>-255315.95591360744</v>
      </c>
      <c r="J410" s="81">
        <v>1840808.625</v>
      </c>
      <c r="K410" s="82">
        <v>-0.13869771819088877</v>
      </c>
      <c r="L410" s="110">
        <v>0.13869771819088877</v>
      </c>
      <c r="M410" s="80"/>
    </row>
    <row r="411" spans="1:13" x14ac:dyDescent="0.2">
      <c r="A411" s="109" t="s">
        <v>1271</v>
      </c>
      <c r="B411" s="105" t="s">
        <v>1954</v>
      </c>
      <c r="C411" s="25" t="s">
        <v>1262</v>
      </c>
      <c r="D411" s="25" t="s">
        <v>1057</v>
      </c>
      <c r="E411" s="25" t="s">
        <v>876</v>
      </c>
      <c r="F411" s="25" t="s">
        <v>880</v>
      </c>
      <c r="G411" s="106">
        <v>83.69</v>
      </c>
      <c r="H411" s="107">
        <v>-12.766382680303478</v>
      </c>
      <c r="I411" s="81">
        <v>-152543.70510578898</v>
      </c>
      <c r="J411" s="81">
        <v>1075809.25</v>
      </c>
      <c r="K411" s="82">
        <v>-0.14179437953874163</v>
      </c>
      <c r="L411" s="110">
        <v>0.14179437953874163</v>
      </c>
      <c r="M411" s="80"/>
    </row>
    <row r="412" spans="1:13" x14ac:dyDescent="0.2">
      <c r="A412" s="109" t="s">
        <v>1142</v>
      </c>
      <c r="B412" s="105" t="s">
        <v>1955</v>
      </c>
      <c r="C412" s="25" t="s">
        <v>677</v>
      </c>
      <c r="D412" s="25" t="s">
        <v>1068</v>
      </c>
      <c r="E412" s="25" t="s">
        <v>876</v>
      </c>
      <c r="F412" s="25" t="s">
        <v>878</v>
      </c>
      <c r="G412" s="106">
        <v>86.93</v>
      </c>
      <c r="H412" s="107">
        <v>-52.155576966362908</v>
      </c>
      <c r="I412" s="81">
        <v>-599972.12661179004</v>
      </c>
      <c r="J412" s="81">
        <v>4224537</v>
      </c>
      <c r="K412" s="82">
        <v>-0.14202080053075403</v>
      </c>
      <c r="L412" s="110">
        <v>0.14202080053075403</v>
      </c>
      <c r="M412" s="80"/>
    </row>
    <row r="413" spans="1:13" x14ac:dyDescent="0.2">
      <c r="A413" s="109" t="s">
        <v>259</v>
      </c>
      <c r="B413" s="105" t="s">
        <v>1956</v>
      </c>
      <c r="C413" s="25" t="s">
        <v>102</v>
      </c>
      <c r="D413" s="25" t="s">
        <v>1069</v>
      </c>
      <c r="E413" s="25" t="s">
        <v>876</v>
      </c>
      <c r="F413" s="25" t="s">
        <v>880</v>
      </c>
      <c r="G413" s="106">
        <v>43.58</v>
      </c>
      <c r="H413" s="107">
        <v>-17.823961100846727</v>
      </c>
      <c r="I413" s="81">
        <v>-408994.05922089785</v>
      </c>
      <c r="J413" s="81">
        <v>2841929</v>
      </c>
      <c r="K413" s="82">
        <v>-0.14391424248139129</v>
      </c>
      <c r="L413" s="110">
        <v>0.14391424248139129</v>
      </c>
      <c r="M413" s="80"/>
    </row>
    <row r="414" spans="1:13" x14ac:dyDescent="0.2">
      <c r="A414" s="109" t="s">
        <v>944</v>
      </c>
      <c r="B414" s="105" t="s">
        <v>1957</v>
      </c>
      <c r="C414" s="25" t="s">
        <v>827</v>
      </c>
      <c r="D414" s="25" t="s">
        <v>1061</v>
      </c>
      <c r="E414" s="25" t="s">
        <v>876</v>
      </c>
      <c r="F414" s="25" t="s">
        <v>880</v>
      </c>
      <c r="G414" s="106">
        <v>31.41</v>
      </c>
      <c r="H414" s="107">
        <v>-51.321772105750114</v>
      </c>
      <c r="I414" s="81">
        <v>-1633930.9807624994</v>
      </c>
      <c r="J414" s="81">
        <v>10950333</v>
      </c>
      <c r="K414" s="82">
        <v>-0.14921290345805002</v>
      </c>
      <c r="L414" s="110">
        <v>0.14921290345805002</v>
      </c>
      <c r="M414" s="80"/>
    </row>
    <row r="415" spans="1:13" x14ac:dyDescent="0.2">
      <c r="A415" s="109" t="s">
        <v>1198</v>
      </c>
      <c r="B415" s="105" t="s">
        <v>1958</v>
      </c>
      <c r="C415" s="25" t="s">
        <v>9</v>
      </c>
      <c r="D415" s="25" t="s">
        <v>1065</v>
      </c>
      <c r="E415" s="25" t="s">
        <v>876</v>
      </c>
      <c r="F415" s="25" t="s">
        <v>880</v>
      </c>
      <c r="G415" s="106">
        <v>24.55</v>
      </c>
      <c r="H415" s="107">
        <v>-7.1150007339560482</v>
      </c>
      <c r="I415" s="81">
        <v>-289816.73050737468</v>
      </c>
      <c r="J415" s="81">
        <v>1933302.5</v>
      </c>
      <c r="K415" s="82">
        <v>-0.14990759620254704</v>
      </c>
      <c r="L415" s="110">
        <v>0.14990759620254704</v>
      </c>
      <c r="M415" s="80"/>
    </row>
    <row r="416" spans="1:13" x14ac:dyDescent="0.2">
      <c r="A416" s="109" t="s">
        <v>934</v>
      </c>
      <c r="B416" s="105" t="s">
        <v>1959</v>
      </c>
      <c r="C416" s="25" t="s">
        <v>818</v>
      </c>
      <c r="D416" s="25" t="s">
        <v>1068</v>
      </c>
      <c r="E416" s="25" t="s">
        <v>876</v>
      </c>
      <c r="F416" s="25" t="s">
        <v>878</v>
      </c>
      <c r="G416" s="106">
        <v>244.3</v>
      </c>
      <c r="H416" s="107">
        <v>-268.24941756034502</v>
      </c>
      <c r="I416" s="81">
        <v>-1098032.8185032539</v>
      </c>
      <c r="J416" s="81">
        <v>6933639</v>
      </c>
      <c r="K416" s="82">
        <v>-0.15836313637085142</v>
      </c>
      <c r="L416" s="110">
        <v>0.15836313637085142</v>
      </c>
      <c r="M416" s="80"/>
    </row>
    <row r="417" spans="1:13" x14ac:dyDescent="0.2">
      <c r="A417" s="109" t="s">
        <v>1136</v>
      </c>
      <c r="B417" s="105" t="s">
        <v>1960</v>
      </c>
      <c r="C417" s="25" t="s">
        <v>2115</v>
      </c>
      <c r="D417" s="25" t="s">
        <v>1071</v>
      </c>
      <c r="E417" s="25" t="s">
        <v>876</v>
      </c>
      <c r="F417" s="25" t="s">
        <v>880</v>
      </c>
      <c r="G417" s="106">
        <v>28.38</v>
      </c>
      <c r="H417" s="107">
        <v>-20.801129072689182</v>
      </c>
      <c r="I417" s="81">
        <v>-732950.28444993601</v>
      </c>
      <c r="J417" s="81">
        <v>4615359</v>
      </c>
      <c r="K417" s="82">
        <v>-0.15880677634176149</v>
      </c>
      <c r="L417" s="110">
        <v>0.15880677634176149</v>
      </c>
      <c r="M417" s="80"/>
    </row>
    <row r="418" spans="1:13" x14ac:dyDescent="0.2">
      <c r="A418" s="109" t="s">
        <v>715</v>
      </c>
      <c r="B418" s="105" t="s">
        <v>1961</v>
      </c>
      <c r="C418" s="25" t="s">
        <v>588</v>
      </c>
      <c r="D418" s="25" t="s">
        <v>1074</v>
      </c>
      <c r="E418" s="25" t="s">
        <v>876</v>
      </c>
      <c r="F418" s="25" t="s">
        <v>880</v>
      </c>
      <c r="G418" s="106">
        <v>34</v>
      </c>
      <c r="H418" s="107">
        <v>-10.031260952563301</v>
      </c>
      <c r="I418" s="81">
        <v>-295037.08684009709</v>
      </c>
      <c r="J418" s="81">
        <v>1767226.25</v>
      </c>
      <c r="K418" s="82">
        <v>-0.1669492442408532</v>
      </c>
      <c r="L418" s="110">
        <v>0.1669492442408532</v>
      </c>
      <c r="M418" s="80"/>
    </row>
    <row r="419" spans="1:13" x14ac:dyDescent="0.2">
      <c r="A419" s="109" t="s">
        <v>747</v>
      </c>
      <c r="B419" s="105" t="s">
        <v>1962</v>
      </c>
      <c r="C419" s="25" t="s">
        <v>617</v>
      </c>
      <c r="D419" s="25" t="s">
        <v>1068</v>
      </c>
      <c r="E419" s="25" t="s">
        <v>876</v>
      </c>
      <c r="F419" s="25" t="s">
        <v>880</v>
      </c>
      <c r="G419" s="106">
        <v>82.89</v>
      </c>
      <c r="H419" s="107">
        <v>-19.375553615969682</v>
      </c>
      <c r="I419" s="81">
        <v>-233750.19442598245</v>
      </c>
      <c r="J419" s="81">
        <v>1386494.25</v>
      </c>
      <c r="K419" s="82">
        <v>-0.16859081415302116</v>
      </c>
      <c r="L419" s="110">
        <v>0.16859081415302116</v>
      </c>
      <c r="M419" s="80"/>
    </row>
    <row r="420" spans="1:13" x14ac:dyDescent="0.2">
      <c r="A420" s="109" t="s">
        <v>233</v>
      </c>
      <c r="B420" s="105" t="s">
        <v>1963</v>
      </c>
      <c r="C420" s="25" t="s">
        <v>81</v>
      </c>
      <c r="D420" s="25" t="s">
        <v>1059</v>
      </c>
      <c r="E420" s="25" t="s">
        <v>876</v>
      </c>
      <c r="F420" s="25" t="s">
        <v>880</v>
      </c>
      <c r="G420" s="106">
        <v>78.61</v>
      </c>
      <c r="H420" s="107">
        <v>-30.591114170380134</v>
      </c>
      <c r="I420" s="81">
        <v>-389150.4156008159</v>
      </c>
      <c r="J420" s="81">
        <v>2276552.75</v>
      </c>
      <c r="K420" s="82">
        <v>-0.17093845754323764</v>
      </c>
      <c r="L420" s="110">
        <v>0.17093845754323764</v>
      </c>
      <c r="M420" s="80"/>
    </row>
    <row r="421" spans="1:13" x14ac:dyDescent="0.2">
      <c r="A421" s="109" t="s">
        <v>766</v>
      </c>
      <c r="B421" s="105" t="s">
        <v>1964</v>
      </c>
      <c r="C421" s="25" t="s">
        <v>965</v>
      </c>
      <c r="D421" s="25" t="s">
        <v>1069</v>
      </c>
      <c r="E421" s="25" t="s">
        <v>876</v>
      </c>
      <c r="F421" s="25" t="s">
        <v>880</v>
      </c>
      <c r="G421" s="106">
        <v>43.84</v>
      </c>
      <c r="H421" s="107">
        <v>-40.372559838289995</v>
      </c>
      <c r="I421" s="81">
        <v>-920906.93061792862</v>
      </c>
      <c r="J421" s="81">
        <v>5380809.5</v>
      </c>
      <c r="K421" s="82">
        <v>-0.17114654042629249</v>
      </c>
      <c r="L421" s="110">
        <v>0.17114654042629249</v>
      </c>
      <c r="M421" s="80"/>
    </row>
    <row r="422" spans="1:13" x14ac:dyDescent="0.2">
      <c r="A422" s="109" t="s">
        <v>762</v>
      </c>
      <c r="B422" s="105" t="s">
        <v>1965</v>
      </c>
      <c r="C422" s="25" t="s">
        <v>961</v>
      </c>
      <c r="D422" s="25" t="s">
        <v>1072</v>
      </c>
      <c r="E422" s="25" t="s">
        <v>876</v>
      </c>
      <c r="F422" s="25" t="s">
        <v>880</v>
      </c>
      <c r="G422" s="106">
        <v>79.14</v>
      </c>
      <c r="H422" s="107">
        <v>-51.638968541898912</v>
      </c>
      <c r="I422" s="81">
        <v>-652501.49787590234</v>
      </c>
      <c r="J422" s="81">
        <v>3636583.25</v>
      </c>
      <c r="K422" s="82">
        <v>-0.17942707564192359</v>
      </c>
      <c r="L422" s="110">
        <v>0.17942707564192359</v>
      </c>
      <c r="M422" s="80"/>
    </row>
    <row r="423" spans="1:13" x14ac:dyDescent="0.2">
      <c r="A423" s="109" t="s">
        <v>1451</v>
      </c>
      <c r="B423" s="105" t="s">
        <v>1966</v>
      </c>
      <c r="C423" s="25" t="s">
        <v>1471</v>
      </c>
      <c r="D423" s="25" t="s">
        <v>1072</v>
      </c>
      <c r="E423" s="25" t="s">
        <v>876</v>
      </c>
      <c r="F423" s="25" t="s">
        <v>880</v>
      </c>
      <c r="G423" s="106">
        <v>20.43</v>
      </c>
      <c r="H423" s="107">
        <v>-5.8330393163765804</v>
      </c>
      <c r="I423" s="81">
        <v>-285513.42713541765</v>
      </c>
      <c r="J423" s="81">
        <v>1581697.5</v>
      </c>
      <c r="K423" s="82">
        <v>-0.1805107658926044</v>
      </c>
      <c r="L423" s="110">
        <v>0.1805107658926044</v>
      </c>
      <c r="M423" s="80"/>
    </row>
    <row r="424" spans="1:13" x14ac:dyDescent="0.2">
      <c r="A424" s="109" t="s">
        <v>1079</v>
      </c>
      <c r="B424" s="105" t="s">
        <v>1967</v>
      </c>
      <c r="C424" s="25" t="s">
        <v>624</v>
      </c>
      <c r="D424" s="25" t="s">
        <v>1057</v>
      </c>
      <c r="E424" s="25" t="s">
        <v>876</v>
      </c>
      <c r="F424" s="25" t="s">
        <v>880</v>
      </c>
      <c r="G424" s="106">
        <v>42.84</v>
      </c>
      <c r="H424" s="107">
        <v>-18.050685685545268</v>
      </c>
      <c r="I424" s="81">
        <v>-421351.20647864771</v>
      </c>
      <c r="J424" s="81">
        <v>2319821</v>
      </c>
      <c r="K424" s="82">
        <v>-0.18163091310866128</v>
      </c>
      <c r="L424" s="110">
        <v>0.18163091310866128</v>
      </c>
      <c r="M424" s="80"/>
    </row>
    <row r="425" spans="1:13" x14ac:dyDescent="0.2">
      <c r="A425" s="109" t="s">
        <v>1175</v>
      </c>
      <c r="B425" s="105" t="s">
        <v>1968</v>
      </c>
      <c r="C425" s="25" t="s">
        <v>704</v>
      </c>
      <c r="D425" s="25" t="s">
        <v>1055</v>
      </c>
      <c r="E425" s="25" t="s">
        <v>876</v>
      </c>
      <c r="F425" s="25" t="s">
        <v>880</v>
      </c>
      <c r="G425" s="106">
        <v>103.28</v>
      </c>
      <c r="H425" s="107">
        <v>-20.359294920261242</v>
      </c>
      <c r="I425" s="81">
        <v>-197127.1777717006</v>
      </c>
      <c r="J425" s="81">
        <v>1064408.25</v>
      </c>
      <c r="K425" s="82">
        <v>-0.18519884430781197</v>
      </c>
      <c r="L425" s="110">
        <v>0.18519884430781197</v>
      </c>
      <c r="M425" s="80"/>
    </row>
    <row r="426" spans="1:13" x14ac:dyDescent="0.2">
      <c r="A426" s="109" t="s">
        <v>1145</v>
      </c>
      <c r="B426" s="105" t="s">
        <v>1969</v>
      </c>
      <c r="C426" s="25" t="s">
        <v>1355</v>
      </c>
      <c r="D426" s="25" t="s">
        <v>1070</v>
      </c>
      <c r="E426" s="25" t="s">
        <v>876</v>
      </c>
      <c r="F426" s="25" t="s">
        <v>878</v>
      </c>
      <c r="G426" s="106">
        <v>31.84</v>
      </c>
      <c r="H426" s="107">
        <v>-18.587732884017914</v>
      </c>
      <c r="I426" s="81">
        <v>-583785.58052820072</v>
      </c>
      <c r="J426" s="81">
        <v>3148090.5</v>
      </c>
      <c r="K426" s="82">
        <v>-0.18544116839341204</v>
      </c>
      <c r="L426" s="110">
        <v>0.18544116839341204</v>
      </c>
      <c r="M426" s="80"/>
    </row>
    <row r="427" spans="1:13" x14ac:dyDescent="0.2">
      <c r="A427" s="109" t="s">
        <v>899</v>
      </c>
      <c r="B427" s="105" t="s">
        <v>1970</v>
      </c>
      <c r="C427" s="25" t="s">
        <v>787</v>
      </c>
      <c r="D427" s="25" t="s">
        <v>1061</v>
      </c>
      <c r="E427" s="25" t="s">
        <v>876</v>
      </c>
      <c r="F427" s="25" t="s">
        <v>880</v>
      </c>
      <c r="G427" s="106">
        <v>41.26</v>
      </c>
      <c r="H427" s="107">
        <v>-25.852100444572908</v>
      </c>
      <c r="I427" s="81">
        <v>-626565.69182193186</v>
      </c>
      <c r="J427" s="81">
        <v>3365217.5</v>
      </c>
      <c r="K427" s="82">
        <v>-0.18618876545778448</v>
      </c>
      <c r="L427" s="110">
        <v>0.18618876545778448</v>
      </c>
      <c r="M427" s="80"/>
    </row>
    <row r="428" spans="1:13" x14ac:dyDescent="0.2">
      <c r="A428" s="109" t="s">
        <v>280</v>
      </c>
      <c r="B428" s="105" t="s">
        <v>1971</v>
      </c>
      <c r="C428" s="25" t="s">
        <v>122</v>
      </c>
      <c r="D428" s="25" t="s">
        <v>1059</v>
      </c>
      <c r="E428" s="25" t="s">
        <v>876</v>
      </c>
      <c r="F428" s="25" t="s">
        <v>880</v>
      </c>
      <c r="G428" s="106">
        <v>35.11</v>
      </c>
      <c r="H428" s="107">
        <v>-9.0893111843254601</v>
      </c>
      <c r="I428" s="81">
        <v>-258880.97933140025</v>
      </c>
      <c r="J428" s="81">
        <v>1377966.375</v>
      </c>
      <c r="K428" s="82">
        <v>-0.18787176815646189</v>
      </c>
      <c r="L428" s="110">
        <v>0.18787176815646189</v>
      </c>
      <c r="M428" s="80"/>
    </row>
    <row r="429" spans="1:13" x14ac:dyDescent="0.2">
      <c r="A429" s="109" t="s">
        <v>1554</v>
      </c>
      <c r="B429" s="105" t="s">
        <v>1972</v>
      </c>
      <c r="C429" s="25" t="s">
        <v>2116</v>
      </c>
      <c r="D429" s="25" t="s">
        <v>1069</v>
      </c>
      <c r="E429" s="25" t="s">
        <v>876</v>
      </c>
      <c r="F429" s="25" t="s">
        <v>880</v>
      </c>
      <c r="G429" s="106">
        <v>24.46</v>
      </c>
      <c r="H429" s="107">
        <v>-21.413672442733102</v>
      </c>
      <c r="I429" s="81">
        <v>-875456.76380756753</v>
      </c>
      <c r="J429" s="81">
        <v>4599506.5</v>
      </c>
      <c r="K429" s="82">
        <v>-0.19033710764569362</v>
      </c>
      <c r="L429" s="110">
        <v>0.19033710764569362</v>
      </c>
      <c r="M429" s="80"/>
    </row>
    <row r="430" spans="1:13" x14ac:dyDescent="0.2">
      <c r="A430" s="109" t="s">
        <v>304</v>
      </c>
      <c r="B430" s="105" t="s">
        <v>1973</v>
      </c>
      <c r="C430" s="25" t="s">
        <v>200</v>
      </c>
      <c r="D430" s="25" t="s">
        <v>1054</v>
      </c>
      <c r="E430" s="25" t="s">
        <v>876</v>
      </c>
      <c r="F430" s="25" t="s">
        <v>878</v>
      </c>
      <c r="G430" s="106">
        <v>399.38</v>
      </c>
      <c r="H430" s="107">
        <v>-56.056633567548062</v>
      </c>
      <c r="I430" s="81">
        <v>-140359.14058677966</v>
      </c>
      <c r="J430" s="81">
        <v>733361.625</v>
      </c>
      <c r="K430" s="82">
        <v>-0.19139144427795721</v>
      </c>
      <c r="L430" s="110">
        <v>0.19139144427795721</v>
      </c>
      <c r="M430" s="80"/>
    </row>
    <row r="431" spans="1:13" x14ac:dyDescent="0.2">
      <c r="A431" s="109" t="s">
        <v>206</v>
      </c>
      <c r="B431" s="105" t="s">
        <v>1974</v>
      </c>
      <c r="C431" s="25" t="s">
        <v>58</v>
      </c>
      <c r="D431" s="25" t="s">
        <v>1068</v>
      </c>
      <c r="E431" s="25" t="s">
        <v>876</v>
      </c>
      <c r="F431" s="25" t="s">
        <v>880</v>
      </c>
      <c r="G431" s="106">
        <v>213.1</v>
      </c>
      <c r="H431" s="107">
        <v>-30.019334761771585</v>
      </c>
      <c r="I431" s="81">
        <v>-140869.70793886247</v>
      </c>
      <c r="J431" s="81">
        <v>728811.8125</v>
      </c>
      <c r="K431" s="82">
        <v>-0.19328680672126519</v>
      </c>
      <c r="L431" s="110">
        <v>0.19328680672126519</v>
      </c>
      <c r="M431" s="80"/>
    </row>
    <row r="432" spans="1:13" x14ac:dyDescent="0.2">
      <c r="A432" s="109" t="s">
        <v>281</v>
      </c>
      <c r="B432" s="105" t="s">
        <v>1975</v>
      </c>
      <c r="C432" s="25" t="s">
        <v>123</v>
      </c>
      <c r="D432" s="25" t="s">
        <v>1071</v>
      </c>
      <c r="E432" s="25" t="s">
        <v>876</v>
      </c>
      <c r="F432" s="25" t="s">
        <v>880</v>
      </c>
      <c r="G432" s="106">
        <v>96.06</v>
      </c>
      <c r="H432" s="107">
        <v>-55.780915301016087</v>
      </c>
      <c r="I432" s="81">
        <v>-580688.270882949</v>
      </c>
      <c r="J432" s="81">
        <v>2960139.25</v>
      </c>
      <c r="K432" s="82">
        <v>-0.19616924132300498</v>
      </c>
      <c r="L432" s="110">
        <v>0.19616924132300498</v>
      </c>
      <c r="M432" s="80"/>
    </row>
    <row r="433" spans="1:13" x14ac:dyDescent="0.2">
      <c r="A433" s="109" t="s">
        <v>295</v>
      </c>
      <c r="B433" s="105" t="s">
        <v>1976</v>
      </c>
      <c r="C433" s="25" t="s">
        <v>137</v>
      </c>
      <c r="D433" s="25" t="s">
        <v>1065</v>
      </c>
      <c r="E433" s="25" t="s">
        <v>876</v>
      </c>
      <c r="F433" s="25" t="s">
        <v>880</v>
      </c>
      <c r="G433" s="106">
        <v>71.44</v>
      </c>
      <c r="H433" s="107">
        <v>-13.8336114196885</v>
      </c>
      <c r="I433" s="81">
        <v>-193639.5775432321</v>
      </c>
      <c r="J433" s="81">
        <v>970468.625</v>
      </c>
      <c r="K433" s="82">
        <v>-0.19953203282922422</v>
      </c>
      <c r="L433" s="110">
        <v>0.19953203282922422</v>
      </c>
      <c r="M433" s="80"/>
    </row>
    <row r="434" spans="1:13" x14ac:dyDescent="0.2">
      <c r="A434" s="109" t="s">
        <v>1241</v>
      </c>
      <c r="B434" s="105" t="s">
        <v>1977</v>
      </c>
      <c r="C434" s="25" t="s">
        <v>48</v>
      </c>
      <c r="D434" s="25" t="s">
        <v>1061</v>
      </c>
      <c r="E434" s="25" t="s">
        <v>876</v>
      </c>
      <c r="F434" s="25" t="s">
        <v>880</v>
      </c>
      <c r="G434" s="106">
        <v>107.16</v>
      </c>
      <c r="H434" s="107">
        <v>-13.912611259510962</v>
      </c>
      <c r="I434" s="81">
        <v>-129830.26557960958</v>
      </c>
      <c r="J434" s="81">
        <v>635665.0625</v>
      </c>
      <c r="K434" s="82">
        <v>-0.2042431985627802</v>
      </c>
      <c r="L434" s="110">
        <v>0.2042431985627802</v>
      </c>
      <c r="M434" s="80"/>
    </row>
    <row r="435" spans="1:13" x14ac:dyDescent="0.2">
      <c r="A435" s="109" t="s">
        <v>1275</v>
      </c>
      <c r="B435" s="105" t="s">
        <v>1978</v>
      </c>
      <c r="C435" s="25" t="s">
        <v>2117</v>
      </c>
      <c r="D435" s="25" t="s">
        <v>1055</v>
      </c>
      <c r="E435" s="25" t="s">
        <v>876</v>
      </c>
      <c r="F435" s="25" t="s">
        <v>880</v>
      </c>
      <c r="G435" s="106">
        <v>80.87</v>
      </c>
      <c r="H435" s="107">
        <v>-106.54239574399739</v>
      </c>
      <c r="I435" s="81">
        <v>-1317452.6492394877</v>
      </c>
      <c r="J435" s="81">
        <v>6442214</v>
      </c>
      <c r="K435" s="82">
        <v>-0.20450308686415691</v>
      </c>
      <c r="L435" s="110">
        <v>0.20450308686415691</v>
      </c>
      <c r="M435" s="80"/>
    </row>
    <row r="436" spans="1:13" x14ac:dyDescent="0.2">
      <c r="A436" s="109" t="s">
        <v>218</v>
      </c>
      <c r="B436" s="105" t="s">
        <v>1979</v>
      </c>
      <c r="C436" s="25" t="s">
        <v>68</v>
      </c>
      <c r="D436" s="25" t="s">
        <v>1067</v>
      </c>
      <c r="E436" s="25" t="s">
        <v>876</v>
      </c>
      <c r="F436" s="25" t="s">
        <v>880</v>
      </c>
      <c r="G436" s="106">
        <v>18.690000000000001</v>
      </c>
      <c r="H436" s="107">
        <v>-5.0458255062929043</v>
      </c>
      <c r="I436" s="81">
        <v>-269974.6124287268</v>
      </c>
      <c r="J436" s="81">
        <v>1313810.5</v>
      </c>
      <c r="K436" s="82">
        <v>-0.20548976616393827</v>
      </c>
      <c r="L436" s="110">
        <v>0.20548976616393827</v>
      </c>
      <c r="M436" s="80"/>
    </row>
    <row r="437" spans="1:13" x14ac:dyDescent="0.2">
      <c r="A437" s="109" t="s">
        <v>1085</v>
      </c>
      <c r="B437" s="105" t="s">
        <v>1980</v>
      </c>
      <c r="C437" s="25" t="s">
        <v>630</v>
      </c>
      <c r="D437" s="25" t="s">
        <v>1059</v>
      </c>
      <c r="E437" s="25" t="s">
        <v>876</v>
      </c>
      <c r="F437" s="25" t="s">
        <v>880</v>
      </c>
      <c r="G437" s="106">
        <v>73.7</v>
      </c>
      <c r="H437" s="107">
        <v>-24.546282680702678</v>
      </c>
      <c r="I437" s="81">
        <v>-333056.75279108109</v>
      </c>
      <c r="J437" s="81">
        <v>1610596.375</v>
      </c>
      <c r="K437" s="82">
        <v>-0.20679094896825476</v>
      </c>
      <c r="L437" s="110">
        <v>0.20679094896825476</v>
      </c>
      <c r="M437" s="80"/>
    </row>
    <row r="438" spans="1:13" x14ac:dyDescent="0.2">
      <c r="A438" s="109" t="s">
        <v>267</v>
      </c>
      <c r="B438" s="105" t="s">
        <v>1981</v>
      </c>
      <c r="C438" s="25" t="s">
        <v>109</v>
      </c>
      <c r="D438" s="25" t="s">
        <v>1073</v>
      </c>
      <c r="E438" s="25" t="s">
        <v>876</v>
      </c>
      <c r="F438" s="25" t="s">
        <v>880</v>
      </c>
      <c r="G438" s="106">
        <v>52.42</v>
      </c>
      <c r="H438" s="107">
        <v>-35.53776846344342</v>
      </c>
      <c r="I438" s="81">
        <v>-677942.93138961121</v>
      </c>
      <c r="J438" s="81">
        <v>3208863.5</v>
      </c>
      <c r="K438" s="82">
        <v>-0.21127197569781675</v>
      </c>
      <c r="L438" s="110">
        <v>0.21127197569781675</v>
      </c>
      <c r="M438" s="80"/>
    </row>
    <row r="439" spans="1:13" x14ac:dyDescent="0.2">
      <c r="A439" s="109" t="s">
        <v>1212</v>
      </c>
      <c r="B439" s="105" t="s">
        <v>1983</v>
      </c>
      <c r="C439" s="25" t="s">
        <v>22</v>
      </c>
      <c r="D439" s="25" t="s">
        <v>1061</v>
      </c>
      <c r="E439" s="25" t="s">
        <v>876</v>
      </c>
      <c r="F439" s="25" t="s">
        <v>880</v>
      </c>
      <c r="G439" s="106">
        <v>30.96</v>
      </c>
      <c r="H439" s="107">
        <v>-20.827125741816111</v>
      </c>
      <c r="I439" s="81">
        <v>-672710.77977442218</v>
      </c>
      <c r="J439" s="81">
        <v>3155813.5</v>
      </c>
      <c r="K439" s="82">
        <v>-0.21316556880640194</v>
      </c>
      <c r="L439" s="110">
        <v>0.21316556880640194</v>
      </c>
      <c r="M439" s="80"/>
    </row>
    <row r="440" spans="1:13" x14ac:dyDescent="0.2">
      <c r="A440" s="109" t="s">
        <v>1155</v>
      </c>
      <c r="B440" s="105" t="s">
        <v>1982</v>
      </c>
      <c r="C440" s="25" t="s">
        <v>687</v>
      </c>
      <c r="D440" s="25" t="s">
        <v>1055</v>
      </c>
      <c r="E440" s="25" t="s">
        <v>876</v>
      </c>
      <c r="F440" s="25" t="s">
        <v>880</v>
      </c>
      <c r="G440" s="106">
        <v>31.4</v>
      </c>
      <c r="H440" s="107">
        <v>-52.596594954550966</v>
      </c>
      <c r="I440" s="81">
        <v>-1675050.7947309224</v>
      </c>
      <c r="J440" s="81">
        <v>7845074</v>
      </c>
      <c r="K440" s="82">
        <v>-0.2135162516925809</v>
      </c>
      <c r="L440" s="110">
        <v>0.2135162516925809</v>
      </c>
      <c r="M440" s="80"/>
    </row>
    <row r="441" spans="1:13" x14ac:dyDescent="0.2">
      <c r="A441" s="109" t="s">
        <v>287</v>
      </c>
      <c r="B441" s="105" t="s">
        <v>1984</v>
      </c>
      <c r="C441" s="25" t="s">
        <v>129</v>
      </c>
      <c r="D441" s="25" t="s">
        <v>1055</v>
      </c>
      <c r="E441" s="25" t="s">
        <v>876</v>
      </c>
      <c r="F441" s="25" t="s">
        <v>878</v>
      </c>
      <c r="G441" s="106">
        <v>74.540000000000006</v>
      </c>
      <c r="H441" s="107">
        <v>-19.255461384590241</v>
      </c>
      <c r="I441" s="81">
        <v>-258323.87153998174</v>
      </c>
      <c r="J441" s="81">
        <v>1202078.375</v>
      </c>
      <c r="K441" s="82">
        <v>-0.21489769461993835</v>
      </c>
      <c r="L441" s="110">
        <v>0.21489769461993835</v>
      </c>
      <c r="M441" s="80"/>
    </row>
    <row r="442" spans="1:13" x14ac:dyDescent="0.2">
      <c r="A442" s="109" t="s">
        <v>1236</v>
      </c>
      <c r="B442" s="105" t="s">
        <v>1985</v>
      </c>
      <c r="C442" s="25" t="s">
        <v>43</v>
      </c>
      <c r="D442" s="25" t="s">
        <v>1065</v>
      </c>
      <c r="E442" s="25" t="s">
        <v>876</v>
      </c>
      <c r="F442" s="25" t="s">
        <v>878</v>
      </c>
      <c r="G442" s="106">
        <v>73.08</v>
      </c>
      <c r="H442" s="107">
        <v>-36.152121106604469</v>
      </c>
      <c r="I442" s="81">
        <v>-494692.40704165946</v>
      </c>
      <c r="J442" s="81">
        <v>2294913</v>
      </c>
      <c r="K442" s="82">
        <v>-0.2155604186484017</v>
      </c>
      <c r="L442" s="110">
        <v>0.2155604186484017</v>
      </c>
      <c r="M442" s="80"/>
    </row>
    <row r="443" spans="1:13" x14ac:dyDescent="0.2">
      <c r="A443" s="109" t="s">
        <v>938</v>
      </c>
      <c r="B443" s="105" t="s">
        <v>1986</v>
      </c>
      <c r="C443" s="25" t="s">
        <v>1466</v>
      </c>
      <c r="D443" s="25" t="s">
        <v>1053</v>
      </c>
      <c r="E443" s="25" t="s">
        <v>876</v>
      </c>
      <c r="F443" s="25" t="s">
        <v>880</v>
      </c>
      <c r="G443" s="106">
        <v>87.46</v>
      </c>
      <c r="H443" s="107">
        <v>-75.412972601662005</v>
      </c>
      <c r="I443" s="81">
        <v>-862256.71851888858</v>
      </c>
      <c r="J443" s="81">
        <v>3891011</v>
      </c>
      <c r="K443" s="82">
        <v>-0.22160223101885052</v>
      </c>
      <c r="L443" s="110">
        <v>0.22160223101885052</v>
      </c>
      <c r="M443" s="80"/>
    </row>
    <row r="444" spans="1:13" x14ac:dyDescent="0.2">
      <c r="A444" s="109" t="s">
        <v>945</v>
      </c>
      <c r="B444" s="105" t="s">
        <v>1987</v>
      </c>
      <c r="C444" s="25" t="s">
        <v>828</v>
      </c>
      <c r="D444" s="25" t="s">
        <v>1055</v>
      </c>
      <c r="E444" s="25" t="s">
        <v>876</v>
      </c>
      <c r="F444" s="25" t="s">
        <v>880</v>
      </c>
      <c r="G444" s="106">
        <v>58.1</v>
      </c>
      <c r="H444" s="107">
        <v>-263.09187656101847</v>
      </c>
      <c r="I444" s="81">
        <v>-4528259.4933049651</v>
      </c>
      <c r="J444" s="81">
        <v>20164256</v>
      </c>
      <c r="K444" s="82">
        <v>-0.2245686373603353</v>
      </c>
      <c r="L444" s="110">
        <v>0.2245686373603353</v>
      </c>
      <c r="M444" s="80"/>
    </row>
    <row r="445" spans="1:13" x14ac:dyDescent="0.2">
      <c r="A445" s="109" t="s">
        <v>1144</v>
      </c>
      <c r="B445" s="105" t="s">
        <v>1988</v>
      </c>
      <c r="C445" s="25" t="s">
        <v>22</v>
      </c>
      <c r="D445" s="25" t="s">
        <v>1053</v>
      </c>
      <c r="E445" s="25" t="s">
        <v>876</v>
      </c>
      <c r="F445" s="25" t="s">
        <v>880</v>
      </c>
      <c r="G445" s="106">
        <v>84.33</v>
      </c>
      <c r="H445" s="107">
        <v>-18.713067412976994</v>
      </c>
      <c r="I445" s="81">
        <v>-221902.85085944497</v>
      </c>
      <c r="J445" s="81">
        <v>983154.75</v>
      </c>
      <c r="K445" s="82">
        <v>-0.22570490643456176</v>
      </c>
      <c r="L445" s="110">
        <v>0.22570490643456176</v>
      </c>
      <c r="M445" s="80"/>
    </row>
    <row r="446" spans="1:13" x14ac:dyDescent="0.2">
      <c r="A446" s="109" t="s">
        <v>897</v>
      </c>
      <c r="B446" s="105" t="s">
        <v>1989</v>
      </c>
      <c r="C446" s="25" t="s">
        <v>785</v>
      </c>
      <c r="D446" s="25" t="s">
        <v>1053</v>
      </c>
      <c r="E446" s="25" t="s">
        <v>876</v>
      </c>
      <c r="F446" s="25" t="s">
        <v>880</v>
      </c>
      <c r="G446" s="106">
        <v>47.41</v>
      </c>
      <c r="H446" s="107">
        <v>-34.746483464822077</v>
      </c>
      <c r="I446" s="81">
        <v>-732893.55546977604</v>
      </c>
      <c r="J446" s="81">
        <v>3220310.75</v>
      </c>
      <c r="K446" s="82">
        <v>-0.22758473090516995</v>
      </c>
      <c r="L446" s="110">
        <v>0.22758473090516995</v>
      </c>
      <c r="M446" s="80"/>
    </row>
    <row r="447" spans="1:13" x14ac:dyDescent="0.2">
      <c r="A447" s="109" t="s">
        <v>761</v>
      </c>
      <c r="B447" s="105" t="s">
        <v>1990</v>
      </c>
      <c r="C447" s="25" t="s">
        <v>960</v>
      </c>
      <c r="D447" s="25" t="s">
        <v>1063</v>
      </c>
      <c r="E447" s="25" t="s">
        <v>876</v>
      </c>
      <c r="F447" s="25" t="s">
        <v>880</v>
      </c>
      <c r="G447" s="106">
        <v>71.05</v>
      </c>
      <c r="H447" s="107">
        <v>-100.64834899365511</v>
      </c>
      <c r="I447" s="81">
        <v>-1416584.7852731191</v>
      </c>
      <c r="J447" s="81">
        <v>6188731.5</v>
      </c>
      <c r="K447" s="82">
        <v>-0.22889743807323346</v>
      </c>
      <c r="L447" s="110">
        <v>0.22889743807323346</v>
      </c>
      <c r="M447" s="80"/>
    </row>
    <row r="448" spans="1:13" x14ac:dyDescent="0.2">
      <c r="A448" s="109" t="s">
        <v>1195</v>
      </c>
      <c r="B448" s="105" t="s">
        <v>1991</v>
      </c>
      <c r="C448" s="25" t="s">
        <v>6</v>
      </c>
      <c r="D448" s="25" t="s">
        <v>1059</v>
      </c>
      <c r="E448" s="25" t="s">
        <v>876</v>
      </c>
      <c r="F448" s="25" t="s">
        <v>880</v>
      </c>
      <c r="G448" s="106">
        <v>40.340000000000003</v>
      </c>
      <c r="H448" s="107">
        <v>-27.847065439270999</v>
      </c>
      <c r="I448" s="81">
        <v>-690309.00940185902</v>
      </c>
      <c r="J448" s="81">
        <v>2915655.75</v>
      </c>
      <c r="K448" s="82">
        <v>-0.23675943547240069</v>
      </c>
      <c r="L448" s="110">
        <v>0.23675943547240069</v>
      </c>
      <c r="M448" s="80"/>
    </row>
    <row r="449" spans="1:13" x14ac:dyDescent="0.2">
      <c r="A449" s="109" t="s">
        <v>1167</v>
      </c>
      <c r="B449" s="105" t="s">
        <v>1992</v>
      </c>
      <c r="C449" s="25" t="s">
        <v>698</v>
      </c>
      <c r="D449" s="25" t="s">
        <v>1061</v>
      </c>
      <c r="E449" s="25" t="s">
        <v>876</v>
      </c>
      <c r="F449" s="25" t="s">
        <v>880</v>
      </c>
      <c r="G449" s="106">
        <v>26.14</v>
      </c>
      <c r="H449" s="107">
        <v>-12.215338065149345</v>
      </c>
      <c r="I449" s="81">
        <v>-467304.44013578212</v>
      </c>
      <c r="J449" s="81">
        <v>1958320.875</v>
      </c>
      <c r="K449" s="82">
        <v>-0.23862506196068717</v>
      </c>
      <c r="L449" s="110">
        <v>0.23862506196068717</v>
      </c>
      <c r="M449" s="80"/>
    </row>
    <row r="450" spans="1:13" x14ac:dyDescent="0.2">
      <c r="A450" s="109" t="s">
        <v>1410</v>
      </c>
      <c r="B450" s="105" t="s">
        <v>1993</v>
      </c>
      <c r="C450" s="25" t="s">
        <v>1420</v>
      </c>
      <c r="D450" s="25" t="s">
        <v>1071</v>
      </c>
      <c r="E450" s="25" t="s">
        <v>876</v>
      </c>
      <c r="F450" s="25" t="s">
        <v>880</v>
      </c>
      <c r="G450" s="106">
        <v>36.549999999999997</v>
      </c>
      <c r="H450" s="107">
        <v>-83.963326050296516</v>
      </c>
      <c r="I450" s="81">
        <v>-2297218.2229903294</v>
      </c>
      <c r="J450" s="81">
        <v>9387128</v>
      </c>
      <c r="K450" s="82">
        <v>-0.24472002757289871</v>
      </c>
      <c r="L450" s="110">
        <v>0.24472002757289871</v>
      </c>
      <c r="M450" s="80"/>
    </row>
    <row r="451" spans="1:13" x14ac:dyDescent="0.2">
      <c r="A451" s="109" t="s">
        <v>1118</v>
      </c>
      <c r="B451" s="105" t="s">
        <v>1994</v>
      </c>
      <c r="C451" s="25" t="s">
        <v>657</v>
      </c>
      <c r="D451" s="25" t="s">
        <v>1072</v>
      </c>
      <c r="E451" s="25" t="s">
        <v>876</v>
      </c>
      <c r="F451" s="25" t="s">
        <v>880</v>
      </c>
      <c r="G451" s="106">
        <v>51.46</v>
      </c>
      <c r="H451" s="107">
        <v>-41.254194701714503</v>
      </c>
      <c r="I451" s="81">
        <v>-801674.98448726209</v>
      </c>
      <c r="J451" s="81">
        <v>3203106</v>
      </c>
      <c r="K451" s="82">
        <v>-0.25028050413794051</v>
      </c>
      <c r="L451" s="110">
        <v>0.25028050413794051</v>
      </c>
      <c r="M451" s="80"/>
    </row>
    <row r="452" spans="1:13" x14ac:dyDescent="0.2">
      <c r="A452" s="109" t="s">
        <v>282</v>
      </c>
      <c r="B452" s="105" t="s">
        <v>1995</v>
      </c>
      <c r="C452" s="25" t="s">
        <v>124</v>
      </c>
      <c r="D452" s="25" t="s">
        <v>1053</v>
      </c>
      <c r="E452" s="25" t="s">
        <v>876</v>
      </c>
      <c r="F452" s="25" t="s">
        <v>880</v>
      </c>
      <c r="G452" s="106">
        <v>96.31</v>
      </c>
      <c r="H452" s="107">
        <v>-16.576267303466391</v>
      </c>
      <c r="I452" s="81">
        <v>-172113.66736025739</v>
      </c>
      <c r="J452" s="81">
        <v>678440.375</v>
      </c>
      <c r="K452" s="82">
        <v>-0.25369018959146911</v>
      </c>
      <c r="L452" s="110">
        <v>0.25369018959146911</v>
      </c>
      <c r="M452" s="80"/>
    </row>
    <row r="453" spans="1:13" x14ac:dyDescent="0.2">
      <c r="A453" s="109" t="s">
        <v>252</v>
      </c>
      <c r="B453" s="105" t="s">
        <v>1996</v>
      </c>
      <c r="C453" s="25" t="s">
        <v>1360</v>
      </c>
      <c r="D453" s="25" t="s">
        <v>1057</v>
      </c>
      <c r="E453" s="25" t="s">
        <v>876</v>
      </c>
      <c r="F453" s="25" t="s">
        <v>880</v>
      </c>
      <c r="G453" s="106">
        <v>141.49</v>
      </c>
      <c r="H453" s="107">
        <v>-46.347834095652104</v>
      </c>
      <c r="I453" s="81">
        <v>-327569.68051206513</v>
      </c>
      <c r="J453" s="81">
        <v>1283128.625</v>
      </c>
      <c r="K453" s="82">
        <v>-0.25528982374005188</v>
      </c>
      <c r="L453" s="110">
        <v>0.25528982374005188</v>
      </c>
      <c r="M453" s="80"/>
    </row>
    <row r="454" spans="1:13" x14ac:dyDescent="0.2">
      <c r="A454" s="109" t="s">
        <v>1376</v>
      </c>
      <c r="B454" s="105" t="s">
        <v>1997</v>
      </c>
      <c r="C454" s="25" t="s">
        <v>2118</v>
      </c>
      <c r="D454" s="25" t="s">
        <v>1072</v>
      </c>
      <c r="E454" s="25" t="s">
        <v>876</v>
      </c>
      <c r="F454" s="25" t="s">
        <v>880</v>
      </c>
      <c r="G454" s="106">
        <v>24.74</v>
      </c>
      <c r="H454" s="107">
        <v>-79.506616582679001</v>
      </c>
      <c r="I454" s="81">
        <v>-3213687.0081923604</v>
      </c>
      <c r="J454" s="81">
        <v>12180885</v>
      </c>
      <c r="K454" s="82">
        <v>-0.26383033812340895</v>
      </c>
      <c r="L454" s="110">
        <v>0.26383033812340895</v>
      </c>
      <c r="M454" s="80"/>
    </row>
    <row r="455" spans="1:13" x14ac:dyDescent="0.2">
      <c r="A455" s="109" t="s">
        <v>261</v>
      </c>
      <c r="B455" s="105" t="s">
        <v>1999</v>
      </c>
      <c r="C455" s="25" t="s">
        <v>104</v>
      </c>
      <c r="D455" s="25" t="s">
        <v>1061</v>
      </c>
      <c r="E455" s="25" t="s">
        <v>876</v>
      </c>
      <c r="F455" s="25" t="s">
        <v>880</v>
      </c>
      <c r="G455" s="106">
        <v>69.63</v>
      </c>
      <c r="H455" s="107">
        <v>-35.945702663232268</v>
      </c>
      <c r="I455" s="81">
        <v>-516238.72846807801</v>
      </c>
      <c r="J455" s="81">
        <v>1891060.75</v>
      </c>
      <c r="K455" s="82">
        <v>-0.27298897112008591</v>
      </c>
      <c r="L455" s="110">
        <v>0.27298897112008591</v>
      </c>
      <c r="M455" s="80"/>
    </row>
    <row r="456" spans="1:13" x14ac:dyDescent="0.2">
      <c r="A456" s="109" t="s">
        <v>215</v>
      </c>
      <c r="B456" s="105" t="s">
        <v>1998</v>
      </c>
      <c r="C456" s="25" t="s">
        <v>65</v>
      </c>
      <c r="D456" s="25" t="s">
        <v>1063</v>
      </c>
      <c r="E456" s="25" t="s">
        <v>876</v>
      </c>
      <c r="F456" s="25" t="s">
        <v>880</v>
      </c>
      <c r="G456" s="106">
        <v>280.02999999999997</v>
      </c>
      <c r="H456" s="107">
        <v>-38.19303090197355</v>
      </c>
      <c r="I456" s="81">
        <v>-136389.06867826145</v>
      </c>
      <c r="J456" s="81">
        <v>498725.0625</v>
      </c>
      <c r="K456" s="82">
        <v>-0.27347546560939368</v>
      </c>
      <c r="L456" s="110">
        <v>0.27347546560939368</v>
      </c>
      <c r="M456" s="80"/>
    </row>
    <row r="457" spans="1:13" x14ac:dyDescent="0.2">
      <c r="A457" s="109" t="s">
        <v>1211</v>
      </c>
      <c r="B457" s="105" t="s">
        <v>2000</v>
      </c>
      <c r="C457" s="25" t="s">
        <v>21</v>
      </c>
      <c r="D457" s="25" t="s">
        <v>1068</v>
      </c>
      <c r="E457" s="25" t="s">
        <v>876</v>
      </c>
      <c r="F457" s="25" t="s">
        <v>880</v>
      </c>
      <c r="G457" s="106">
        <v>120.49</v>
      </c>
      <c r="H457" s="107">
        <v>-38.791120033557419</v>
      </c>
      <c r="I457" s="81">
        <v>-321944.7259818858</v>
      </c>
      <c r="J457" s="81">
        <v>1164115.75</v>
      </c>
      <c r="K457" s="82">
        <v>-0.27655731483908347</v>
      </c>
      <c r="L457" s="110">
        <v>0.27655731483908347</v>
      </c>
      <c r="M457" s="80"/>
    </row>
    <row r="458" spans="1:13" x14ac:dyDescent="0.2">
      <c r="A458" s="109" t="s">
        <v>1245</v>
      </c>
      <c r="B458" s="105" t="s">
        <v>2001</v>
      </c>
      <c r="C458" s="25" t="s">
        <v>52</v>
      </c>
      <c r="D458" s="25" t="s">
        <v>1069</v>
      </c>
      <c r="E458" s="25" t="s">
        <v>876</v>
      </c>
      <c r="F458" s="25" t="s">
        <v>880</v>
      </c>
      <c r="G458" s="106">
        <v>118.21</v>
      </c>
      <c r="H458" s="107">
        <v>-22.459502090349961</v>
      </c>
      <c r="I458" s="81">
        <v>-189996.63387488338</v>
      </c>
      <c r="J458" s="81">
        <v>658699.6875</v>
      </c>
      <c r="K458" s="82">
        <v>-0.28844196753149876</v>
      </c>
      <c r="L458" s="110">
        <v>0.28844196753149876</v>
      </c>
      <c r="M458" s="80"/>
    </row>
    <row r="459" spans="1:13" x14ac:dyDescent="0.2">
      <c r="A459" s="109" t="s">
        <v>898</v>
      </c>
      <c r="B459" s="105" t="s">
        <v>2002</v>
      </c>
      <c r="C459" s="25" t="s">
        <v>786</v>
      </c>
      <c r="D459" s="25" t="s">
        <v>1064</v>
      </c>
      <c r="E459" s="25" t="s">
        <v>876</v>
      </c>
      <c r="F459" s="25" t="s">
        <v>880</v>
      </c>
      <c r="G459" s="106">
        <v>50.65</v>
      </c>
      <c r="H459" s="107">
        <v>-49.235529785562797</v>
      </c>
      <c r="I459" s="81">
        <v>-972073.63841190119</v>
      </c>
      <c r="J459" s="81">
        <v>3298087.5</v>
      </c>
      <c r="K459" s="82">
        <v>-0.294738583622145</v>
      </c>
      <c r="L459" s="110">
        <v>0.294738583622145</v>
      </c>
      <c r="M459" s="80"/>
    </row>
    <row r="460" spans="1:13" x14ac:dyDescent="0.2">
      <c r="A460" s="109" t="s">
        <v>888</v>
      </c>
      <c r="B460" s="105" t="s">
        <v>2003</v>
      </c>
      <c r="C460" s="25" t="s">
        <v>776</v>
      </c>
      <c r="D460" s="25" t="s">
        <v>1051</v>
      </c>
      <c r="E460" s="25" t="s">
        <v>876</v>
      </c>
      <c r="F460" s="25" t="s">
        <v>880</v>
      </c>
      <c r="G460" s="106">
        <v>106.82</v>
      </c>
      <c r="H460" s="107">
        <v>-854.83956289701837</v>
      </c>
      <c r="I460" s="81">
        <v>-8002617.1400207672</v>
      </c>
      <c r="J460" s="81">
        <v>26871716</v>
      </c>
      <c r="K460" s="82">
        <v>-0.29780819133473901</v>
      </c>
      <c r="L460" s="110">
        <v>0.29780819133473901</v>
      </c>
      <c r="M460" s="80"/>
    </row>
    <row r="461" spans="1:13" x14ac:dyDescent="0.2">
      <c r="A461" s="109" t="s">
        <v>207</v>
      </c>
      <c r="B461" s="105" t="s">
        <v>2004</v>
      </c>
      <c r="C461" s="25" t="s">
        <v>59</v>
      </c>
      <c r="D461" s="25" t="s">
        <v>1051</v>
      </c>
      <c r="E461" s="25" t="s">
        <v>876</v>
      </c>
      <c r="F461" s="25" t="s">
        <v>880</v>
      </c>
      <c r="G461" s="106">
        <v>35.130000000000003</v>
      </c>
      <c r="H461" s="107">
        <v>-39.733865276553679</v>
      </c>
      <c r="I461" s="81">
        <v>-1131052.242429652</v>
      </c>
      <c r="J461" s="81">
        <v>3710125.5</v>
      </c>
      <c r="K461" s="82">
        <v>-0.30485552104090602</v>
      </c>
      <c r="L461" s="110">
        <v>0.30485552104090602</v>
      </c>
      <c r="M461" s="80"/>
    </row>
    <row r="462" spans="1:13" x14ac:dyDescent="0.2">
      <c r="A462" s="109" t="s">
        <v>275</v>
      </c>
      <c r="B462" s="105" t="s">
        <v>2005</v>
      </c>
      <c r="C462" s="25" t="s">
        <v>117</v>
      </c>
      <c r="D462" s="25" t="s">
        <v>1059</v>
      </c>
      <c r="E462" s="25" t="s">
        <v>876</v>
      </c>
      <c r="F462" s="25" t="s">
        <v>880</v>
      </c>
      <c r="G462" s="106">
        <v>118.48</v>
      </c>
      <c r="H462" s="107">
        <v>-41.576549494369068</v>
      </c>
      <c r="I462" s="81">
        <v>-350916.18411857751</v>
      </c>
      <c r="J462" s="81">
        <v>1149198.5</v>
      </c>
      <c r="K462" s="82">
        <v>-0.30535732871090376</v>
      </c>
      <c r="L462" s="110">
        <v>0.30535732871090376</v>
      </c>
      <c r="M462" s="80"/>
    </row>
    <row r="463" spans="1:13" x14ac:dyDescent="0.2">
      <c r="A463" s="109" t="s">
        <v>746</v>
      </c>
      <c r="B463" s="105" t="s">
        <v>2006</v>
      </c>
      <c r="C463" s="25" t="s">
        <v>616</v>
      </c>
      <c r="D463" s="25" t="s">
        <v>1063</v>
      </c>
      <c r="E463" s="25" t="s">
        <v>876</v>
      </c>
      <c r="F463" s="25" t="s">
        <v>878</v>
      </c>
      <c r="G463" s="106">
        <v>37.17</v>
      </c>
      <c r="H463" s="107">
        <v>-33.881091698759818</v>
      </c>
      <c r="I463" s="81">
        <v>-911517.12937206938</v>
      </c>
      <c r="J463" s="81">
        <v>2968495.5</v>
      </c>
      <c r="K463" s="82">
        <v>-0.30706367227845532</v>
      </c>
      <c r="L463" s="110">
        <v>0.30706367227845532</v>
      </c>
      <c r="M463" s="80"/>
    </row>
    <row r="464" spans="1:13" x14ac:dyDescent="0.2">
      <c r="A464" s="109" t="s">
        <v>1234</v>
      </c>
      <c r="B464" s="105" t="s">
        <v>2007</v>
      </c>
      <c r="C464" s="25" t="s">
        <v>41</v>
      </c>
      <c r="D464" s="25" t="s">
        <v>1071</v>
      </c>
      <c r="E464" s="25" t="s">
        <v>876</v>
      </c>
      <c r="F464" s="25" t="s">
        <v>880</v>
      </c>
      <c r="G464" s="106">
        <v>36.450000000000003</v>
      </c>
      <c r="H464" s="107">
        <v>-68.29648059248683</v>
      </c>
      <c r="I464" s="81">
        <v>-1873703.1712616414</v>
      </c>
      <c r="J464" s="81">
        <v>5988638.5</v>
      </c>
      <c r="K464" s="82">
        <v>-0.31287631926048659</v>
      </c>
      <c r="L464" s="110">
        <v>0.31287631926048659</v>
      </c>
      <c r="M464" s="80"/>
    </row>
    <row r="465" spans="1:13" x14ac:dyDescent="0.2">
      <c r="A465" s="109" t="s">
        <v>1101</v>
      </c>
      <c r="B465" s="105" t="s">
        <v>2008</v>
      </c>
      <c r="C465" s="25" t="s">
        <v>645</v>
      </c>
      <c r="D465" s="25" t="s">
        <v>1063</v>
      </c>
      <c r="E465" s="25" t="s">
        <v>876</v>
      </c>
      <c r="F465" s="25" t="s">
        <v>880</v>
      </c>
      <c r="G465" s="106">
        <v>750.85</v>
      </c>
      <c r="H465" s="107">
        <v>-45.163594402762648</v>
      </c>
      <c r="I465" s="81">
        <v>-60149.955920307177</v>
      </c>
      <c r="J465" s="81">
        <v>189953.5</v>
      </c>
      <c r="K465" s="82">
        <v>-0.31665621281159428</v>
      </c>
      <c r="L465" s="110">
        <v>0.31665621281159428</v>
      </c>
      <c r="M465" s="80"/>
    </row>
    <row r="466" spans="1:13" x14ac:dyDescent="0.2">
      <c r="A466" s="109" t="s">
        <v>245</v>
      </c>
      <c r="B466" s="105" t="s">
        <v>2009</v>
      </c>
      <c r="C466" s="25" t="s">
        <v>92</v>
      </c>
      <c r="D466" s="25" t="s">
        <v>1067</v>
      </c>
      <c r="E466" s="25" t="s">
        <v>876</v>
      </c>
      <c r="F466" s="25" t="s">
        <v>878</v>
      </c>
      <c r="G466" s="106">
        <v>50.72</v>
      </c>
      <c r="H466" s="107">
        <v>-19.305185284916778</v>
      </c>
      <c r="I466" s="81">
        <v>-380622.73826728668</v>
      </c>
      <c r="J466" s="81">
        <v>1193018.125</v>
      </c>
      <c r="K466" s="82">
        <v>-0.31904187395919631</v>
      </c>
      <c r="L466" s="110">
        <v>0.31904187395919631</v>
      </c>
      <c r="M466" s="80"/>
    </row>
    <row r="467" spans="1:13" x14ac:dyDescent="0.2">
      <c r="A467" s="109" t="s">
        <v>716</v>
      </c>
      <c r="B467" s="105" t="s">
        <v>2010</v>
      </c>
      <c r="C467" s="25" t="s">
        <v>589</v>
      </c>
      <c r="D467" s="25" t="s">
        <v>1053</v>
      </c>
      <c r="E467" s="25" t="s">
        <v>876</v>
      </c>
      <c r="F467" s="25" t="s">
        <v>878</v>
      </c>
      <c r="G467" s="106">
        <v>65</v>
      </c>
      <c r="H467" s="107">
        <v>-45.209644837288991</v>
      </c>
      <c r="I467" s="81">
        <v>-695532.9974967537</v>
      </c>
      <c r="J467" s="81">
        <v>2168066.5</v>
      </c>
      <c r="K467" s="82">
        <v>-0.32080796299225772</v>
      </c>
      <c r="L467" s="110">
        <v>0.32080796299225772</v>
      </c>
      <c r="M467" s="80"/>
    </row>
    <row r="468" spans="1:13" x14ac:dyDescent="0.2">
      <c r="A468" s="109" t="s">
        <v>932</v>
      </c>
      <c r="B468" s="105" t="s">
        <v>2011</v>
      </c>
      <c r="C468" s="25" t="s">
        <v>816</v>
      </c>
      <c r="D468" s="25" t="s">
        <v>1069</v>
      </c>
      <c r="E468" s="25" t="s">
        <v>876</v>
      </c>
      <c r="F468" s="25" t="s">
        <v>880</v>
      </c>
      <c r="G468" s="106">
        <v>66.95</v>
      </c>
      <c r="H468" s="107">
        <v>-241.24815869704739</v>
      </c>
      <c r="I468" s="81">
        <v>-3603407.8968939115</v>
      </c>
      <c r="J468" s="81">
        <v>11157004</v>
      </c>
      <c r="K468" s="82">
        <v>-0.32297271712853304</v>
      </c>
      <c r="L468" s="110">
        <v>0.32297271712853304</v>
      </c>
      <c r="M468" s="80"/>
    </row>
    <row r="469" spans="1:13" x14ac:dyDescent="0.2">
      <c r="A469" s="109" t="s">
        <v>1137</v>
      </c>
      <c r="B469" s="105" t="s">
        <v>2012</v>
      </c>
      <c r="C469" s="25" t="s">
        <v>673</v>
      </c>
      <c r="D469" s="25" t="s">
        <v>1067</v>
      </c>
      <c r="E469" s="25" t="s">
        <v>876</v>
      </c>
      <c r="F469" s="25" t="s">
        <v>880</v>
      </c>
      <c r="G469" s="106">
        <v>116.38</v>
      </c>
      <c r="H469" s="107">
        <v>-26.335290703950136</v>
      </c>
      <c r="I469" s="81">
        <v>-226287.08286604346</v>
      </c>
      <c r="J469" s="81">
        <v>694205.125</v>
      </c>
      <c r="K469" s="82">
        <v>-0.325965733638229</v>
      </c>
      <c r="L469" s="110">
        <v>0.325965733638229</v>
      </c>
      <c r="M469" s="80"/>
    </row>
    <row r="470" spans="1:13" x14ac:dyDescent="0.2">
      <c r="A470" s="109" t="s">
        <v>1232</v>
      </c>
      <c r="B470" s="105" t="s">
        <v>2013</v>
      </c>
      <c r="C470" s="25" t="s">
        <v>39</v>
      </c>
      <c r="D470" s="25" t="s">
        <v>1059</v>
      </c>
      <c r="E470" s="25" t="s">
        <v>876</v>
      </c>
      <c r="F470" s="25" t="s">
        <v>880</v>
      </c>
      <c r="G470" s="106">
        <v>47.21</v>
      </c>
      <c r="H470" s="107">
        <v>-29.135650473673294</v>
      </c>
      <c r="I470" s="81">
        <v>-617149.97826039605</v>
      </c>
      <c r="J470" s="81">
        <v>1840639.875</v>
      </c>
      <c r="K470" s="82">
        <v>-0.33529099670319595</v>
      </c>
      <c r="L470" s="110">
        <v>0.33529099670319595</v>
      </c>
      <c r="M470" s="80"/>
    </row>
    <row r="471" spans="1:13" x14ac:dyDescent="0.2">
      <c r="A471" s="109" t="s">
        <v>936</v>
      </c>
      <c r="B471" s="105" t="s">
        <v>2014</v>
      </c>
      <c r="C471" s="25" t="s">
        <v>820</v>
      </c>
      <c r="D471" s="25" t="s">
        <v>1055</v>
      </c>
      <c r="E471" s="25" t="s">
        <v>876</v>
      </c>
      <c r="F471" s="25" t="s">
        <v>878</v>
      </c>
      <c r="G471" s="106">
        <v>96.78</v>
      </c>
      <c r="H471" s="107">
        <v>-93.290664198213193</v>
      </c>
      <c r="I471" s="81">
        <v>-963945.69330660452</v>
      </c>
      <c r="J471" s="81">
        <v>2733020.5</v>
      </c>
      <c r="K471" s="82">
        <v>-0.35270342586402281</v>
      </c>
      <c r="L471" s="110">
        <v>0.35270342586402281</v>
      </c>
      <c r="M471" s="80"/>
    </row>
    <row r="472" spans="1:13" x14ac:dyDescent="0.2">
      <c r="A472" s="109" t="s">
        <v>229</v>
      </c>
      <c r="B472" s="105" t="s">
        <v>2015</v>
      </c>
      <c r="C472" s="25" t="s">
        <v>77</v>
      </c>
      <c r="D472" s="25" t="s">
        <v>1069</v>
      </c>
      <c r="E472" s="25" t="s">
        <v>876</v>
      </c>
      <c r="F472" s="25" t="s">
        <v>880</v>
      </c>
      <c r="G472" s="106">
        <v>87.92</v>
      </c>
      <c r="H472" s="107">
        <v>-61.753453119707807</v>
      </c>
      <c r="I472" s="81">
        <v>-702382.31482834171</v>
      </c>
      <c r="J472" s="81">
        <v>1944807.125</v>
      </c>
      <c r="K472" s="82">
        <v>-0.36115782680935093</v>
      </c>
      <c r="L472" s="110">
        <v>0.36115782680935093</v>
      </c>
      <c r="M472" s="80"/>
    </row>
    <row r="473" spans="1:13" x14ac:dyDescent="0.2">
      <c r="A473" s="109" t="s">
        <v>929</v>
      </c>
      <c r="B473" s="105" t="s">
        <v>2016</v>
      </c>
      <c r="C473" s="25" t="s">
        <v>813</v>
      </c>
      <c r="D473" s="25" t="s">
        <v>1055</v>
      </c>
      <c r="E473" s="25" t="s">
        <v>876</v>
      </c>
      <c r="F473" s="25" t="s">
        <v>878</v>
      </c>
      <c r="G473" s="106">
        <v>159.72</v>
      </c>
      <c r="H473" s="107">
        <v>-186.78984515119271</v>
      </c>
      <c r="I473" s="81">
        <v>-1169483.1276683742</v>
      </c>
      <c r="J473" s="81">
        <v>3137302.25</v>
      </c>
      <c r="K473" s="82">
        <v>-0.37276712107300919</v>
      </c>
      <c r="L473" s="110">
        <v>0.37276712107300919</v>
      </c>
      <c r="M473" s="80"/>
    </row>
    <row r="474" spans="1:13" x14ac:dyDescent="0.2">
      <c r="A474" s="109" t="s">
        <v>1143</v>
      </c>
      <c r="B474" s="105" t="s">
        <v>2017</v>
      </c>
      <c r="C474" s="25" t="s">
        <v>678</v>
      </c>
      <c r="D474" s="25" t="s">
        <v>1061</v>
      </c>
      <c r="E474" s="25" t="s">
        <v>876</v>
      </c>
      <c r="F474" s="25" t="s">
        <v>880</v>
      </c>
      <c r="G474" s="106">
        <v>59.15</v>
      </c>
      <c r="H474" s="107">
        <v>-48.44996468846594</v>
      </c>
      <c r="I474" s="81">
        <v>-819103.37596730248</v>
      </c>
      <c r="J474" s="81">
        <v>2128884</v>
      </c>
      <c r="K474" s="82">
        <v>-0.38475716665036819</v>
      </c>
      <c r="L474" s="110">
        <v>0.38475716665036819</v>
      </c>
      <c r="M474" s="80"/>
    </row>
    <row r="475" spans="1:13" x14ac:dyDescent="0.2">
      <c r="A475" s="109" t="s">
        <v>1555</v>
      </c>
      <c r="B475" s="105" t="s">
        <v>2018</v>
      </c>
      <c r="C475" s="25" t="s">
        <v>2119</v>
      </c>
      <c r="D475" s="25" t="s">
        <v>1071</v>
      </c>
      <c r="E475" s="25" t="s">
        <v>876</v>
      </c>
      <c r="F475" s="25" t="s">
        <v>880</v>
      </c>
      <c r="G475" s="106">
        <v>46.95</v>
      </c>
      <c r="H475" s="107">
        <v>-65.5547002165045</v>
      </c>
      <c r="I475" s="81">
        <v>-1396266.2452929604</v>
      </c>
      <c r="J475" s="81">
        <v>3605726.75</v>
      </c>
      <c r="K475" s="82">
        <v>-0.38723573418117735</v>
      </c>
      <c r="L475" s="110">
        <v>0.38723573418117735</v>
      </c>
      <c r="M475" s="80"/>
    </row>
    <row r="476" spans="1:13" x14ac:dyDescent="0.2">
      <c r="A476" s="109" t="s">
        <v>1184</v>
      </c>
      <c r="B476" s="105" t="s">
        <v>2019</v>
      </c>
      <c r="C476" s="25" t="s">
        <v>609</v>
      </c>
      <c r="D476" s="25" t="s">
        <v>1051</v>
      </c>
      <c r="E476" s="25" t="s">
        <v>876</v>
      </c>
      <c r="F476" s="25" t="s">
        <v>880</v>
      </c>
      <c r="G476" s="106">
        <v>22.69</v>
      </c>
      <c r="H476" s="107">
        <v>-90.683214338847108</v>
      </c>
      <c r="I476" s="81">
        <v>-3996615.8809540374</v>
      </c>
      <c r="J476" s="81">
        <v>9858939</v>
      </c>
      <c r="K476" s="82">
        <v>-0.40537991775322246</v>
      </c>
      <c r="L476" s="110">
        <v>0.40537991775322246</v>
      </c>
      <c r="M476" s="80"/>
    </row>
    <row r="477" spans="1:13" x14ac:dyDescent="0.2">
      <c r="A477" s="109" t="s">
        <v>1115</v>
      </c>
      <c r="B477" s="105" t="s">
        <v>2020</v>
      </c>
      <c r="C477" s="25" t="s">
        <v>656</v>
      </c>
      <c r="D477" s="25" t="s">
        <v>1053</v>
      </c>
      <c r="E477" s="25" t="s">
        <v>876</v>
      </c>
      <c r="F477" s="25" t="s">
        <v>880</v>
      </c>
      <c r="G477" s="106">
        <v>79.77</v>
      </c>
      <c r="H477" s="107">
        <v>-55.622764021187635</v>
      </c>
      <c r="I477" s="81">
        <v>-697289.25687837077</v>
      </c>
      <c r="J477" s="81">
        <v>1700965.25</v>
      </c>
      <c r="K477" s="82">
        <v>-0.40993739106567328</v>
      </c>
      <c r="L477" s="110">
        <v>0.40993739106567328</v>
      </c>
      <c r="M477" s="80"/>
    </row>
    <row r="478" spans="1:13" x14ac:dyDescent="0.2">
      <c r="A478" s="109" t="s">
        <v>924</v>
      </c>
      <c r="B478" s="105" t="s">
        <v>2021</v>
      </c>
      <c r="C478" s="25" t="s">
        <v>809</v>
      </c>
      <c r="D478" s="25" t="s">
        <v>1061</v>
      </c>
      <c r="E478" s="25" t="s">
        <v>876</v>
      </c>
      <c r="F478" s="25" t="s">
        <v>880</v>
      </c>
      <c r="G478" s="106">
        <v>166.87</v>
      </c>
      <c r="H478" s="107">
        <v>-150.90424826854473</v>
      </c>
      <c r="I478" s="81">
        <v>-904322.21650712972</v>
      </c>
      <c r="J478" s="81">
        <v>2080541.5</v>
      </c>
      <c r="K478" s="82">
        <v>-0.4346571392626053</v>
      </c>
      <c r="L478" s="110">
        <v>0.4346571392626053</v>
      </c>
      <c r="M478" s="80"/>
    </row>
    <row r="479" spans="1:13" x14ac:dyDescent="0.2">
      <c r="A479" s="109" t="s">
        <v>1107</v>
      </c>
      <c r="B479" s="105" t="s">
        <v>2022</v>
      </c>
      <c r="C479" s="25" t="s">
        <v>649</v>
      </c>
      <c r="D479" s="25" t="s">
        <v>1061</v>
      </c>
      <c r="E479" s="25" t="s">
        <v>876</v>
      </c>
      <c r="F479" s="25" t="s">
        <v>878</v>
      </c>
      <c r="G479" s="106">
        <v>36.299999999999997</v>
      </c>
      <c r="H479" s="107">
        <v>-41.836702473668652</v>
      </c>
      <c r="I479" s="81">
        <v>-1152526.2389440401</v>
      </c>
      <c r="J479" s="81">
        <v>2527569</v>
      </c>
      <c r="K479" s="82">
        <v>-0.45598210729125105</v>
      </c>
      <c r="L479" s="110">
        <v>0.45598210729125105</v>
      </c>
      <c r="M479" s="80"/>
    </row>
    <row r="480" spans="1:13" x14ac:dyDescent="0.2">
      <c r="A480" s="109" t="s">
        <v>895</v>
      </c>
      <c r="B480" s="105" t="s">
        <v>2023</v>
      </c>
      <c r="C480" s="25" t="s">
        <v>783</v>
      </c>
      <c r="D480" s="25" t="s">
        <v>1068</v>
      </c>
      <c r="E480" s="25" t="s">
        <v>876</v>
      </c>
      <c r="F480" s="25" t="s">
        <v>880</v>
      </c>
      <c r="G480" s="106">
        <v>132.9</v>
      </c>
      <c r="H480" s="107">
        <v>-157.52577342550643</v>
      </c>
      <c r="I480" s="81">
        <v>-1185295.5111023807</v>
      </c>
      <c r="J480" s="81">
        <v>2566846.25</v>
      </c>
      <c r="K480" s="82">
        <v>-0.46177113689703103</v>
      </c>
      <c r="L480" s="110">
        <v>0.46177113689703103</v>
      </c>
      <c r="M480" s="80"/>
    </row>
    <row r="481" spans="1:13" x14ac:dyDescent="0.2">
      <c r="A481" s="109" t="s">
        <v>298</v>
      </c>
      <c r="B481" s="105" t="s">
        <v>2024</v>
      </c>
      <c r="C481" s="25" t="s">
        <v>2120</v>
      </c>
      <c r="D481" s="25" t="s">
        <v>1059</v>
      </c>
      <c r="E481" s="25" t="s">
        <v>876</v>
      </c>
      <c r="F481" s="25" t="s">
        <v>880</v>
      </c>
      <c r="G481" s="106">
        <v>33.85</v>
      </c>
      <c r="H481" s="107">
        <v>-34.069959293197286</v>
      </c>
      <c r="I481" s="81">
        <v>-1006498.0588832286</v>
      </c>
      <c r="J481" s="81">
        <v>2083136.625</v>
      </c>
      <c r="K481" s="82">
        <v>-0.48316468867385431</v>
      </c>
      <c r="L481" s="110">
        <v>0.48316468867385431</v>
      </c>
      <c r="M481" s="80"/>
    </row>
    <row r="482" spans="1:13" x14ac:dyDescent="0.2">
      <c r="A482" s="109" t="s">
        <v>732</v>
      </c>
      <c r="B482" s="105" t="s">
        <v>2025</v>
      </c>
      <c r="C482" s="25" t="s">
        <v>601</v>
      </c>
      <c r="D482" s="25" t="s">
        <v>1070</v>
      </c>
      <c r="E482" s="25" t="s">
        <v>876</v>
      </c>
      <c r="F482" s="25" t="s">
        <v>878</v>
      </c>
      <c r="G482" s="106">
        <v>211.23</v>
      </c>
      <c r="H482" s="107">
        <v>-47.606225410974531</v>
      </c>
      <c r="I482" s="81">
        <v>-225376.25058455014</v>
      </c>
      <c r="J482" s="81">
        <v>464869</v>
      </c>
      <c r="K482" s="82">
        <v>-0.48481669155084584</v>
      </c>
      <c r="L482" s="110">
        <v>0.48481669155084584</v>
      </c>
      <c r="M482" s="80"/>
    </row>
    <row r="483" spans="1:13" x14ac:dyDescent="0.2">
      <c r="A483" s="109" t="s">
        <v>769</v>
      </c>
      <c r="B483" s="105" t="s">
        <v>2026</v>
      </c>
      <c r="C483" s="25" t="s">
        <v>968</v>
      </c>
      <c r="D483" s="25" t="s">
        <v>1069</v>
      </c>
      <c r="E483" s="25" t="s">
        <v>876</v>
      </c>
      <c r="F483" s="25" t="s">
        <v>878</v>
      </c>
      <c r="G483" s="106">
        <v>49.56</v>
      </c>
      <c r="H483" s="107">
        <v>-355.90645973782978</v>
      </c>
      <c r="I483" s="81">
        <v>-7181324.8534671059</v>
      </c>
      <c r="J483" s="81">
        <v>14523817</v>
      </c>
      <c r="K483" s="82">
        <v>-0.49445162063575337</v>
      </c>
      <c r="L483" s="110">
        <v>0.49445162063575337</v>
      </c>
      <c r="M483" s="80"/>
    </row>
    <row r="484" spans="1:13" x14ac:dyDescent="0.2">
      <c r="A484" s="109" t="s">
        <v>731</v>
      </c>
      <c r="B484" s="105" t="s">
        <v>2027</v>
      </c>
      <c r="C484" s="25" t="s">
        <v>600</v>
      </c>
      <c r="D484" s="25" t="s">
        <v>1060</v>
      </c>
      <c r="E484" s="25" t="s">
        <v>876</v>
      </c>
      <c r="F484" s="25" t="s">
        <v>880</v>
      </c>
      <c r="G484" s="106">
        <v>82.71</v>
      </c>
      <c r="H484" s="107">
        <v>-35.251449216594558</v>
      </c>
      <c r="I484" s="81">
        <v>-426205.40704382252</v>
      </c>
      <c r="J484" s="81">
        <v>855424.1875</v>
      </c>
      <c r="K484" s="82">
        <v>-0.49823866716864668</v>
      </c>
      <c r="L484" s="110">
        <v>0.49823866716864668</v>
      </c>
      <c r="M484" s="80"/>
    </row>
    <row r="485" spans="1:13" x14ac:dyDescent="0.2">
      <c r="A485" s="109" t="s">
        <v>1119</v>
      </c>
      <c r="B485" s="105" t="s">
        <v>2028</v>
      </c>
      <c r="C485" s="25" t="s">
        <v>658</v>
      </c>
      <c r="D485" s="25" t="s">
        <v>1065</v>
      </c>
      <c r="E485" s="25" t="s">
        <v>876</v>
      </c>
      <c r="F485" s="25" t="s">
        <v>878</v>
      </c>
      <c r="G485" s="106">
        <v>47.18</v>
      </c>
      <c r="H485" s="107">
        <v>-99.326073289302002</v>
      </c>
      <c r="I485" s="81">
        <v>-2105258.0180013138</v>
      </c>
      <c r="J485" s="81">
        <v>3993223.25</v>
      </c>
      <c r="K485" s="82">
        <v>-0.52720769318402461</v>
      </c>
      <c r="L485" s="110">
        <v>0.52720769318402461</v>
      </c>
      <c r="M485" s="80"/>
    </row>
    <row r="486" spans="1:13" x14ac:dyDescent="0.2">
      <c r="A486" s="109" t="s">
        <v>1416</v>
      </c>
      <c r="B486" s="105" t="s">
        <v>2029</v>
      </c>
      <c r="C486" s="25" t="s">
        <v>1424</v>
      </c>
      <c r="D486" s="25" t="s">
        <v>1070</v>
      </c>
      <c r="E486" s="25" t="s">
        <v>876</v>
      </c>
      <c r="F486" s="25" t="s">
        <v>878</v>
      </c>
      <c r="G486" s="106">
        <v>50.21</v>
      </c>
      <c r="H486" s="107">
        <v>-89.067237732332174</v>
      </c>
      <c r="I486" s="81">
        <v>-1773894.3981743115</v>
      </c>
      <c r="J486" s="81">
        <v>3334724.5</v>
      </c>
      <c r="K486" s="82">
        <v>-0.53194631165912254</v>
      </c>
      <c r="L486" s="110">
        <v>0.53194631165912254</v>
      </c>
      <c r="M486" s="80"/>
    </row>
    <row r="487" spans="1:13" x14ac:dyDescent="0.2">
      <c r="A487" s="109" t="s">
        <v>1417</v>
      </c>
      <c r="B487" s="105" t="s">
        <v>2030</v>
      </c>
      <c r="C487" s="25" t="s">
        <v>1425</v>
      </c>
      <c r="D487" s="25" t="s">
        <v>1061</v>
      </c>
      <c r="E487" s="25" t="s">
        <v>876</v>
      </c>
      <c r="F487" s="25" t="s">
        <v>880</v>
      </c>
      <c r="G487" s="106">
        <v>14.17</v>
      </c>
      <c r="H487" s="107">
        <v>-20.127243737480487</v>
      </c>
      <c r="I487" s="81">
        <v>-1420412.4020804861</v>
      </c>
      <c r="J487" s="81">
        <v>2640415</v>
      </c>
      <c r="K487" s="82">
        <v>-0.53795043660958075</v>
      </c>
      <c r="L487" s="110">
        <v>0.53795043660958075</v>
      </c>
      <c r="M487" s="80"/>
    </row>
    <row r="488" spans="1:13" x14ac:dyDescent="0.2">
      <c r="A488" s="109" t="s">
        <v>1172</v>
      </c>
      <c r="B488" s="105" t="s">
        <v>2031</v>
      </c>
      <c r="C488" s="25" t="s">
        <v>1421</v>
      </c>
      <c r="D488" s="25" t="s">
        <v>1052</v>
      </c>
      <c r="E488" s="25" t="s">
        <v>876</v>
      </c>
      <c r="F488" s="25" t="s">
        <v>878</v>
      </c>
      <c r="G488" s="106">
        <v>10.98</v>
      </c>
      <c r="H488" s="107">
        <v>-148.09252701303038</v>
      </c>
      <c r="I488" s="81">
        <v>-13487479.691532822</v>
      </c>
      <c r="J488" s="81">
        <v>24833260</v>
      </c>
      <c r="K488" s="82">
        <v>-0.54312159142749772</v>
      </c>
      <c r="L488" s="110">
        <v>0.54312159142749772</v>
      </c>
      <c r="M488" s="80"/>
    </row>
    <row r="489" spans="1:13" x14ac:dyDescent="0.2">
      <c r="A489" s="109" t="s">
        <v>1089</v>
      </c>
      <c r="B489" s="105" t="s">
        <v>2032</v>
      </c>
      <c r="C489" s="25" t="s">
        <v>633</v>
      </c>
      <c r="D489" s="25" t="s">
        <v>1059</v>
      </c>
      <c r="E489" s="25" t="s">
        <v>876</v>
      </c>
      <c r="F489" s="25" t="s">
        <v>880</v>
      </c>
      <c r="G489" s="106">
        <v>88.72</v>
      </c>
      <c r="H489" s="107">
        <v>-15.492198768266238</v>
      </c>
      <c r="I489" s="81">
        <v>-174619.01226630117</v>
      </c>
      <c r="J489" s="81">
        <v>317157.1875</v>
      </c>
      <c r="K489" s="82">
        <v>-0.55057561092258445</v>
      </c>
      <c r="L489" s="110">
        <v>0.55057561092258445</v>
      </c>
      <c r="M489" s="80"/>
    </row>
    <row r="490" spans="1:13" x14ac:dyDescent="0.2">
      <c r="A490" s="109" t="s">
        <v>248</v>
      </c>
      <c r="B490" s="105" t="s">
        <v>2033</v>
      </c>
      <c r="C490" s="25" t="s">
        <v>1359</v>
      </c>
      <c r="D490" s="25" t="s">
        <v>1061</v>
      </c>
      <c r="E490" s="25" t="s">
        <v>876</v>
      </c>
      <c r="F490" s="25" t="s">
        <v>878</v>
      </c>
      <c r="G490" s="106">
        <v>31.05</v>
      </c>
      <c r="H490" s="107">
        <v>-123.09274705399766</v>
      </c>
      <c r="I490" s="81">
        <v>-3964339.6796778631</v>
      </c>
      <c r="J490" s="81">
        <v>7162073.5</v>
      </c>
      <c r="K490" s="82">
        <v>-0.55351843005770096</v>
      </c>
      <c r="L490" s="110">
        <v>0.55351843005770096</v>
      </c>
      <c r="M490" s="80"/>
    </row>
    <row r="491" spans="1:13" x14ac:dyDescent="0.2">
      <c r="A491" s="109" t="s">
        <v>1188</v>
      </c>
      <c r="B491" s="105" t="s">
        <v>2034</v>
      </c>
      <c r="C491" s="25" t="s">
        <v>1354</v>
      </c>
      <c r="D491" s="25" t="s">
        <v>1068</v>
      </c>
      <c r="E491" s="25" t="s">
        <v>876</v>
      </c>
      <c r="F491" s="25" t="s">
        <v>878</v>
      </c>
      <c r="G491" s="106">
        <v>234.73</v>
      </c>
      <c r="H491" s="107">
        <v>-49.785484427053497</v>
      </c>
      <c r="I491" s="81">
        <v>-212096.81091915607</v>
      </c>
      <c r="J491" s="81">
        <v>382918.65625</v>
      </c>
      <c r="K491" s="82">
        <v>-0.55389521366303518</v>
      </c>
      <c r="L491" s="110">
        <v>0.55389521366303518</v>
      </c>
      <c r="M491" s="80"/>
    </row>
    <row r="492" spans="1:13" x14ac:dyDescent="0.2">
      <c r="A492" s="109" t="s">
        <v>1276</v>
      </c>
      <c r="B492" s="105" t="s">
        <v>2035</v>
      </c>
      <c r="C492" s="25" t="s">
        <v>1357</v>
      </c>
      <c r="D492" s="25" t="s">
        <v>1051</v>
      </c>
      <c r="E492" s="25" t="s">
        <v>876</v>
      </c>
      <c r="F492" s="25" t="s">
        <v>880</v>
      </c>
      <c r="G492" s="106">
        <v>77.290000000000006</v>
      </c>
      <c r="H492" s="107">
        <v>-59.081031463520624</v>
      </c>
      <c r="I492" s="81">
        <v>-764407.18674499448</v>
      </c>
      <c r="J492" s="81">
        <v>1367791.5</v>
      </c>
      <c r="K492" s="82">
        <v>-0.55886236078012952</v>
      </c>
      <c r="L492" s="110">
        <v>0.55886236078012952</v>
      </c>
      <c r="M492" s="80"/>
    </row>
    <row r="493" spans="1:13" x14ac:dyDescent="0.2">
      <c r="A493" s="109" t="s">
        <v>937</v>
      </c>
      <c r="B493" s="105" t="s">
        <v>2036</v>
      </c>
      <c r="C493" s="25" t="s">
        <v>821</v>
      </c>
      <c r="D493" s="25" t="s">
        <v>1065</v>
      </c>
      <c r="E493" s="25" t="s">
        <v>876</v>
      </c>
      <c r="F493" s="25" t="s">
        <v>880</v>
      </c>
      <c r="G493" s="106">
        <v>115.41</v>
      </c>
      <c r="H493" s="107">
        <v>-285.05086829970304</v>
      </c>
      <c r="I493" s="81">
        <v>-2469897.4811515729</v>
      </c>
      <c r="J493" s="81">
        <v>4296675.5</v>
      </c>
      <c r="K493" s="82">
        <v>-0.57483919396556082</v>
      </c>
      <c r="L493" s="110">
        <v>0.57483919396556082</v>
      </c>
      <c r="M493" s="80"/>
    </row>
    <row r="494" spans="1:13" x14ac:dyDescent="0.2">
      <c r="A494" s="109" t="s">
        <v>1415</v>
      </c>
      <c r="B494" s="105" t="s">
        <v>2037</v>
      </c>
      <c r="C494" s="25" t="s">
        <v>1370</v>
      </c>
      <c r="D494" s="25" t="s">
        <v>1063</v>
      </c>
      <c r="E494" s="25" t="s">
        <v>876</v>
      </c>
      <c r="F494" s="25" t="s">
        <v>878</v>
      </c>
      <c r="G494" s="106">
        <v>76.83</v>
      </c>
      <c r="H494" s="107">
        <v>-94.505668994851419</v>
      </c>
      <c r="I494" s="81">
        <v>-1230062.072040237</v>
      </c>
      <c r="J494" s="81">
        <v>1990496.5</v>
      </c>
      <c r="K494" s="82">
        <v>-0.61796746291201066</v>
      </c>
      <c r="L494" s="110">
        <v>0.61796746291201066</v>
      </c>
      <c r="M494" s="80"/>
    </row>
    <row r="495" spans="1:13" x14ac:dyDescent="0.2">
      <c r="A495" s="109" t="s">
        <v>1092</v>
      </c>
      <c r="B495" s="105" t="s">
        <v>2038</v>
      </c>
      <c r="C495" s="25" t="s">
        <v>636</v>
      </c>
      <c r="D495" s="25" t="s">
        <v>1061</v>
      </c>
      <c r="E495" s="25" t="s">
        <v>876</v>
      </c>
      <c r="F495" s="25" t="s">
        <v>880</v>
      </c>
      <c r="G495" s="106">
        <v>99.03</v>
      </c>
      <c r="H495" s="107">
        <v>-43.454567466654758</v>
      </c>
      <c r="I495" s="81">
        <v>-438802.0545961301</v>
      </c>
      <c r="J495" s="81">
        <v>682175.125</v>
      </c>
      <c r="K495" s="82">
        <v>-0.64323960008968384</v>
      </c>
      <c r="L495" s="110">
        <v>0.64323960008968384</v>
      </c>
      <c r="M495" s="80"/>
    </row>
    <row r="496" spans="1:13" x14ac:dyDescent="0.2">
      <c r="A496" s="109" t="s">
        <v>1081</v>
      </c>
      <c r="B496" s="105" t="s">
        <v>2039</v>
      </c>
      <c r="C496" s="25" t="s">
        <v>626</v>
      </c>
      <c r="D496" s="25" t="s">
        <v>1055</v>
      </c>
      <c r="E496" s="25" t="s">
        <v>876</v>
      </c>
      <c r="F496" s="25" t="s">
        <v>878</v>
      </c>
      <c r="G496" s="106">
        <v>68.319999999999993</v>
      </c>
      <c r="H496" s="107">
        <v>-99.907322578921438</v>
      </c>
      <c r="I496" s="81">
        <v>-1462343.7145626675</v>
      </c>
      <c r="J496" s="81">
        <v>1941877.75</v>
      </c>
      <c r="K496" s="82">
        <v>-0.75305652714887306</v>
      </c>
      <c r="L496" s="110">
        <v>0.75305652714887306</v>
      </c>
      <c r="M496" s="80"/>
    </row>
    <row r="497" spans="1:13" x14ac:dyDescent="0.2">
      <c r="A497" s="109" t="s">
        <v>919</v>
      </c>
      <c r="B497" s="105" t="s">
        <v>2040</v>
      </c>
      <c r="C497" s="25" t="s">
        <v>805</v>
      </c>
      <c r="D497" s="25" t="s">
        <v>1071</v>
      </c>
      <c r="E497" s="25" t="s">
        <v>876</v>
      </c>
      <c r="F497" s="25" t="s">
        <v>878</v>
      </c>
      <c r="G497" s="106">
        <v>165.17</v>
      </c>
      <c r="H497" s="107">
        <v>-135.15776979505171</v>
      </c>
      <c r="I497" s="81">
        <v>-818294.90703548887</v>
      </c>
      <c r="J497" s="81">
        <v>992732.125</v>
      </c>
      <c r="K497" s="82">
        <v>-0.82428571255865113</v>
      </c>
      <c r="L497" s="110">
        <v>0.82428571255865113</v>
      </c>
      <c r="M497" s="80"/>
    </row>
    <row r="498" spans="1:13" x14ac:dyDescent="0.2">
      <c r="A498" s="109" t="s">
        <v>302</v>
      </c>
      <c r="B498" s="105" t="s">
        <v>2041</v>
      </c>
      <c r="C498" s="25" t="s">
        <v>142</v>
      </c>
      <c r="D498" s="25" t="s">
        <v>1065</v>
      </c>
      <c r="E498" s="25" t="s">
        <v>876</v>
      </c>
      <c r="F498" s="25" t="s">
        <v>880</v>
      </c>
      <c r="G498" s="106">
        <v>90.76</v>
      </c>
      <c r="H498" s="107">
        <v>-169.18809210560505</v>
      </c>
      <c r="I498" s="81">
        <v>-1864126.1800970144</v>
      </c>
      <c r="J498" s="81">
        <v>2095633.875</v>
      </c>
      <c r="K498" s="82">
        <v>-0.88952855855940693</v>
      </c>
      <c r="L498" s="110">
        <v>0.88952855855940693</v>
      </c>
      <c r="M498" s="80"/>
    </row>
    <row r="499" spans="1:13" x14ac:dyDescent="0.2">
      <c r="A499" s="109" t="s">
        <v>1233</v>
      </c>
      <c r="B499" s="105" t="s">
        <v>2042</v>
      </c>
      <c r="C499" s="25" t="s">
        <v>40</v>
      </c>
      <c r="D499" s="25" t="s">
        <v>1061</v>
      </c>
      <c r="E499" s="25" t="s">
        <v>876</v>
      </c>
      <c r="F499" s="25" t="s">
        <v>878</v>
      </c>
      <c r="G499" s="106">
        <v>19.04</v>
      </c>
      <c r="H499" s="107">
        <v>-25.065122240506767</v>
      </c>
      <c r="I499" s="81">
        <v>-1316445.4958249351</v>
      </c>
      <c r="J499" s="81">
        <v>1385109.5</v>
      </c>
      <c r="K499" s="82">
        <v>-0.95042702098638066</v>
      </c>
      <c r="L499" s="110">
        <v>0.95042702098638066</v>
      </c>
      <c r="M499" s="80"/>
    </row>
    <row r="500" spans="1:13" x14ac:dyDescent="0.2">
      <c r="A500" s="109" t="s">
        <v>1334</v>
      </c>
      <c r="B500" s="105" t="s">
        <v>2043</v>
      </c>
      <c r="C500" s="25" t="s">
        <v>1347</v>
      </c>
      <c r="D500" s="25" t="s">
        <v>1070</v>
      </c>
      <c r="E500" s="25" t="s">
        <v>876</v>
      </c>
      <c r="F500" s="25" t="s">
        <v>878</v>
      </c>
      <c r="G500" s="106">
        <v>50.17</v>
      </c>
      <c r="H500" s="107">
        <v>-64.516532514305538</v>
      </c>
      <c r="I500" s="81">
        <v>-1285958.3917541467</v>
      </c>
      <c r="J500" s="81">
        <v>1340617</v>
      </c>
      <c r="K500" s="82">
        <v>-0.95922876686939418</v>
      </c>
      <c r="L500" s="110">
        <v>0.95922876686939418</v>
      </c>
      <c r="M500" s="80"/>
    </row>
    <row r="501" spans="1:13" x14ac:dyDescent="0.2">
      <c r="A501" s="109" t="s">
        <v>1325</v>
      </c>
      <c r="B501" s="105" t="s">
        <v>2044</v>
      </c>
      <c r="C501" s="25" t="s">
        <v>1331</v>
      </c>
      <c r="D501" s="25" t="s">
        <v>1064</v>
      </c>
      <c r="E501" s="25" t="s">
        <v>876</v>
      </c>
      <c r="F501" s="25" t="s">
        <v>878</v>
      </c>
      <c r="G501" s="106">
        <v>78.88</v>
      </c>
      <c r="H501" s="107">
        <v>-197.58256488893292</v>
      </c>
      <c r="I501" s="81">
        <v>-2504849.9605594948</v>
      </c>
      <c r="J501" s="81">
        <v>2584889.25</v>
      </c>
      <c r="K501" s="82">
        <v>-0.96903569874782636</v>
      </c>
      <c r="L501" s="110">
        <v>0.96903569874782636</v>
      </c>
      <c r="M501" s="80"/>
    </row>
    <row r="502" spans="1:13" x14ac:dyDescent="0.2">
      <c r="A502" s="109" t="s">
        <v>921</v>
      </c>
      <c r="B502" s="105" t="s">
        <v>2045</v>
      </c>
      <c r="C502" s="25" t="s">
        <v>807</v>
      </c>
      <c r="D502" s="25" t="s">
        <v>1068</v>
      </c>
      <c r="E502" s="25" t="s">
        <v>876</v>
      </c>
      <c r="F502" s="25" t="s">
        <v>880</v>
      </c>
      <c r="G502" s="106">
        <v>31.36</v>
      </c>
      <c r="H502" s="107">
        <v>-730.09155922022546</v>
      </c>
      <c r="I502" s="81">
        <v>-23280980.84248168</v>
      </c>
      <c r="J502" s="81">
        <v>22737774</v>
      </c>
      <c r="K502" s="82">
        <v>-1.0238900625224649</v>
      </c>
      <c r="L502" s="110">
        <v>1.0238900625224649</v>
      </c>
      <c r="M502" s="80"/>
    </row>
    <row r="503" spans="1:13" x14ac:dyDescent="0.2">
      <c r="A503" s="109" t="s">
        <v>894</v>
      </c>
      <c r="B503" s="105" t="s">
        <v>2046</v>
      </c>
      <c r="C503" s="25" t="s">
        <v>782</v>
      </c>
      <c r="D503" s="25" t="s">
        <v>1061</v>
      </c>
      <c r="E503" s="25" t="s">
        <v>876</v>
      </c>
      <c r="F503" s="25" t="s">
        <v>878</v>
      </c>
      <c r="G503" s="106">
        <v>65.52</v>
      </c>
      <c r="H503" s="107">
        <v>-223.29097360781117</v>
      </c>
      <c r="I503" s="81">
        <v>-3407981.8926711106</v>
      </c>
      <c r="J503" s="81">
        <v>3302048.5</v>
      </c>
      <c r="K503" s="82">
        <v>-1.0320811134879184</v>
      </c>
      <c r="L503" s="110">
        <v>1.0320811134879184</v>
      </c>
      <c r="M503" s="80"/>
    </row>
    <row r="504" spans="1:13" x14ac:dyDescent="0.2">
      <c r="A504" s="109" t="s">
        <v>1206</v>
      </c>
      <c r="B504" s="105" t="s">
        <v>2047</v>
      </c>
      <c r="C504" s="25" t="s">
        <v>16</v>
      </c>
      <c r="D504" s="25" t="s">
        <v>1055</v>
      </c>
      <c r="E504" s="25" t="s">
        <v>876</v>
      </c>
      <c r="F504" s="25" t="s">
        <v>878</v>
      </c>
      <c r="G504" s="106">
        <v>110.76</v>
      </c>
      <c r="H504" s="107">
        <v>-152.78526238853775</v>
      </c>
      <c r="I504" s="81">
        <v>-1379426.3487589178</v>
      </c>
      <c r="J504" s="81">
        <v>1308208.75</v>
      </c>
      <c r="K504" s="82">
        <v>-1.0544390172890357</v>
      </c>
      <c r="L504" s="110">
        <v>1.0544390172890357</v>
      </c>
      <c r="M504" s="80"/>
    </row>
    <row r="505" spans="1:13" x14ac:dyDescent="0.2">
      <c r="A505" s="109" t="s">
        <v>1087</v>
      </c>
      <c r="B505" s="105" t="s">
        <v>2048</v>
      </c>
      <c r="C505" s="25" t="s">
        <v>631</v>
      </c>
      <c r="D505" s="25" t="s">
        <v>1059</v>
      </c>
      <c r="E505" s="25" t="s">
        <v>876</v>
      </c>
      <c r="F505" s="25" t="s">
        <v>880</v>
      </c>
      <c r="G505" s="106">
        <v>59.43</v>
      </c>
      <c r="H505" s="107">
        <v>-304.60877452111623</v>
      </c>
      <c r="I505" s="81">
        <v>-5125505.2081628172</v>
      </c>
      <c r="J505" s="81">
        <v>4836807.5</v>
      </c>
      <c r="K505" s="82">
        <v>-1.0596876572331682</v>
      </c>
      <c r="L505" s="110">
        <v>1.0596876572331682</v>
      </c>
      <c r="M505" s="80"/>
    </row>
    <row r="506" spans="1:13" x14ac:dyDescent="0.2">
      <c r="A506" s="109" t="s">
        <v>750</v>
      </c>
      <c r="B506" s="105" t="s">
        <v>2049</v>
      </c>
      <c r="C506" s="25" t="s">
        <v>832</v>
      </c>
      <c r="D506" s="25" t="s">
        <v>1055</v>
      </c>
      <c r="E506" s="25" t="s">
        <v>876</v>
      </c>
      <c r="F506" s="25" t="s">
        <v>878</v>
      </c>
      <c r="G506" s="106">
        <v>41.31</v>
      </c>
      <c r="H506" s="107">
        <v>-438.03083857909763</v>
      </c>
      <c r="I506" s="81">
        <v>-10603506.138443418</v>
      </c>
      <c r="J506" s="81">
        <v>9693317</v>
      </c>
      <c r="K506" s="82">
        <v>-1.0938986250468665</v>
      </c>
      <c r="L506" s="110">
        <v>1.0938986250468665</v>
      </c>
      <c r="M506" s="80"/>
    </row>
    <row r="507" spans="1:13" x14ac:dyDescent="0.2">
      <c r="A507" s="109" t="s">
        <v>289</v>
      </c>
      <c r="B507" s="105" t="s">
        <v>2050</v>
      </c>
      <c r="C507" s="25" t="s">
        <v>131</v>
      </c>
      <c r="D507" s="25" t="s">
        <v>1054</v>
      </c>
      <c r="E507" s="25" t="s">
        <v>876</v>
      </c>
      <c r="F507" s="25" t="s">
        <v>878</v>
      </c>
      <c r="G507" s="106">
        <v>158.9</v>
      </c>
      <c r="H507" s="107">
        <v>-75.788078723980377</v>
      </c>
      <c r="I507" s="81">
        <v>-476954.55458766752</v>
      </c>
      <c r="J507" s="81">
        <v>430410.40625</v>
      </c>
      <c r="K507" s="82">
        <v>-1.1081389939968895</v>
      </c>
      <c r="L507" s="110">
        <v>1.1081389939968895</v>
      </c>
      <c r="M507" s="80"/>
    </row>
    <row r="508" spans="1:13" x14ac:dyDescent="0.2">
      <c r="A508" s="109" t="s">
        <v>265</v>
      </c>
      <c r="B508" s="105" t="s">
        <v>2051</v>
      </c>
      <c r="C508" s="25" t="s">
        <v>107</v>
      </c>
      <c r="D508" s="25" t="s">
        <v>1053</v>
      </c>
      <c r="E508" s="25" t="s">
        <v>876</v>
      </c>
      <c r="F508" s="25" t="s">
        <v>878</v>
      </c>
      <c r="G508" s="106">
        <v>116.28</v>
      </c>
      <c r="H508" s="107">
        <v>-132.40177549937226</v>
      </c>
      <c r="I508" s="81">
        <v>-1138646.1601253203</v>
      </c>
      <c r="J508" s="81">
        <v>954960.6875</v>
      </c>
      <c r="K508" s="82">
        <v>-1.1923487270519921</v>
      </c>
      <c r="L508" s="110">
        <v>1.1923487270519921</v>
      </c>
      <c r="M508" s="80"/>
    </row>
    <row r="509" spans="1:13" x14ac:dyDescent="0.2">
      <c r="A509" s="109" t="s">
        <v>1108</v>
      </c>
      <c r="B509" s="105" t="s">
        <v>2052</v>
      </c>
      <c r="C509" s="25" t="s">
        <v>650</v>
      </c>
      <c r="D509" s="25" t="s">
        <v>1057</v>
      </c>
      <c r="E509" s="25" t="s">
        <v>876</v>
      </c>
      <c r="F509" s="25" t="s">
        <v>878</v>
      </c>
      <c r="G509" s="106">
        <v>51.06</v>
      </c>
      <c r="H509" s="107">
        <v>-54.402864099045644</v>
      </c>
      <c r="I509" s="81">
        <v>-1065469.3321395544</v>
      </c>
      <c r="J509" s="81">
        <v>880157.375</v>
      </c>
      <c r="K509" s="82">
        <v>-1.2105441167717925</v>
      </c>
      <c r="L509" s="110">
        <v>1.2105441167717925</v>
      </c>
      <c r="M509" s="80"/>
    </row>
    <row r="510" spans="1:13" x14ac:dyDescent="0.2">
      <c r="A510" s="109" t="s">
        <v>286</v>
      </c>
      <c r="B510" s="105" t="s">
        <v>2053</v>
      </c>
      <c r="C510" s="25" t="s">
        <v>128</v>
      </c>
      <c r="D510" s="25" t="s">
        <v>1060</v>
      </c>
      <c r="E510" s="25" t="s">
        <v>876</v>
      </c>
      <c r="F510" s="25" t="s">
        <v>878</v>
      </c>
      <c r="G510" s="106">
        <v>102.72</v>
      </c>
      <c r="H510" s="107">
        <v>-81.666997678442939</v>
      </c>
      <c r="I510" s="81">
        <v>-795044.75933063601</v>
      </c>
      <c r="J510" s="81">
        <v>625969.125</v>
      </c>
      <c r="K510" s="82">
        <v>-1.2701021944662783</v>
      </c>
      <c r="L510" s="110">
        <v>1.2701021944662783</v>
      </c>
      <c r="M510" s="80"/>
    </row>
    <row r="511" spans="1:13" x14ac:dyDescent="0.2">
      <c r="A511" s="109" t="s">
        <v>1476</v>
      </c>
      <c r="B511" s="105" t="s">
        <v>2054</v>
      </c>
      <c r="C511" s="25" t="s">
        <v>2121</v>
      </c>
      <c r="D511" s="25" t="s">
        <v>1072</v>
      </c>
      <c r="E511" s="25" t="s">
        <v>876</v>
      </c>
      <c r="F511" s="25" t="s">
        <v>878</v>
      </c>
      <c r="G511" s="106">
        <v>25.05</v>
      </c>
      <c r="H511" s="107">
        <v>-88.318074630724354</v>
      </c>
      <c r="I511" s="81">
        <v>-3525671.6419450841</v>
      </c>
      <c r="J511" s="81">
        <v>2737634</v>
      </c>
      <c r="K511" s="82">
        <v>-1.28785354139563</v>
      </c>
      <c r="L511" s="110">
        <v>1.28785354139563</v>
      </c>
      <c r="M511" s="80"/>
    </row>
    <row r="512" spans="1:13" x14ac:dyDescent="0.2">
      <c r="A512" s="109" t="s">
        <v>739</v>
      </c>
      <c r="B512" s="105" t="s">
        <v>2055</v>
      </c>
      <c r="C512" s="25" t="s">
        <v>1426</v>
      </c>
      <c r="D512" s="25" t="s">
        <v>1068</v>
      </c>
      <c r="E512" s="25" t="s">
        <v>876</v>
      </c>
      <c r="F512" s="25" t="s">
        <v>878</v>
      </c>
      <c r="G512" s="106">
        <v>64.78</v>
      </c>
      <c r="H512" s="107">
        <v>-101.21577669585621</v>
      </c>
      <c r="I512" s="81">
        <v>-1562454.1015105927</v>
      </c>
      <c r="J512" s="81">
        <v>1163129</v>
      </c>
      <c r="K512" s="82">
        <v>-1.3433197018650491</v>
      </c>
      <c r="L512" s="110">
        <v>1.3433197018650491</v>
      </c>
      <c r="M512" s="80"/>
    </row>
    <row r="513" spans="1:13" x14ac:dyDescent="0.2">
      <c r="A513" s="109" t="s">
        <v>1231</v>
      </c>
      <c r="B513" s="105" t="s">
        <v>2056</v>
      </c>
      <c r="C513" s="25" t="s">
        <v>38</v>
      </c>
      <c r="D513" s="25" t="s">
        <v>1061</v>
      </c>
      <c r="E513" s="25" t="s">
        <v>876</v>
      </c>
      <c r="F513" s="25" t="s">
        <v>878</v>
      </c>
      <c r="G513" s="106">
        <v>34.35</v>
      </c>
      <c r="H513" s="107">
        <v>-46.774631504522809</v>
      </c>
      <c r="I513" s="81">
        <v>-1361706.8851389464</v>
      </c>
      <c r="J513" s="81">
        <v>996228.625</v>
      </c>
      <c r="K513" s="82">
        <v>-1.3668618336869676</v>
      </c>
      <c r="L513" s="110">
        <v>1.3668618336869676</v>
      </c>
      <c r="M513" s="80"/>
    </row>
    <row r="514" spans="1:13" x14ac:dyDescent="0.2">
      <c r="A514" s="109" t="s">
        <v>1374</v>
      </c>
      <c r="B514" s="105" t="s">
        <v>2057</v>
      </c>
      <c r="C514" s="25" t="s">
        <v>2122</v>
      </c>
      <c r="D514" s="25" t="s">
        <v>1067</v>
      </c>
      <c r="E514" s="25" t="s">
        <v>876</v>
      </c>
      <c r="F514" s="25" t="s">
        <v>878</v>
      </c>
      <c r="G514" s="106">
        <v>52.67</v>
      </c>
      <c r="H514" s="107">
        <v>-144.29569940373187</v>
      </c>
      <c r="I514" s="81">
        <v>-2739618.3672628035</v>
      </c>
      <c r="J514" s="81">
        <v>1426280.875</v>
      </c>
      <c r="K514" s="82">
        <v>-1.9208126640994212</v>
      </c>
      <c r="L514" s="110">
        <v>1.9208126640994212</v>
      </c>
      <c r="M514" s="80"/>
    </row>
    <row r="515" spans="1:13" x14ac:dyDescent="0.2">
      <c r="A515" s="109" t="s">
        <v>1413</v>
      </c>
      <c r="B515" s="105" t="s">
        <v>2058</v>
      </c>
      <c r="C515" s="25" t="s">
        <v>1422</v>
      </c>
      <c r="D515" s="25" t="s">
        <v>1060</v>
      </c>
      <c r="E515" s="25" t="s">
        <v>876</v>
      </c>
      <c r="F515" s="25" t="s">
        <v>878</v>
      </c>
      <c r="G515" s="106">
        <v>29.43</v>
      </c>
      <c r="H515" s="107">
        <v>-261.52029325981999</v>
      </c>
      <c r="I515" s="81">
        <v>-8886180.5388997644</v>
      </c>
      <c r="J515" s="81">
        <v>3858654.5</v>
      </c>
      <c r="K515" s="82">
        <v>-2.3029220519483578</v>
      </c>
      <c r="L515" s="110">
        <v>2.3029220519483578</v>
      </c>
      <c r="M515" s="80"/>
    </row>
    <row r="516" spans="1:13" x14ac:dyDescent="0.2">
      <c r="A516" s="112" t="s">
        <v>774</v>
      </c>
      <c r="B516" s="100" t="s">
        <v>2059</v>
      </c>
      <c r="C516" s="99" t="s">
        <v>972</v>
      </c>
      <c r="D516" s="99" t="s">
        <v>1055</v>
      </c>
      <c r="E516" s="99" t="s">
        <v>876</v>
      </c>
      <c r="F516" s="99" t="s">
        <v>878</v>
      </c>
      <c r="G516" s="101">
        <v>9.69</v>
      </c>
      <c r="H516" s="102">
        <v>-109.53376682538762</v>
      </c>
      <c r="I516" s="103">
        <v>-11303794.306025553</v>
      </c>
      <c r="J516" s="103">
        <v>4820071</v>
      </c>
      <c r="K516" s="104">
        <v>-2.3451509959138681</v>
      </c>
      <c r="L516" s="113">
        <v>2.3451509959138681</v>
      </c>
      <c r="M516" s="80"/>
    </row>
    <row r="519" spans="1:13" x14ac:dyDescent="0.2">
      <c r="A519" s="44" t="s">
        <v>1482</v>
      </c>
    </row>
    <row r="520" spans="1:13" x14ac:dyDescent="0.2">
      <c r="A520" s="44" t="s">
        <v>1332</v>
      </c>
    </row>
  </sheetData>
  <sortState ref="A12:L1511">
    <sortCondition descending="1" ref="E12:E1511"/>
  </sortState>
  <phoneticPr fontId="4"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3" r:id="rId4" name="Button 19">
              <controlPr defaultSize="0" print="0" autoFill="0" autoPict="0" macro="[0]!SearchbyTicker">
                <anchor moveWithCells="1" sizeWithCells="1">
                  <from>
                    <xdr:col>12</xdr:col>
                    <xdr:colOff>180975</xdr:colOff>
                    <xdr:row>2</xdr:row>
                    <xdr:rowOff>152400</xdr:rowOff>
                  </from>
                  <to>
                    <xdr:col>14</xdr:col>
                    <xdr:colOff>257175</xdr:colOff>
                    <xdr:row>5</xdr:row>
                    <xdr:rowOff>104775</xdr:rowOff>
                  </to>
                </anchor>
              </controlPr>
            </control>
          </mc:Choice>
        </mc:AlternateContent>
        <mc:AlternateContent xmlns:mc="http://schemas.openxmlformats.org/markup-compatibility/2006">
          <mc:Choice Requires="x14">
            <control shapeId="1074" r:id="rId5" name="Button 50">
              <controlPr defaultSize="0" print="0" autoFill="0" autoPict="0" macro="[0]!SearchbyCUSIP">
                <anchor moveWithCells="1" sizeWithCells="1">
                  <from>
                    <xdr:col>12</xdr:col>
                    <xdr:colOff>171450</xdr:colOff>
                    <xdr:row>6</xdr:row>
                    <xdr:rowOff>9525</xdr:rowOff>
                  </from>
                  <to>
                    <xdr:col>14</xdr:col>
                    <xdr:colOff>247650</xdr:colOff>
                    <xdr:row>9</xdr:row>
                    <xdr:rowOff>28575</xdr:rowOff>
                  </to>
                </anchor>
              </controlPr>
            </control>
          </mc:Choice>
        </mc:AlternateContent>
        <mc:AlternateContent xmlns:mc="http://schemas.openxmlformats.org/markup-compatibility/2006">
          <mc:Choice Requires="x14">
            <control shapeId="1292" r:id="rId6" name="Button 268">
              <controlPr defaultSize="0" print="0" autoFill="0" autoPict="0" macro="[0]!StartChooseCategory">
                <anchor moveWithCells="1" sizeWithCells="1">
                  <from>
                    <xdr:col>14</xdr:col>
                    <xdr:colOff>390525</xdr:colOff>
                    <xdr:row>2</xdr:row>
                    <xdr:rowOff>152400</xdr:rowOff>
                  </from>
                  <to>
                    <xdr:col>16</xdr:col>
                    <xdr:colOff>466725</xdr:colOff>
                    <xdr:row>5</xdr:row>
                    <xdr:rowOff>104775</xdr:rowOff>
                  </to>
                </anchor>
              </controlPr>
            </control>
          </mc:Choice>
        </mc:AlternateContent>
        <mc:AlternateContent xmlns:mc="http://schemas.openxmlformats.org/markup-compatibility/2006">
          <mc:Choice Requires="x14">
            <control shapeId="1293" r:id="rId7" name="Button 269">
              <controlPr defaultSize="0" print="0" autoFill="0" autoPict="0" macro="[0]!buildPortfolio">
                <anchor moveWithCells="1" sizeWithCells="1">
                  <from>
                    <xdr:col>14</xdr:col>
                    <xdr:colOff>390525</xdr:colOff>
                    <xdr:row>5</xdr:row>
                    <xdr:rowOff>152400</xdr:rowOff>
                  </from>
                  <to>
                    <xdr:col>16</xdr:col>
                    <xdr:colOff>466725</xdr:colOff>
                    <xdr:row>9</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O147"/>
  <sheetViews>
    <sheetView zoomScale="85" zoomScaleNormal="85" workbookViewId="0"/>
  </sheetViews>
  <sheetFormatPr defaultRowHeight="12.75" x14ac:dyDescent="0.2"/>
  <cols>
    <col min="1" max="1" width="9.140625" style="44"/>
    <col min="2" max="2" width="23.7109375" style="44" customWidth="1"/>
    <col min="3" max="6" width="11" style="44" customWidth="1"/>
    <col min="7" max="7" width="23.7109375" style="44" customWidth="1"/>
    <col min="8" max="11" width="11" style="44" customWidth="1"/>
    <col min="12" max="12" width="23.7109375" style="44" customWidth="1"/>
    <col min="13" max="14" width="11" style="44" customWidth="1"/>
    <col min="15" max="16384" width="9.140625" style="44"/>
  </cols>
  <sheetData>
    <row r="1" spans="1:15" s="3" customFormat="1" x14ac:dyDescent="0.2">
      <c r="J1" s="25"/>
      <c r="K1" s="25"/>
    </row>
    <row r="2" spans="1:15" s="3" customFormat="1" x14ac:dyDescent="0.2">
      <c r="J2" s="25"/>
      <c r="K2" s="25"/>
      <c r="L2" s="21"/>
    </row>
    <row r="3" spans="1:15" s="3" customFormat="1" x14ac:dyDescent="0.2">
      <c r="J3" s="25"/>
      <c r="K3" s="25"/>
    </row>
    <row r="4" spans="1:15" s="3" customFormat="1" x14ac:dyDescent="0.2">
      <c r="J4" s="25"/>
      <c r="K4" s="25"/>
      <c r="L4" s="21"/>
    </row>
    <row r="5" spans="1:15" s="3" customFormat="1" x14ac:dyDescent="0.2">
      <c r="J5" s="25"/>
      <c r="K5" s="25"/>
      <c r="L5" s="21"/>
    </row>
    <row r="6" spans="1:15" s="3" customFormat="1" x14ac:dyDescent="0.2">
      <c r="J6" s="25"/>
      <c r="K6" s="25"/>
      <c r="L6" s="21"/>
    </row>
    <row r="7" spans="1:15" s="3" customFormat="1" x14ac:dyDescent="0.2">
      <c r="J7" s="25"/>
      <c r="K7" s="25"/>
      <c r="L7" s="21"/>
    </row>
    <row r="8" spans="1:15" s="76" customFormat="1" ht="15.75" x14ac:dyDescent="0.25">
      <c r="A8" s="1"/>
      <c r="B8" s="2" t="s">
        <v>1479</v>
      </c>
      <c r="J8" s="77"/>
      <c r="K8" s="77"/>
    </row>
    <row r="9" spans="1:15" s="76" customFormat="1" ht="15.75" x14ac:dyDescent="0.25">
      <c r="A9" s="1"/>
      <c r="B9" s="2" t="s">
        <v>1480</v>
      </c>
      <c r="J9" s="77"/>
      <c r="K9" s="77"/>
    </row>
    <row r="11" spans="1:15" ht="15.75" x14ac:dyDescent="0.25">
      <c r="B11" s="2" t="s">
        <v>186</v>
      </c>
    </row>
    <row r="12" spans="1:15" ht="25.5" x14ac:dyDescent="0.2">
      <c r="B12" s="93"/>
      <c r="C12" s="94" t="s">
        <v>178</v>
      </c>
      <c r="D12" s="94" t="s">
        <v>179</v>
      </c>
      <c r="E12" s="95" t="s">
        <v>180</v>
      </c>
      <c r="G12" s="124"/>
      <c r="H12" s="124"/>
      <c r="I12" s="124"/>
      <c r="J12" s="124"/>
      <c r="K12" s="125"/>
      <c r="L12" s="124"/>
      <c r="M12" s="124"/>
      <c r="N12" s="124"/>
      <c r="O12" s="124"/>
    </row>
    <row r="13" spans="1:15" hidden="1" x14ac:dyDescent="0.2">
      <c r="B13" s="59" t="s">
        <v>852</v>
      </c>
      <c r="C13" s="60">
        <v>18909912.71822067</v>
      </c>
      <c r="D13" s="60">
        <v>9566131.169122437</v>
      </c>
      <c r="E13" s="61">
        <v>9343781.5490982272</v>
      </c>
      <c r="G13" s="125"/>
      <c r="H13" s="117"/>
      <c r="I13" s="117"/>
      <c r="J13" s="117"/>
      <c r="K13" s="125"/>
      <c r="L13" s="125"/>
      <c r="M13" s="117"/>
      <c r="N13" s="117"/>
      <c r="O13" s="117"/>
    </row>
    <row r="14" spans="1:15" hidden="1" x14ac:dyDescent="0.2">
      <c r="B14" s="59" t="s">
        <v>853</v>
      </c>
      <c r="C14" s="62">
        <v>0.114</v>
      </c>
      <c r="D14" s="62">
        <v>2E-3</v>
      </c>
      <c r="E14" s="63">
        <v>1.5E-3</v>
      </c>
      <c r="G14" s="125"/>
      <c r="H14" s="118"/>
      <c r="I14" s="118"/>
      <c r="J14" s="118"/>
      <c r="K14" s="125"/>
      <c r="L14" s="125"/>
      <c r="M14" s="118"/>
      <c r="N14" s="118"/>
      <c r="O14" s="118"/>
    </row>
    <row r="15" spans="1:15" x14ac:dyDescent="0.2">
      <c r="B15" s="59" t="s">
        <v>854</v>
      </c>
      <c r="C15" s="64">
        <v>2155730.0498771565</v>
      </c>
      <c r="D15" s="64">
        <v>19132.262338244873</v>
      </c>
      <c r="E15" s="65">
        <v>14015.672323647341</v>
      </c>
      <c r="G15" s="125"/>
      <c r="H15" s="119"/>
      <c r="I15" s="119"/>
      <c r="J15" s="119"/>
      <c r="K15" s="125"/>
      <c r="L15" s="125"/>
      <c r="M15" s="119"/>
      <c r="N15" s="119"/>
      <c r="O15" s="119"/>
    </row>
    <row r="16" spans="1:15" x14ac:dyDescent="0.2">
      <c r="B16" s="59" t="s">
        <v>883</v>
      </c>
      <c r="C16" s="64">
        <v>10631.542098917358</v>
      </c>
      <c r="D16" s="64">
        <v>94.587489238589853</v>
      </c>
      <c r="E16" s="65">
        <v>69.549955531402233</v>
      </c>
      <c r="G16" s="125"/>
      <c r="H16" s="119"/>
      <c r="I16" s="119"/>
      <c r="J16" s="119"/>
      <c r="K16" s="125"/>
      <c r="L16" s="125"/>
      <c r="M16" s="119"/>
      <c r="N16" s="119"/>
      <c r="O16" s="119"/>
    </row>
    <row r="17" spans="2:15" x14ac:dyDescent="0.2">
      <c r="B17" s="59" t="s">
        <v>884</v>
      </c>
      <c r="C17" s="64">
        <v>-10631.542098916558</v>
      </c>
      <c r="D17" s="64">
        <v>-94.587489238610232</v>
      </c>
      <c r="E17" s="65">
        <v>-69.549955531395952</v>
      </c>
      <c r="G17" s="125"/>
      <c r="H17" s="119"/>
      <c r="I17" s="119"/>
      <c r="J17" s="119"/>
      <c r="K17" s="125"/>
      <c r="L17" s="125"/>
      <c r="M17" s="119"/>
      <c r="N17" s="119"/>
      <c r="O17" s="119"/>
    </row>
    <row r="18" spans="2:15" x14ac:dyDescent="0.2">
      <c r="B18" s="83" t="s">
        <v>885</v>
      </c>
      <c r="C18" s="84">
        <v>21263.084197833916</v>
      </c>
      <c r="D18" s="84">
        <v>189.17497847720009</v>
      </c>
      <c r="E18" s="85">
        <v>139.09991106279818</v>
      </c>
      <c r="G18" s="126"/>
      <c r="H18" s="120"/>
      <c r="I18" s="120"/>
      <c r="J18" s="120"/>
      <c r="K18" s="125"/>
      <c r="L18" s="126"/>
      <c r="M18" s="120"/>
      <c r="N18" s="120"/>
      <c r="O18" s="120"/>
    </row>
    <row r="19" spans="2:15" x14ac:dyDescent="0.2">
      <c r="B19" s="83" t="s">
        <v>886</v>
      </c>
      <c r="C19" s="86">
        <v>9.8635189499007934E-3</v>
      </c>
      <c r="D19" s="86">
        <v>0.01</v>
      </c>
      <c r="E19" s="87">
        <v>9.7999999999999997E-3</v>
      </c>
      <c r="G19" s="126"/>
      <c r="H19" s="121"/>
      <c r="I19" s="121"/>
      <c r="J19" s="121"/>
      <c r="K19" s="125"/>
      <c r="L19" s="126"/>
      <c r="M19" s="121"/>
      <c r="N19" s="121"/>
      <c r="O19" s="121"/>
    </row>
    <row r="20" spans="2:15" x14ac:dyDescent="0.2">
      <c r="B20" s="59" t="s">
        <v>837</v>
      </c>
      <c r="C20" s="66">
        <v>318</v>
      </c>
      <c r="D20" s="67" t="s">
        <v>749</v>
      </c>
      <c r="E20" s="68" t="s">
        <v>749</v>
      </c>
      <c r="G20" s="125"/>
      <c r="H20" s="122"/>
      <c r="I20" s="123"/>
      <c r="J20" s="122"/>
      <c r="K20" s="125"/>
      <c r="L20" s="125"/>
      <c r="M20" s="122"/>
      <c r="N20" s="123"/>
      <c r="O20" s="122"/>
    </row>
    <row r="21" spans="2:15" x14ac:dyDescent="0.2">
      <c r="B21" s="69" t="s">
        <v>838</v>
      </c>
      <c r="C21" s="70">
        <v>187</v>
      </c>
      <c r="D21" s="70" t="s">
        <v>749</v>
      </c>
      <c r="E21" s="71" t="s">
        <v>749</v>
      </c>
      <c r="G21" s="125"/>
      <c r="H21" s="122"/>
      <c r="I21" s="122"/>
      <c r="J21" s="122"/>
      <c r="K21" s="125"/>
      <c r="L21" s="125"/>
      <c r="M21" s="122"/>
      <c r="N21" s="122"/>
      <c r="O21" s="122"/>
    </row>
    <row r="23" spans="2:15" ht="38.25" x14ac:dyDescent="0.2">
      <c r="B23" s="93" t="s">
        <v>843</v>
      </c>
      <c r="C23" s="95" t="s">
        <v>1050</v>
      </c>
    </row>
    <row r="24" spans="2:15" x14ac:dyDescent="0.2">
      <c r="B24" s="72" t="s">
        <v>1064</v>
      </c>
      <c r="C24" s="65">
        <v>989.16942882819694</v>
      </c>
    </row>
    <row r="25" spans="2:15" x14ac:dyDescent="0.2">
      <c r="B25" s="72" t="s">
        <v>1058</v>
      </c>
      <c r="C25" s="65">
        <v>830.12292340897716</v>
      </c>
    </row>
    <row r="26" spans="2:15" x14ac:dyDescent="0.2">
      <c r="B26" s="72" t="s">
        <v>1056</v>
      </c>
      <c r="C26" s="65">
        <v>757.85905638768679</v>
      </c>
    </row>
    <row r="27" spans="2:15" x14ac:dyDescent="0.2">
      <c r="B27" s="72" t="s">
        <v>1054</v>
      </c>
      <c r="C27" s="65">
        <v>565.98200968128242</v>
      </c>
    </row>
    <row r="28" spans="2:15" x14ac:dyDescent="0.2">
      <c r="B28" s="72" t="s">
        <v>1052</v>
      </c>
      <c r="C28" s="65">
        <v>470.22836822449904</v>
      </c>
    </row>
    <row r="29" spans="2:15" x14ac:dyDescent="0.2">
      <c r="B29" s="72" t="s">
        <v>1057</v>
      </c>
      <c r="C29" s="65">
        <v>451.86192850502812</v>
      </c>
    </row>
    <row r="30" spans="2:15" x14ac:dyDescent="0.2">
      <c r="B30" s="72" t="s">
        <v>1063</v>
      </c>
      <c r="C30" s="65">
        <v>383.95097444830009</v>
      </c>
    </row>
    <row r="31" spans="2:15" x14ac:dyDescent="0.2">
      <c r="B31" s="72" t="s">
        <v>1053</v>
      </c>
      <c r="C31" s="65">
        <v>367.07871686103573</v>
      </c>
    </row>
    <row r="32" spans="2:15" x14ac:dyDescent="0.2">
      <c r="B32" s="72" t="s">
        <v>1060</v>
      </c>
      <c r="C32" s="65">
        <v>239.90603042627293</v>
      </c>
    </row>
    <row r="33" spans="2:3" x14ac:dyDescent="0.2">
      <c r="B33" s="72" t="s">
        <v>1066</v>
      </c>
      <c r="C33" s="65">
        <v>218.22855069752487</v>
      </c>
    </row>
    <row r="34" spans="2:3" x14ac:dyDescent="0.2">
      <c r="B34" s="72" t="s">
        <v>1062</v>
      </c>
      <c r="C34" s="65">
        <v>204.53329058419718</v>
      </c>
    </row>
    <row r="35" spans="2:3" x14ac:dyDescent="0.2">
      <c r="B35" s="72" t="s">
        <v>1074</v>
      </c>
      <c r="C35" s="65">
        <v>111.29936148366748</v>
      </c>
    </row>
    <row r="36" spans="2:3" x14ac:dyDescent="0.2">
      <c r="B36" s="72" t="s">
        <v>1070</v>
      </c>
      <c r="C36" s="65">
        <v>48.21817542976224</v>
      </c>
    </row>
    <row r="37" spans="2:3" x14ac:dyDescent="0.2">
      <c r="B37" s="72" t="s">
        <v>1073</v>
      </c>
      <c r="C37" s="65">
        <v>38.042165777978106</v>
      </c>
    </row>
    <row r="38" spans="2:3" x14ac:dyDescent="0.2">
      <c r="B38" s="72" t="s">
        <v>1067</v>
      </c>
      <c r="C38" s="65">
        <v>-168.64556118941195</v>
      </c>
    </row>
    <row r="39" spans="2:3" x14ac:dyDescent="0.2">
      <c r="B39" s="72" t="s">
        <v>1055</v>
      </c>
      <c r="C39" s="65">
        <v>-371.50972205763105</v>
      </c>
    </row>
    <row r="40" spans="2:3" x14ac:dyDescent="0.2">
      <c r="B40" s="72" t="s">
        <v>1071</v>
      </c>
      <c r="C40" s="65">
        <v>-378.57872849062568</v>
      </c>
    </row>
    <row r="41" spans="2:3" x14ac:dyDescent="0.2">
      <c r="B41" s="72" t="s">
        <v>1072</v>
      </c>
      <c r="C41" s="65">
        <v>-393.04907739469661</v>
      </c>
    </row>
    <row r="42" spans="2:3" x14ac:dyDescent="0.2">
      <c r="B42" s="72" t="s">
        <v>1059</v>
      </c>
      <c r="C42" s="65">
        <v>-407.49220061062272</v>
      </c>
    </row>
    <row r="43" spans="2:3" x14ac:dyDescent="0.2">
      <c r="B43" s="72" t="s">
        <v>1065</v>
      </c>
      <c r="C43" s="65">
        <v>-471.29632439450472</v>
      </c>
    </row>
    <row r="44" spans="2:3" x14ac:dyDescent="0.2">
      <c r="B44" s="72" t="s">
        <v>1061</v>
      </c>
      <c r="C44" s="65">
        <v>-540.00423761553577</v>
      </c>
    </row>
    <row r="45" spans="2:3" x14ac:dyDescent="0.2">
      <c r="B45" s="72" t="s">
        <v>1051</v>
      </c>
      <c r="C45" s="65">
        <v>-798.11878470926752</v>
      </c>
    </row>
    <row r="46" spans="2:3" x14ac:dyDescent="0.2">
      <c r="B46" s="72" t="s">
        <v>1069</v>
      </c>
      <c r="C46" s="65">
        <v>-921.59766580223754</v>
      </c>
    </row>
    <row r="47" spans="2:3" x14ac:dyDescent="0.2">
      <c r="B47" s="73" t="s">
        <v>1068</v>
      </c>
      <c r="C47" s="74">
        <v>-1226.1886784790925</v>
      </c>
    </row>
    <row r="50" spans="2:2" x14ac:dyDescent="0.2">
      <c r="B50" s="44" t="s">
        <v>1482</v>
      </c>
    </row>
    <row r="51" spans="2:2" x14ac:dyDescent="0.2">
      <c r="B51" s="44" t="s">
        <v>1332</v>
      </c>
    </row>
    <row r="147" spans="13:13" x14ac:dyDescent="0.2">
      <c r="M147" s="75"/>
    </row>
  </sheetData>
  <sortState ref="B24:C47">
    <sortCondition descending="1" ref="C24:C47"/>
  </sortState>
  <phoneticPr fontId="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8"/>
  <sheetViews>
    <sheetView zoomScale="85" zoomScaleNormal="85" workbookViewId="0"/>
  </sheetViews>
  <sheetFormatPr defaultRowHeight="12.75" x14ac:dyDescent="0.2"/>
  <cols>
    <col min="1" max="1" width="9.140625" style="48"/>
    <col min="2" max="2" width="7.5703125" style="48" customWidth="1"/>
    <col min="3" max="3" width="17.28515625" style="48" customWidth="1"/>
    <col min="4" max="4" width="12" style="48" customWidth="1"/>
    <col min="5" max="5" width="8.7109375" style="48" customWidth="1"/>
    <col min="6" max="6" width="2.85546875" style="48" customWidth="1"/>
    <col min="7" max="7" width="7.5703125" style="48" customWidth="1"/>
    <col min="8" max="8" width="17.28515625" style="48" customWidth="1"/>
    <col min="9" max="9" width="12" style="48" customWidth="1"/>
    <col min="10" max="10" width="11.5703125" style="48" bestFit="1" customWidth="1"/>
    <col min="11" max="11" width="6.7109375" style="48" bestFit="1" customWidth="1"/>
    <col min="12" max="12" width="7.5703125" style="48" customWidth="1"/>
    <col min="13" max="13" width="17.28515625" style="48" customWidth="1"/>
    <col min="14" max="14" width="12" style="48" customWidth="1"/>
    <col min="15" max="15" width="8.7109375" style="48" customWidth="1"/>
    <col min="16" max="16" width="2.85546875" style="48" customWidth="1"/>
    <col min="17" max="17" width="7.5703125" style="48" customWidth="1"/>
    <col min="18" max="18" width="17.28515625" style="48" customWidth="1"/>
    <col min="19" max="19" width="12" style="48" customWidth="1"/>
    <col min="20" max="20" width="8.7109375" style="48" customWidth="1"/>
    <col min="21" max="16384" width="9.140625" style="48"/>
  </cols>
  <sheetData>
    <row r="1" spans="1:20" s="25" customFormat="1" x14ac:dyDescent="0.2"/>
    <row r="2" spans="1:20" s="25" customFormat="1" x14ac:dyDescent="0.2"/>
    <row r="3" spans="1:20" s="25" customFormat="1" x14ac:dyDescent="0.2"/>
    <row r="4" spans="1:20" s="25" customFormat="1" x14ac:dyDescent="0.2"/>
    <row r="5" spans="1:20" s="25" customFormat="1" x14ac:dyDescent="0.2"/>
    <row r="6" spans="1:20" s="25" customFormat="1" x14ac:dyDescent="0.2"/>
    <row r="7" spans="1:20" s="25" customFormat="1" x14ac:dyDescent="0.2"/>
    <row r="8" spans="1:20" s="25" customFormat="1" ht="15.75" x14ac:dyDescent="0.25">
      <c r="A8" s="88"/>
      <c r="B8" s="89" t="s">
        <v>1479</v>
      </c>
      <c r="G8" s="88"/>
      <c r="L8" s="88"/>
      <c r="Q8" s="88"/>
    </row>
    <row r="9" spans="1:20" s="25" customFormat="1" ht="15.75" x14ac:dyDescent="0.25">
      <c r="A9" s="88"/>
      <c r="B9" s="89" t="s">
        <v>1480</v>
      </c>
      <c r="G9" s="88"/>
      <c r="L9" s="88"/>
      <c r="Q9" s="88"/>
    </row>
    <row r="11" spans="1:20" s="90" customFormat="1" ht="15.75" x14ac:dyDescent="0.25">
      <c r="B11" s="89" t="s">
        <v>195</v>
      </c>
      <c r="G11" s="89" t="s">
        <v>196</v>
      </c>
      <c r="L11" s="89" t="s">
        <v>197</v>
      </c>
      <c r="Q11" s="89" t="s">
        <v>198</v>
      </c>
    </row>
    <row r="12" spans="1:20" ht="33.75" x14ac:dyDescent="0.2">
      <c r="B12" s="127" t="s">
        <v>839</v>
      </c>
      <c r="C12" s="128" t="s">
        <v>842</v>
      </c>
      <c r="D12" s="128" t="s">
        <v>874</v>
      </c>
      <c r="E12" s="129" t="s">
        <v>870</v>
      </c>
      <c r="F12" s="91"/>
      <c r="G12" s="127" t="s">
        <v>839</v>
      </c>
      <c r="H12" s="128" t="s">
        <v>842</v>
      </c>
      <c r="I12" s="128" t="s">
        <v>874</v>
      </c>
      <c r="J12" s="129" t="s">
        <v>870</v>
      </c>
      <c r="K12" s="91"/>
      <c r="L12" s="127" t="s">
        <v>839</v>
      </c>
      <c r="M12" s="128" t="s">
        <v>842</v>
      </c>
      <c r="N12" s="128" t="s">
        <v>874</v>
      </c>
      <c r="O12" s="129" t="s">
        <v>870</v>
      </c>
      <c r="P12" s="96"/>
      <c r="Q12" s="127" t="s">
        <v>839</v>
      </c>
      <c r="R12" s="128" t="s">
        <v>842</v>
      </c>
      <c r="S12" s="128" t="s">
        <v>874</v>
      </c>
      <c r="T12" s="129" t="s">
        <v>870</v>
      </c>
    </row>
    <row r="13" spans="1:20" x14ac:dyDescent="0.2">
      <c r="B13" s="47" t="s">
        <v>1097</v>
      </c>
      <c r="C13" s="48" t="s">
        <v>641</v>
      </c>
      <c r="D13" s="49">
        <v>412.87108047105443</v>
      </c>
      <c r="E13" s="50">
        <v>2.990843328065282</v>
      </c>
      <c r="G13" s="47" t="s">
        <v>774</v>
      </c>
      <c r="H13" s="48" t="s">
        <v>972</v>
      </c>
      <c r="I13" s="49">
        <v>-109.53376682538762</v>
      </c>
      <c r="J13" s="50">
        <v>-2.3451509959138681</v>
      </c>
      <c r="L13" s="47" t="s">
        <v>893</v>
      </c>
      <c r="M13" s="48" t="s">
        <v>781</v>
      </c>
      <c r="N13" s="51">
        <v>719.55782283321423</v>
      </c>
      <c r="O13" s="52">
        <v>0.43312166783374545</v>
      </c>
      <c r="Q13" s="47" t="s">
        <v>888</v>
      </c>
      <c r="R13" s="48" t="s">
        <v>776</v>
      </c>
      <c r="S13" s="51">
        <v>-854.83956289701837</v>
      </c>
      <c r="T13" s="52">
        <v>-0.29780819133473901</v>
      </c>
    </row>
    <row r="14" spans="1:20" x14ac:dyDescent="0.2">
      <c r="B14" s="47" t="s">
        <v>1523</v>
      </c>
      <c r="C14" s="48" t="s">
        <v>2061</v>
      </c>
      <c r="D14" s="49">
        <v>161.15370468117518</v>
      </c>
      <c r="E14" s="50">
        <v>1.9034302941033276</v>
      </c>
      <c r="G14" s="47" t="s">
        <v>1413</v>
      </c>
      <c r="H14" s="48" t="s">
        <v>1422</v>
      </c>
      <c r="I14" s="49">
        <v>-261.52029325981999</v>
      </c>
      <c r="J14" s="50">
        <v>-2.3029220519483578</v>
      </c>
      <c r="L14" s="47" t="s">
        <v>1409</v>
      </c>
      <c r="M14" s="48" t="s">
        <v>2062</v>
      </c>
      <c r="N14" s="51">
        <v>536.29328818479428</v>
      </c>
      <c r="O14" s="52">
        <v>1.5120571310653221</v>
      </c>
      <c r="Q14" s="47" t="s">
        <v>921</v>
      </c>
      <c r="R14" s="48" t="s">
        <v>807</v>
      </c>
      <c r="S14" s="51">
        <v>-730.09155922022546</v>
      </c>
      <c r="T14" s="52">
        <v>-1.0238900625224649</v>
      </c>
    </row>
    <row r="15" spans="1:20" x14ac:dyDescent="0.2">
      <c r="B15" s="47" t="s">
        <v>1224</v>
      </c>
      <c r="C15" s="48" t="s">
        <v>33</v>
      </c>
      <c r="D15" s="49">
        <v>46.476061356347621</v>
      </c>
      <c r="E15" s="50">
        <v>1.8184996523453656</v>
      </c>
      <c r="G15" s="47" t="s">
        <v>1374</v>
      </c>
      <c r="H15" s="48" t="s">
        <v>2122</v>
      </c>
      <c r="I15" s="49">
        <v>-144.29569940373187</v>
      </c>
      <c r="J15" s="50">
        <v>-1.9208126640994212</v>
      </c>
      <c r="L15" s="47" t="s">
        <v>1097</v>
      </c>
      <c r="M15" s="48" t="s">
        <v>641</v>
      </c>
      <c r="N15" s="51">
        <v>412.87108047105443</v>
      </c>
      <c r="O15" s="52">
        <v>2.990843328065282</v>
      </c>
      <c r="Q15" s="47" t="s">
        <v>750</v>
      </c>
      <c r="R15" s="48" t="s">
        <v>832</v>
      </c>
      <c r="S15" s="51">
        <v>-438.03083857909763</v>
      </c>
      <c r="T15" s="52">
        <v>-1.0938986250468665</v>
      </c>
    </row>
    <row r="16" spans="1:20" x14ac:dyDescent="0.2">
      <c r="B16" s="47" t="s">
        <v>258</v>
      </c>
      <c r="C16" s="48" t="s">
        <v>101</v>
      </c>
      <c r="D16" s="49">
        <v>165.87300333321994</v>
      </c>
      <c r="E16" s="50">
        <v>1.7082588689862637</v>
      </c>
      <c r="G16" s="47" t="s">
        <v>1231</v>
      </c>
      <c r="H16" s="48" t="s">
        <v>38</v>
      </c>
      <c r="I16" s="49">
        <v>-46.774631504522809</v>
      </c>
      <c r="J16" s="50">
        <v>-1.3668618336869676</v>
      </c>
      <c r="L16" s="47" t="s">
        <v>1412</v>
      </c>
      <c r="M16" s="48" t="s">
        <v>2077</v>
      </c>
      <c r="N16" s="51">
        <v>289.36566646371875</v>
      </c>
      <c r="O16" s="52">
        <v>0.1481733241667087</v>
      </c>
      <c r="Q16" s="47" t="s">
        <v>769</v>
      </c>
      <c r="R16" s="48" t="s">
        <v>968</v>
      </c>
      <c r="S16" s="51">
        <v>-355.90645973782978</v>
      </c>
      <c r="T16" s="52">
        <v>-0.49445162063575337</v>
      </c>
    </row>
    <row r="17" spans="2:20" x14ac:dyDescent="0.2">
      <c r="B17" s="47" t="s">
        <v>1409</v>
      </c>
      <c r="C17" s="48" t="s">
        <v>2062</v>
      </c>
      <c r="D17" s="49">
        <v>536.29328818479428</v>
      </c>
      <c r="E17" s="50">
        <v>1.5120571310653221</v>
      </c>
      <c r="G17" s="47" t="s">
        <v>739</v>
      </c>
      <c r="H17" s="48" t="s">
        <v>1426</v>
      </c>
      <c r="I17" s="49">
        <v>-101.21577669585621</v>
      </c>
      <c r="J17" s="50">
        <v>-1.3433197018650491</v>
      </c>
      <c r="L17" s="47" t="s">
        <v>759</v>
      </c>
      <c r="M17" s="48" t="s">
        <v>958</v>
      </c>
      <c r="N17" s="51">
        <v>259.76063790045174</v>
      </c>
      <c r="O17" s="52">
        <v>0.91203140691550133</v>
      </c>
      <c r="Q17" s="47" t="s">
        <v>1087</v>
      </c>
      <c r="R17" s="48" t="s">
        <v>631</v>
      </c>
      <c r="S17" s="51">
        <v>-304.60877452111623</v>
      </c>
      <c r="T17" s="52">
        <v>-1.0596876572331682</v>
      </c>
    </row>
    <row r="18" spans="2:20" x14ac:dyDescent="0.2">
      <c r="B18" s="47" t="s">
        <v>1379</v>
      </c>
      <c r="C18" s="48" t="s">
        <v>1381</v>
      </c>
      <c r="D18" s="49">
        <v>237.40827269615008</v>
      </c>
      <c r="E18" s="50">
        <v>1.312446927046615</v>
      </c>
      <c r="G18" s="47" t="s">
        <v>1476</v>
      </c>
      <c r="H18" s="48" t="s">
        <v>2121</v>
      </c>
      <c r="I18" s="49">
        <v>-88.318074630724354</v>
      </c>
      <c r="J18" s="50">
        <v>-1.28785354139563</v>
      </c>
      <c r="L18" s="47" t="s">
        <v>1324</v>
      </c>
      <c r="M18" s="48" t="s">
        <v>1330</v>
      </c>
      <c r="N18" s="51">
        <v>244.1161322130317</v>
      </c>
      <c r="O18" s="52">
        <v>0.87059233211591824</v>
      </c>
      <c r="Q18" s="47" t="s">
        <v>937</v>
      </c>
      <c r="R18" s="48" t="s">
        <v>821</v>
      </c>
      <c r="S18" s="51">
        <v>-285.05086829970304</v>
      </c>
      <c r="T18" s="52">
        <v>-0.57483919396556082</v>
      </c>
    </row>
    <row r="19" spans="2:20" x14ac:dyDescent="0.2">
      <c r="B19" s="47" t="s">
        <v>1113</v>
      </c>
      <c r="C19" s="48" t="s">
        <v>654</v>
      </c>
      <c r="D19" s="49">
        <v>77.132419175402532</v>
      </c>
      <c r="E19" s="50">
        <v>1.1873838409804556</v>
      </c>
      <c r="G19" s="47" t="s">
        <v>286</v>
      </c>
      <c r="H19" s="48" t="s">
        <v>128</v>
      </c>
      <c r="I19" s="49">
        <v>-81.666997678442939</v>
      </c>
      <c r="J19" s="50">
        <v>-1.2701021944662783</v>
      </c>
      <c r="L19" s="47" t="s">
        <v>1379</v>
      </c>
      <c r="M19" s="48" t="s">
        <v>1381</v>
      </c>
      <c r="N19" s="51">
        <v>237.40827269615008</v>
      </c>
      <c r="O19" s="52">
        <v>1.312446927046615</v>
      </c>
      <c r="Q19" s="47" t="s">
        <v>934</v>
      </c>
      <c r="R19" s="48" t="s">
        <v>818</v>
      </c>
      <c r="S19" s="51">
        <v>-268.24941756034502</v>
      </c>
      <c r="T19" s="52">
        <v>-0.15836313637085142</v>
      </c>
    </row>
    <row r="20" spans="2:20" x14ac:dyDescent="0.2">
      <c r="B20" s="47" t="s">
        <v>1215</v>
      </c>
      <c r="C20" s="48" t="s">
        <v>24</v>
      </c>
      <c r="D20" s="49">
        <v>83.770958165104176</v>
      </c>
      <c r="E20" s="50">
        <v>1.1294179151382846</v>
      </c>
      <c r="G20" s="47" t="s">
        <v>1108</v>
      </c>
      <c r="H20" s="48" t="s">
        <v>650</v>
      </c>
      <c r="I20" s="49">
        <v>-54.402864099045644</v>
      </c>
      <c r="J20" s="50">
        <v>-1.2105441167717925</v>
      </c>
      <c r="L20" s="47" t="s">
        <v>1414</v>
      </c>
      <c r="M20" s="48" t="s">
        <v>2070</v>
      </c>
      <c r="N20" s="51">
        <v>208.91136192651521</v>
      </c>
      <c r="O20" s="52">
        <v>0.22257445408465273</v>
      </c>
      <c r="Q20" s="47" t="s">
        <v>945</v>
      </c>
      <c r="R20" s="48" t="s">
        <v>828</v>
      </c>
      <c r="S20" s="51">
        <v>-263.09187656101847</v>
      </c>
      <c r="T20" s="52">
        <v>-0.2245686373603353</v>
      </c>
    </row>
    <row r="21" spans="2:20" x14ac:dyDescent="0.2">
      <c r="B21" s="47" t="s">
        <v>907</v>
      </c>
      <c r="C21" s="48" t="s">
        <v>795</v>
      </c>
      <c r="D21" s="49">
        <v>90.509416640234974</v>
      </c>
      <c r="E21" s="50">
        <v>1.082521339024398</v>
      </c>
      <c r="G21" s="47" t="s">
        <v>265</v>
      </c>
      <c r="H21" s="48" t="s">
        <v>107</v>
      </c>
      <c r="I21" s="49">
        <v>-132.40177549937226</v>
      </c>
      <c r="J21" s="50">
        <v>-1.1923487270519921</v>
      </c>
      <c r="L21" s="47" t="s">
        <v>754</v>
      </c>
      <c r="M21" s="48" t="s">
        <v>953</v>
      </c>
      <c r="N21" s="51">
        <v>178.42764687757233</v>
      </c>
      <c r="O21" s="52">
        <v>0.2649615879606716</v>
      </c>
      <c r="Q21" s="47" t="s">
        <v>1413</v>
      </c>
      <c r="R21" s="48" t="s">
        <v>1422</v>
      </c>
      <c r="S21" s="51">
        <v>-261.52029325981999</v>
      </c>
      <c r="T21" s="52">
        <v>-2.3029220519483578</v>
      </c>
    </row>
    <row r="22" spans="2:20" x14ac:dyDescent="0.2">
      <c r="B22" s="53" t="s">
        <v>288</v>
      </c>
      <c r="C22" s="54" t="s">
        <v>130</v>
      </c>
      <c r="D22" s="55">
        <v>123.6922777032709</v>
      </c>
      <c r="E22" s="56">
        <v>1.0110471762244861</v>
      </c>
      <c r="G22" s="53" t="s">
        <v>289</v>
      </c>
      <c r="H22" s="54" t="s">
        <v>131</v>
      </c>
      <c r="I22" s="55">
        <v>-75.788078723980377</v>
      </c>
      <c r="J22" s="56">
        <v>-1.1081389939968895</v>
      </c>
      <c r="L22" s="53" t="s">
        <v>258</v>
      </c>
      <c r="M22" s="54" t="s">
        <v>101</v>
      </c>
      <c r="N22" s="57">
        <v>165.87300333321994</v>
      </c>
      <c r="O22" s="58">
        <v>1.7082588689862637</v>
      </c>
      <c r="Q22" s="53" t="s">
        <v>932</v>
      </c>
      <c r="R22" s="54" t="s">
        <v>816</v>
      </c>
      <c r="S22" s="57">
        <v>-241.24815869704739</v>
      </c>
      <c r="T22" s="58">
        <v>-0.32297271712853304</v>
      </c>
    </row>
    <row r="24" spans="2:20" x14ac:dyDescent="0.2">
      <c r="B24" s="92"/>
      <c r="G24" s="92"/>
      <c r="L24" s="92"/>
      <c r="Q24" s="92"/>
    </row>
    <row r="25" spans="2:20" x14ac:dyDescent="0.2">
      <c r="B25" s="92"/>
      <c r="G25" s="92"/>
      <c r="L25" s="92"/>
      <c r="Q25" s="92"/>
    </row>
    <row r="27" spans="2:20" x14ac:dyDescent="0.2">
      <c r="B27" s="44" t="s">
        <v>1482</v>
      </c>
    </row>
    <row r="28" spans="2:20" x14ac:dyDescent="0.2">
      <c r="B28" s="44" t="s">
        <v>1332</v>
      </c>
    </row>
  </sheetData>
  <sortState ref="G13:J22">
    <sortCondition ref="J13:J22"/>
  </sortState>
  <phoneticPr fontId="4" type="noConversion"/>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525"/>
  <sheetViews>
    <sheetView zoomScale="85" zoomScaleNormal="85" workbookViewId="0">
      <pane xSplit="1" ySplit="19" topLeftCell="E20" activePane="bottomRight" state="frozen"/>
      <selection activeCell="A9" sqref="A9"/>
      <selection pane="topRight" activeCell="A9" sqref="A9"/>
      <selection pane="bottomLeft" activeCell="A9" sqref="A9"/>
      <selection pane="bottomRight" activeCell="E20" sqref="E20"/>
    </sheetView>
  </sheetViews>
  <sheetFormatPr defaultRowHeight="12.75" x14ac:dyDescent="0.2"/>
  <cols>
    <col min="1" max="1" width="9.140625" style="3"/>
    <col min="2" max="2" width="9.28515625" style="3" hidden="1" customWidth="1"/>
    <col min="3" max="4" width="9.140625" style="3" hidden="1" customWidth="1"/>
    <col min="5" max="5" width="16.42578125" style="3" customWidth="1"/>
    <col min="6" max="6" width="20" style="3" customWidth="1"/>
    <col min="7" max="7" width="15.7109375" style="3" customWidth="1"/>
    <col min="8" max="8" width="9.85546875" style="3" customWidth="1"/>
    <col min="9" max="9" width="10.28515625" style="3" bestFit="1" customWidth="1"/>
    <col min="10" max="10" width="10.7109375" style="3" customWidth="1"/>
    <col min="11" max="11" width="9.140625" style="3"/>
    <col min="12" max="12" width="9.140625" style="3" customWidth="1"/>
    <col min="13" max="14" width="9.140625" style="4" hidden="1" customWidth="1"/>
    <col min="15" max="15" width="8.140625" style="4" hidden="1" customWidth="1"/>
    <col min="16" max="16" width="10.28515625" style="4" hidden="1" customWidth="1"/>
    <col min="17" max="18" width="9.28515625" style="3" hidden="1" customWidth="1"/>
    <col min="19" max="20" width="9.140625" style="3" hidden="1" customWidth="1"/>
    <col min="21" max="23" width="9.140625" style="3"/>
    <col min="24" max="24" width="10.28515625" style="3" customWidth="1"/>
    <col min="25" max="25" width="11.28515625" style="3" bestFit="1" customWidth="1"/>
    <col min="26" max="29" width="9.140625" style="3" hidden="1" customWidth="1"/>
    <col min="30" max="30" width="12" style="3" hidden="1" customWidth="1"/>
    <col min="31" max="34" width="9.140625" style="3" hidden="1" customWidth="1"/>
    <col min="35" max="35" width="9.28515625" style="3" hidden="1" customWidth="1"/>
    <col min="36" max="36" width="10.5703125" style="3" bestFit="1" customWidth="1"/>
    <col min="37" max="37" width="11.28515625" style="3" bestFit="1" customWidth="1"/>
    <col min="38" max="38" width="11.28515625" style="3" customWidth="1"/>
    <col min="39" max="39" width="12.28515625" style="25" customWidth="1"/>
    <col min="40" max="40" width="9.140625" style="3"/>
    <col min="41" max="42" width="10.28515625" style="3" bestFit="1" customWidth="1"/>
    <col min="43" max="16384" width="9.140625" style="3"/>
  </cols>
  <sheetData>
    <row r="1" spans="1:39" x14ac:dyDescent="0.2">
      <c r="U1" s="5" t="s">
        <v>875</v>
      </c>
      <c r="V1" s="5"/>
      <c r="W1" s="5"/>
      <c r="X1" s="5"/>
      <c r="Y1" s="6" t="s">
        <v>178</v>
      </c>
      <c r="Z1" s="3" t="s">
        <v>875</v>
      </c>
      <c r="AD1" s="7" t="s">
        <v>179</v>
      </c>
      <c r="AE1" s="3" t="s">
        <v>875</v>
      </c>
      <c r="AI1" s="7" t="s">
        <v>180</v>
      </c>
      <c r="AK1" s="8" t="s">
        <v>183</v>
      </c>
      <c r="AL1" s="9"/>
      <c r="AM1" s="10"/>
    </row>
    <row r="2" spans="1:39" x14ac:dyDescent="0.2">
      <c r="U2" s="5" t="s">
        <v>852</v>
      </c>
      <c r="V2" s="5"/>
      <c r="W2" s="5"/>
      <c r="X2" s="5"/>
      <c r="Y2" s="11">
        <v>18909912.71822067</v>
      </c>
      <c r="Z2" s="3" t="s">
        <v>852</v>
      </c>
      <c r="AD2" s="12">
        <v>9566131.169122437</v>
      </c>
      <c r="AE2" s="3" t="s">
        <v>852</v>
      </c>
      <c r="AI2" s="12">
        <v>9343781.5490982272</v>
      </c>
      <c r="AK2" s="13" t="s">
        <v>184</v>
      </c>
      <c r="AL2" s="14"/>
      <c r="AM2" s="15"/>
    </row>
    <row r="3" spans="1:39" x14ac:dyDescent="0.2">
      <c r="U3" s="5" t="s">
        <v>853</v>
      </c>
      <c r="V3" s="5"/>
      <c r="W3" s="5"/>
      <c r="X3" s="5"/>
      <c r="Y3" s="16">
        <v>0.114</v>
      </c>
      <c r="Z3" s="3" t="s">
        <v>853</v>
      </c>
      <c r="AD3" s="17">
        <v>2E-3</v>
      </c>
      <c r="AE3" s="3" t="s">
        <v>853</v>
      </c>
      <c r="AI3" s="17">
        <v>1.5E-3</v>
      </c>
      <c r="AK3" s="18" t="s">
        <v>185</v>
      </c>
      <c r="AL3" s="19"/>
      <c r="AM3" s="20"/>
    </row>
    <row r="4" spans="1:39" x14ac:dyDescent="0.2">
      <c r="U4" s="5" t="s">
        <v>854</v>
      </c>
      <c r="V4" s="5"/>
      <c r="W4" s="5"/>
      <c r="X4" s="5"/>
      <c r="Y4" s="11">
        <v>2155730.0498771565</v>
      </c>
      <c r="Z4" s="3" t="s">
        <v>854</v>
      </c>
      <c r="AD4" s="12">
        <v>19132.262338244873</v>
      </c>
      <c r="AE4" s="3" t="s">
        <v>854</v>
      </c>
      <c r="AI4" s="12">
        <v>14015.672323647341</v>
      </c>
      <c r="AL4" s="97" t="s">
        <v>181</v>
      </c>
      <c r="AM4" s="21"/>
    </row>
    <row r="5" spans="1:39" x14ac:dyDescent="0.2">
      <c r="U5" s="5" t="s">
        <v>883</v>
      </c>
      <c r="V5" s="5"/>
      <c r="W5" s="5"/>
      <c r="X5" s="5">
        <v>318</v>
      </c>
      <c r="Y5" s="11">
        <v>10631.542098917358</v>
      </c>
      <c r="Z5" s="3" t="s">
        <v>883</v>
      </c>
      <c r="AD5" s="12">
        <v>94.587489238589853</v>
      </c>
      <c r="AE5" s="3" t="s">
        <v>883</v>
      </c>
      <c r="AI5" s="12">
        <v>69.549955531402233</v>
      </c>
      <c r="AL5" s="98" t="s">
        <v>182</v>
      </c>
      <c r="AM5" s="21"/>
    </row>
    <row r="6" spans="1:39" x14ac:dyDescent="0.2">
      <c r="U6" s="5" t="s">
        <v>884</v>
      </c>
      <c r="V6" s="5"/>
      <c r="W6" s="5"/>
      <c r="X6" s="5">
        <v>187</v>
      </c>
      <c r="Y6" s="11">
        <v>-10631.542098916558</v>
      </c>
      <c r="Z6" s="3" t="s">
        <v>884</v>
      </c>
      <c r="AD6" s="12">
        <v>-94.587489238610232</v>
      </c>
      <c r="AE6" s="3" t="s">
        <v>884</v>
      </c>
      <c r="AI6" s="12">
        <v>-69.549955531395952</v>
      </c>
      <c r="AL6" s="22">
        <v>500</v>
      </c>
      <c r="AM6" s="21"/>
    </row>
    <row r="7" spans="1:39" x14ac:dyDescent="0.2">
      <c r="U7" s="5" t="s">
        <v>885</v>
      </c>
      <c r="V7" s="5"/>
      <c r="W7" s="5"/>
      <c r="X7" s="5"/>
      <c r="Y7" s="11">
        <v>21263.084197833916</v>
      </c>
      <c r="Z7" s="3" t="s">
        <v>885</v>
      </c>
      <c r="AD7" s="12">
        <v>189.17497847720009</v>
      </c>
      <c r="AE7" s="3" t="s">
        <v>885</v>
      </c>
      <c r="AI7" s="12">
        <v>139.09991106279818</v>
      </c>
      <c r="AM7" s="21"/>
    </row>
    <row r="8" spans="1:39" ht="15.75" x14ac:dyDescent="0.25">
      <c r="A8" s="2" t="s">
        <v>2123</v>
      </c>
      <c r="U8" s="5" t="s">
        <v>886</v>
      </c>
      <c r="V8" s="5"/>
      <c r="W8" s="5"/>
      <c r="X8" s="5"/>
      <c r="Y8" s="23">
        <v>9.8635189499007934E-3</v>
      </c>
      <c r="Z8" s="3" t="s">
        <v>886</v>
      </c>
      <c r="AD8" s="24">
        <v>0.01</v>
      </c>
      <c r="AE8" s="3" t="s">
        <v>886</v>
      </c>
      <c r="AI8" s="24">
        <v>9.7999999999999997E-3</v>
      </c>
      <c r="AM8" s="24"/>
    </row>
    <row r="9" spans="1:39" ht="15.75" x14ac:dyDescent="0.25">
      <c r="A9" s="2" t="s">
        <v>1480</v>
      </c>
      <c r="U9" s="5"/>
      <c r="V9" s="5"/>
      <c r="W9" s="5"/>
      <c r="X9" s="5"/>
      <c r="Y9" s="5"/>
      <c r="AA9" s="134"/>
    </row>
    <row r="10" spans="1:39" hidden="1" x14ac:dyDescent="0.2">
      <c r="U10" s="3" t="s">
        <v>835</v>
      </c>
      <c r="X10" s="3">
        <v>0</v>
      </c>
      <c r="Y10" s="12">
        <v>0</v>
      </c>
    </row>
    <row r="11" spans="1:39" hidden="1" x14ac:dyDescent="0.2">
      <c r="U11" s="3" t="s">
        <v>836</v>
      </c>
      <c r="X11" s="3">
        <v>0</v>
      </c>
      <c r="Y11" s="12">
        <v>0</v>
      </c>
    </row>
    <row r="12" spans="1:39" hidden="1" x14ac:dyDescent="0.2">
      <c r="U12" s="3" t="s">
        <v>879</v>
      </c>
      <c r="X12" s="3">
        <v>210</v>
      </c>
      <c r="Y12" s="12">
        <v>5886.9976006137831</v>
      </c>
    </row>
    <row r="13" spans="1:39" hidden="1" x14ac:dyDescent="0.2">
      <c r="U13" s="3" t="s">
        <v>880</v>
      </c>
      <c r="X13" s="3">
        <v>142</v>
      </c>
      <c r="Y13" s="12">
        <v>-6367.110436209312</v>
      </c>
    </row>
    <row r="14" spans="1:39" hidden="1" x14ac:dyDescent="0.2">
      <c r="U14" s="3" t="s">
        <v>881</v>
      </c>
      <c r="X14" s="3">
        <v>80</v>
      </c>
      <c r="Y14" s="12">
        <v>832.10766847138382</v>
      </c>
    </row>
    <row r="15" spans="1:39" hidden="1" x14ac:dyDescent="0.2">
      <c r="U15" s="3" t="s">
        <v>882</v>
      </c>
      <c r="X15" s="3">
        <v>0</v>
      </c>
      <c r="Y15" s="12">
        <v>0</v>
      </c>
    </row>
    <row r="16" spans="1:39" hidden="1" x14ac:dyDescent="0.2">
      <c r="U16" s="3" t="s">
        <v>877</v>
      </c>
      <c r="X16" s="3">
        <v>28</v>
      </c>
      <c r="Y16" s="12">
        <v>4076.3272383101171</v>
      </c>
    </row>
    <row r="17" spans="1:44" hidden="1" x14ac:dyDescent="0.2">
      <c r="U17" s="3" t="s">
        <v>878</v>
      </c>
      <c r="X17" s="3">
        <v>45</v>
      </c>
      <c r="Y17" s="12">
        <v>-4428.3220711851873</v>
      </c>
    </row>
    <row r="18" spans="1:44" hidden="1" x14ac:dyDescent="0.2">
      <c r="Y18" s="12"/>
    </row>
    <row r="19" spans="1:44" s="45" customFormat="1" ht="63.75" x14ac:dyDescent="0.25">
      <c r="A19" s="93" t="s">
        <v>839</v>
      </c>
      <c r="B19" s="94" t="s">
        <v>973</v>
      </c>
      <c r="C19" s="94" t="s">
        <v>840</v>
      </c>
      <c r="D19" s="94" t="s">
        <v>841</v>
      </c>
      <c r="E19" s="94" t="s">
        <v>842</v>
      </c>
      <c r="F19" s="94" t="s">
        <v>843</v>
      </c>
      <c r="G19" s="94" t="s">
        <v>863</v>
      </c>
      <c r="H19" s="94" t="s">
        <v>1481</v>
      </c>
      <c r="I19" s="94" t="s">
        <v>845</v>
      </c>
      <c r="J19" s="94" t="s">
        <v>844</v>
      </c>
      <c r="K19" s="94" t="s">
        <v>846</v>
      </c>
      <c r="L19" s="94" t="s">
        <v>847</v>
      </c>
      <c r="M19" s="114" t="s">
        <v>174</v>
      </c>
      <c r="N19" s="114" t="s">
        <v>176</v>
      </c>
      <c r="O19" s="114" t="s">
        <v>175</v>
      </c>
      <c r="P19" s="114" t="s">
        <v>177</v>
      </c>
      <c r="Q19" s="94" t="s">
        <v>848</v>
      </c>
      <c r="R19" s="94" t="s">
        <v>849</v>
      </c>
      <c r="S19" s="94" t="s">
        <v>850</v>
      </c>
      <c r="T19" s="94" t="s">
        <v>851</v>
      </c>
      <c r="U19" s="115" t="s">
        <v>855</v>
      </c>
      <c r="V19" s="94" t="s">
        <v>856</v>
      </c>
      <c r="W19" s="94" t="s">
        <v>857</v>
      </c>
      <c r="X19" s="94" t="s">
        <v>871</v>
      </c>
      <c r="Y19" s="116" t="s">
        <v>858</v>
      </c>
      <c r="Z19" s="94" t="s">
        <v>859</v>
      </c>
      <c r="AA19" s="94" t="s">
        <v>860</v>
      </c>
      <c r="AB19" s="94" t="s">
        <v>861</v>
      </c>
      <c r="AC19" s="94" t="s">
        <v>872</v>
      </c>
      <c r="AD19" s="116" t="s">
        <v>862</v>
      </c>
      <c r="AE19" s="94" t="s">
        <v>864</v>
      </c>
      <c r="AF19" s="94" t="s">
        <v>865</v>
      </c>
      <c r="AG19" s="94" t="s">
        <v>866</v>
      </c>
      <c r="AH19" s="94" t="s">
        <v>873</v>
      </c>
      <c r="AI19" s="116" t="s">
        <v>867</v>
      </c>
      <c r="AJ19" s="94" t="s">
        <v>874</v>
      </c>
      <c r="AK19" s="94" t="s">
        <v>868</v>
      </c>
      <c r="AL19" s="94" t="s">
        <v>1279</v>
      </c>
      <c r="AM19" s="94" t="s">
        <v>869</v>
      </c>
      <c r="AN19" s="95" t="s">
        <v>1280</v>
      </c>
    </row>
    <row r="20" spans="1:44" x14ac:dyDescent="0.2">
      <c r="A20" s="3" t="s">
        <v>1097</v>
      </c>
      <c r="B20" s="3" t="s">
        <v>331</v>
      </c>
      <c r="C20" s="3" t="s">
        <v>1556</v>
      </c>
      <c r="D20" s="27"/>
      <c r="E20" s="3" t="s">
        <v>641</v>
      </c>
      <c r="F20" s="133" t="s">
        <v>1052</v>
      </c>
      <c r="G20" s="3" t="s">
        <v>877</v>
      </c>
      <c r="H20" s="29">
        <v>155.88999999999999</v>
      </c>
      <c r="I20" s="30">
        <v>216.08099999999999</v>
      </c>
      <c r="J20" s="30">
        <v>216.55</v>
      </c>
      <c r="K20" s="31">
        <v>0.9</v>
      </c>
      <c r="L20" s="31">
        <v>1</v>
      </c>
      <c r="M20" s="4">
        <v>0.48</v>
      </c>
      <c r="N20" s="4">
        <v>0.48</v>
      </c>
      <c r="O20" s="4">
        <v>0.52</v>
      </c>
      <c r="P20" s="4">
        <v>0.52</v>
      </c>
      <c r="Q20" s="32">
        <v>194.47289999999998</v>
      </c>
      <c r="R20" s="32">
        <v>216.55</v>
      </c>
      <c r="S20" s="32">
        <v>30316.380380999995</v>
      </c>
      <c r="T20" s="32">
        <v>33757.979500000001</v>
      </c>
      <c r="U20" s="33">
        <v>1.6032004395127963E-3</v>
      </c>
      <c r="V20" s="34">
        <v>1.7918454830365325E-3</v>
      </c>
      <c r="W20" s="34">
        <v>1.8864504352373614E-4</v>
      </c>
      <c r="X20" s="35">
        <v>406.66778908450203</v>
      </c>
      <c r="Y20" s="36">
        <v>2608684.2586727953</v>
      </c>
      <c r="Z20" s="37">
        <v>1.521185767329901E-3</v>
      </c>
      <c r="AA20" s="38">
        <v>1.6990087755649806E-3</v>
      </c>
      <c r="AB20" s="38">
        <v>1.7782300823507963E-4</v>
      </c>
      <c r="AC20" s="39">
        <v>3.4021564433294218</v>
      </c>
      <c r="AD20" s="40">
        <v>21824.083926675361</v>
      </c>
      <c r="AE20" s="37">
        <v>1.6871667766720679E-3</v>
      </c>
      <c r="AF20" s="38">
        <v>1.8870241134119436E-3</v>
      </c>
      <c r="AG20" s="38">
        <v>1.9985733673987568E-4</v>
      </c>
      <c r="AH20" s="39">
        <v>2.8011349432229427</v>
      </c>
      <c r="AI20" s="40">
        <v>17968.663437186115</v>
      </c>
      <c r="AJ20" s="39">
        <v>412.87108047105443</v>
      </c>
      <c r="AK20" s="28">
        <v>2648477.0060366569</v>
      </c>
      <c r="AL20" s="41">
        <f t="shared" ref="AL20:AL83" si="0">+$AL$6*W20/H20*10^6</f>
        <v>605.05819335344199</v>
      </c>
      <c r="AM20" s="28">
        <v>885528.5</v>
      </c>
      <c r="AN20" s="42">
        <v>2.990843328065282</v>
      </c>
      <c r="AP20" s="30"/>
      <c r="AR20" s="30"/>
    </row>
    <row r="21" spans="1:44" x14ac:dyDescent="0.2">
      <c r="A21" s="3" t="s">
        <v>1523</v>
      </c>
      <c r="B21" s="3" t="s">
        <v>1483</v>
      </c>
      <c r="C21" s="3" t="s">
        <v>1557</v>
      </c>
      <c r="D21" s="27"/>
      <c r="E21" s="3" t="s">
        <v>2061</v>
      </c>
      <c r="F21" s="133" t="s">
        <v>1053</v>
      </c>
      <c r="G21" s="3" t="s">
        <v>877</v>
      </c>
      <c r="H21" s="29">
        <v>38.729999999999997</v>
      </c>
      <c r="I21" s="30">
        <v>278.83</v>
      </c>
      <c r="J21" s="30">
        <v>277.423</v>
      </c>
      <c r="K21" s="31">
        <v>0.87</v>
      </c>
      <c r="L21" s="31">
        <v>1</v>
      </c>
      <c r="M21" s="4">
        <v>1</v>
      </c>
      <c r="N21" s="4">
        <v>1</v>
      </c>
      <c r="O21" s="4">
        <v>0</v>
      </c>
      <c r="P21" s="4">
        <v>0</v>
      </c>
      <c r="Q21" s="32">
        <v>242.5821</v>
      </c>
      <c r="R21" s="32">
        <v>277.423</v>
      </c>
      <c r="S21" s="32">
        <v>9395.2047329999987</v>
      </c>
      <c r="T21" s="32">
        <v>10744.592789999999</v>
      </c>
      <c r="U21" s="33">
        <v>4.9684019556299897E-4</v>
      </c>
      <c r="V21" s="34">
        <v>5.7031405146236284E-4</v>
      </c>
      <c r="W21" s="34">
        <v>7.3473855899363867E-5</v>
      </c>
      <c r="X21" s="35">
        <v>158.38979904260268</v>
      </c>
      <c r="Y21" s="36">
        <v>4089589.4408108103</v>
      </c>
      <c r="Z21" s="37">
        <v>9.821321249833836E-4</v>
      </c>
      <c r="AA21" s="38">
        <v>1.1265952098872293E-3</v>
      </c>
      <c r="AB21" s="38">
        <v>1.4446308490384573E-4</v>
      </c>
      <c r="AC21" s="39">
        <v>2.7639056385725191</v>
      </c>
      <c r="AD21" s="40">
        <v>71363.429862445628</v>
      </c>
      <c r="AE21" s="37">
        <v>0</v>
      </c>
      <c r="AF21" s="38">
        <v>0</v>
      </c>
      <c r="AG21" s="38">
        <v>0</v>
      </c>
      <c r="AH21" s="39">
        <v>0</v>
      </c>
      <c r="AI21" s="40">
        <v>0</v>
      </c>
      <c r="AJ21" s="39">
        <v>161.15370468117518</v>
      </c>
      <c r="AK21" s="28">
        <v>4160952.870673256</v>
      </c>
      <c r="AL21" s="41">
        <f t="shared" si="0"/>
        <v>948.53932222261653</v>
      </c>
      <c r="AM21" s="28">
        <v>2186028.5</v>
      </c>
      <c r="AN21" s="42">
        <v>1.9034302941033276</v>
      </c>
      <c r="AP21" s="30"/>
      <c r="AR21" s="30"/>
    </row>
    <row r="22" spans="1:44" x14ac:dyDescent="0.2">
      <c r="A22" s="3" t="s">
        <v>1224</v>
      </c>
      <c r="B22" s="3" t="s">
        <v>459</v>
      </c>
      <c r="C22" s="3" t="s">
        <v>1558</v>
      </c>
      <c r="D22" s="27"/>
      <c r="E22" s="3" t="s">
        <v>33</v>
      </c>
      <c r="F22" s="133" t="s">
        <v>1059</v>
      </c>
      <c r="G22" s="3" t="s">
        <v>877</v>
      </c>
      <c r="H22" s="29">
        <v>41.77</v>
      </c>
      <c r="I22" s="30">
        <v>339.02</v>
      </c>
      <c r="J22" s="30">
        <v>337.10700000000003</v>
      </c>
      <c r="K22" s="31">
        <v>0.79</v>
      </c>
      <c r="L22" s="31">
        <v>0.82</v>
      </c>
      <c r="M22" s="4">
        <v>0</v>
      </c>
      <c r="N22" s="4">
        <v>0</v>
      </c>
      <c r="O22" s="4">
        <v>1</v>
      </c>
      <c r="P22" s="4">
        <v>1</v>
      </c>
      <c r="Q22" s="32">
        <v>267.82580000000002</v>
      </c>
      <c r="R22" s="32">
        <v>276.42774000000003</v>
      </c>
      <c r="S22" s="32">
        <v>11187.083666000002</v>
      </c>
      <c r="T22" s="32">
        <v>11546.386699800001</v>
      </c>
      <c r="U22" s="33">
        <v>5.9159890543654782E-4</v>
      </c>
      <c r="V22" s="34">
        <v>6.1287260552515376E-4</v>
      </c>
      <c r="W22" s="34">
        <v>2.1273700088605941E-5</v>
      </c>
      <c r="X22" s="35">
        <v>45.860354553082153</v>
      </c>
      <c r="Y22" s="36">
        <v>1097925.6536529122</v>
      </c>
      <c r="Z22" s="37">
        <v>0</v>
      </c>
      <c r="AA22" s="38">
        <v>0</v>
      </c>
      <c r="AB22" s="38">
        <v>0</v>
      </c>
      <c r="AC22" s="39">
        <v>0</v>
      </c>
      <c r="AD22" s="40">
        <v>0</v>
      </c>
      <c r="AE22" s="37">
        <v>1.1972758146384184E-3</v>
      </c>
      <c r="AF22" s="38">
        <v>1.2412056946361581E-3</v>
      </c>
      <c r="AG22" s="38">
        <v>4.3929879997739668E-5</v>
      </c>
      <c r="AH22" s="39">
        <v>0.61570680326546878</v>
      </c>
      <c r="AI22" s="40">
        <v>14740.407068840526</v>
      </c>
      <c r="AJ22" s="39">
        <v>46.476061356347621</v>
      </c>
      <c r="AK22" s="28">
        <v>1112666.0607217527</v>
      </c>
      <c r="AL22" s="41">
        <f t="shared" si="0"/>
        <v>254.65286196559663</v>
      </c>
      <c r="AM22" s="28">
        <v>611859.375</v>
      </c>
      <c r="AN22" s="42">
        <v>1.8184996523453656</v>
      </c>
      <c r="AP22" s="30"/>
      <c r="AR22" s="30"/>
    </row>
    <row r="23" spans="1:44" s="46" customFormat="1" x14ac:dyDescent="0.2">
      <c r="A23" s="3" t="s">
        <v>258</v>
      </c>
      <c r="B23" s="3" t="s">
        <v>537</v>
      </c>
      <c r="C23" s="3" t="s">
        <v>1559</v>
      </c>
      <c r="D23" s="27"/>
      <c r="E23" s="3" t="s">
        <v>101</v>
      </c>
      <c r="F23" s="133" t="s">
        <v>1058</v>
      </c>
      <c r="G23" s="3" t="s">
        <v>877</v>
      </c>
      <c r="H23" s="29">
        <v>104.75</v>
      </c>
      <c r="I23" s="30">
        <v>249.49799999999999</v>
      </c>
      <c r="J23" s="30">
        <v>249.80099999999999</v>
      </c>
      <c r="K23" s="31">
        <v>0.95</v>
      </c>
      <c r="L23" s="31">
        <v>1</v>
      </c>
      <c r="M23" s="4">
        <v>0</v>
      </c>
      <c r="N23" s="4">
        <v>0</v>
      </c>
      <c r="O23" s="4">
        <v>1</v>
      </c>
      <c r="P23" s="4">
        <v>1</v>
      </c>
      <c r="Q23" s="32">
        <v>237.02309999999997</v>
      </c>
      <c r="R23" s="32">
        <v>249.80099999999999</v>
      </c>
      <c r="S23" s="32">
        <v>24828.169724999996</v>
      </c>
      <c r="T23" s="32">
        <v>26166.654749999998</v>
      </c>
      <c r="U23" s="33">
        <v>1.3129711434932633E-3</v>
      </c>
      <c r="V23" s="34">
        <v>1.3889042772824694E-3</v>
      </c>
      <c r="W23" s="34">
        <v>7.5933133789206093E-5</v>
      </c>
      <c r="X23" s="35">
        <v>163.69133829073405</v>
      </c>
      <c r="Y23" s="36">
        <v>1562685.8070714469</v>
      </c>
      <c r="Z23" s="37">
        <v>0</v>
      </c>
      <c r="AA23" s="38">
        <v>0</v>
      </c>
      <c r="AB23" s="38">
        <v>0</v>
      </c>
      <c r="AC23" s="39">
        <v>0</v>
      </c>
      <c r="AD23" s="40">
        <v>0</v>
      </c>
      <c r="AE23" s="37">
        <v>2.6571864501044734E-3</v>
      </c>
      <c r="AF23" s="38">
        <v>2.8128454147340171E-3</v>
      </c>
      <c r="AG23" s="38">
        <v>1.556589646295437E-4</v>
      </c>
      <c r="AH23" s="39">
        <v>2.1816650424858959</v>
      </c>
      <c r="AI23" s="40">
        <v>20827.351240915472</v>
      </c>
      <c r="AJ23" s="39">
        <v>165.87300333321994</v>
      </c>
      <c r="AK23" s="28">
        <v>1583513.1583123624</v>
      </c>
      <c r="AL23" s="41">
        <f t="shared" si="0"/>
        <v>362.44932596279756</v>
      </c>
      <c r="AM23" s="28">
        <v>926974.9375</v>
      </c>
      <c r="AN23" s="42">
        <v>1.7082588689862637</v>
      </c>
      <c r="AP23" s="108"/>
      <c r="AQ23" s="3"/>
      <c r="AR23" s="108"/>
    </row>
    <row r="24" spans="1:44" x14ac:dyDescent="0.2">
      <c r="A24" s="3" t="s">
        <v>1409</v>
      </c>
      <c r="B24" s="3" t="s">
        <v>1389</v>
      </c>
      <c r="C24" s="3" t="s">
        <v>1560</v>
      </c>
      <c r="D24" s="27"/>
      <c r="E24" s="3" t="s">
        <v>2062</v>
      </c>
      <c r="F24" s="133" t="s">
        <v>1056</v>
      </c>
      <c r="G24" s="3" t="s">
        <v>877</v>
      </c>
      <c r="H24" s="29">
        <v>177.4</v>
      </c>
      <c r="I24" s="30">
        <v>390.44799999999998</v>
      </c>
      <c r="J24" s="30">
        <v>395.51900000000001</v>
      </c>
      <c r="K24" s="31">
        <v>0.95</v>
      </c>
      <c r="L24" s="31">
        <v>1</v>
      </c>
      <c r="M24" s="4">
        <v>1</v>
      </c>
      <c r="N24" s="4">
        <v>1</v>
      </c>
      <c r="O24" s="4">
        <v>0</v>
      </c>
      <c r="P24" s="4">
        <v>0</v>
      </c>
      <c r="Q24" s="32">
        <v>370.92559999999997</v>
      </c>
      <c r="R24" s="32">
        <v>395.51900000000001</v>
      </c>
      <c r="S24" s="32">
        <v>65802.201440000004</v>
      </c>
      <c r="T24" s="32">
        <v>70165.070600000006</v>
      </c>
      <c r="U24" s="33">
        <v>3.4797728799983415E-3</v>
      </c>
      <c r="V24" s="34">
        <v>3.7243036071382594E-3</v>
      </c>
      <c r="W24" s="34">
        <v>2.445307271399179E-4</v>
      </c>
      <c r="X24" s="35">
        <v>527.14223661383255</v>
      </c>
      <c r="Y24" s="36">
        <v>2971489.4961320888</v>
      </c>
      <c r="Z24" s="37">
        <v>6.8786639318093798E-3</v>
      </c>
      <c r="AA24" s="38">
        <v>7.3569686617559827E-3</v>
      </c>
      <c r="AB24" s="38">
        <v>4.7830472994660287E-4</v>
      </c>
      <c r="AC24" s="39">
        <v>9.1510515709617746</v>
      </c>
      <c r="AD24" s="40">
        <v>51584.28168524112</v>
      </c>
      <c r="AE24" s="37">
        <v>0</v>
      </c>
      <c r="AF24" s="38">
        <v>0</v>
      </c>
      <c r="AG24" s="38">
        <v>0</v>
      </c>
      <c r="AH24" s="39">
        <v>0</v>
      </c>
      <c r="AI24" s="40">
        <v>0</v>
      </c>
      <c r="AJ24" s="39">
        <v>536.29328818479428</v>
      </c>
      <c r="AK24" s="28">
        <v>3023073.7778173299</v>
      </c>
      <c r="AL24" s="41">
        <f t="shared" si="0"/>
        <v>689.20723545636383</v>
      </c>
      <c r="AM24" s="28">
        <v>1999311.875</v>
      </c>
      <c r="AN24" s="42">
        <v>1.5120571310653221</v>
      </c>
      <c r="AP24" s="30"/>
      <c r="AR24" s="30"/>
    </row>
    <row r="25" spans="1:44" x14ac:dyDescent="0.2">
      <c r="A25" s="3" t="s">
        <v>1379</v>
      </c>
      <c r="B25" s="3" t="s">
        <v>1378</v>
      </c>
      <c r="C25" s="3" t="s">
        <v>1561</v>
      </c>
      <c r="D25" s="27"/>
      <c r="E25" s="3" t="s">
        <v>1381</v>
      </c>
      <c r="F25" s="133" t="s">
        <v>1054</v>
      </c>
      <c r="G25" s="3" t="s">
        <v>877</v>
      </c>
      <c r="H25" s="29">
        <v>50.76</v>
      </c>
      <c r="I25" s="30">
        <v>496.2</v>
      </c>
      <c r="J25" s="30">
        <v>495.04399999999998</v>
      </c>
      <c r="K25" s="31">
        <v>0.92</v>
      </c>
      <c r="L25" s="31">
        <v>1</v>
      </c>
      <c r="M25" s="4">
        <v>0.65</v>
      </c>
      <c r="N25" s="4">
        <v>0.65</v>
      </c>
      <c r="O25" s="4">
        <v>0.35</v>
      </c>
      <c r="P25" s="4">
        <v>0.35</v>
      </c>
      <c r="Q25" s="32">
        <v>456.50400000000002</v>
      </c>
      <c r="R25" s="32">
        <v>495.04399999999998</v>
      </c>
      <c r="S25" s="32">
        <v>23172.143039999999</v>
      </c>
      <c r="T25" s="32">
        <v>25128.433439999997</v>
      </c>
      <c r="U25" s="33">
        <v>1.2253966152721823E-3</v>
      </c>
      <c r="V25" s="34">
        <v>1.3337963533998872E-3</v>
      </c>
      <c r="W25" s="34">
        <v>1.0839973812770492E-4</v>
      </c>
      <c r="X25" s="35">
        <v>233.68057288070801</v>
      </c>
      <c r="Y25" s="36">
        <v>4603636.1875631995</v>
      </c>
      <c r="Z25" s="37">
        <v>1.5745020332375104E-3</v>
      </c>
      <c r="AA25" s="38">
        <v>1.7126030408229317E-3</v>
      </c>
      <c r="AB25" s="38">
        <v>1.3810100758542129E-4</v>
      </c>
      <c r="AC25" s="39">
        <v>2.6421847063002253</v>
      </c>
      <c r="AD25" s="40">
        <v>52052.496184007592</v>
      </c>
      <c r="AE25" s="37">
        <v>8.6798369818296133E-4</v>
      </c>
      <c r="AF25" s="38">
        <v>9.4543379005692459E-4</v>
      </c>
      <c r="AG25" s="38">
        <v>7.7450091873963256E-5</v>
      </c>
      <c r="AH25" s="39">
        <v>1.0855151091418507</v>
      </c>
      <c r="AI25" s="40">
        <v>21385.246436994694</v>
      </c>
      <c r="AJ25" s="39">
        <v>237.40827269615008</v>
      </c>
      <c r="AK25" s="28">
        <v>4677073.9301842013</v>
      </c>
      <c r="AL25" s="41">
        <f t="shared" si="0"/>
        <v>1067.7673180427985</v>
      </c>
      <c r="AM25" s="28">
        <v>3563629</v>
      </c>
      <c r="AN25" s="42">
        <v>1.312446927046615</v>
      </c>
      <c r="AO25" s="46"/>
      <c r="AP25" s="30"/>
      <c r="AR25" s="30"/>
    </row>
    <row r="26" spans="1:44" x14ac:dyDescent="0.2">
      <c r="A26" s="3" t="s">
        <v>1113</v>
      </c>
      <c r="B26" s="3" t="s">
        <v>347</v>
      </c>
      <c r="C26" s="3" t="s">
        <v>1562</v>
      </c>
      <c r="D26" s="27"/>
      <c r="E26" s="3" t="s">
        <v>654</v>
      </c>
      <c r="F26" s="133" t="s">
        <v>1055</v>
      </c>
      <c r="G26" s="3" t="s">
        <v>877</v>
      </c>
      <c r="H26" s="29">
        <v>34.29</v>
      </c>
      <c r="I26" s="30">
        <v>416.77300000000002</v>
      </c>
      <c r="J26" s="30">
        <v>418.94900000000001</v>
      </c>
      <c r="K26" s="31">
        <v>0.71</v>
      </c>
      <c r="L26" s="31">
        <v>0.75</v>
      </c>
      <c r="M26" s="4">
        <v>0</v>
      </c>
      <c r="N26" s="4">
        <v>0</v>
      </c>
      <c r="O26" s="4">
        <v>1</v>
      </c>
      <c r="P26" s="4">
        <v>1</v>
      </c>
      <c r="Q26" s="32">
        <v>295.90883000000002</v>
      </c>
      <c r="R26" s="32">
        <v>314.21174999999999</v>
      </c>
      <c r="S26" s="32">
        <v>10146.7137807</v>
      </c>
      <c r="T26" s="32">
        <v>10774.3209075</v>
      </c>
      <c r="U26" s="33">
        <v>5.365817352992392E-4</v>
      </c>
      <c r="V26" s="34">
        <v>5.7189199522115792E-4</v>
      </c>
      <c r="W26" s="34">
        <v>3.5310259921918718E-5</v>
      </c>
      <c r="X26" s="35">
        <v>76.119388382653199</v>
      </c>
      <c r="Y26" s="36">
        <v>2219871.3439093963</v>
      </c>
      <c r="Z26" s="37">
        <v>0</v>
      </c>
      <c r="AA26" s="38">
        <v>0</v>
      </c>
      <c r="AB26" s="38">
        <v>0</v>
      </c>
      <c r="AC26" s="39">
        <v>0</v>
      </c>
      <c r="AD26" s="40">
        <v>0</v>
      </c>
      <c r="AE26" s="37">
        <v>1.0859322563763559E-3</v>
      </c>
      <c r="AF26" s="38">
        <v>1.1582106865049011E-3</v>
      </c>
      <c r="AG26" s="38">
        <v>7.227843012854525E-5</v>
      </c>
      <c r="AH26" s="39">
        <v>1.0130307927493298</v>
      </c>
      <c r="AI26" s="40">
        <v>29543.038575366867</v>
      </c>
      <c r="AJ26" s="39">
        <v>77.132419175402532</v>
      </c>
      <c r="AK26" s="28">
        <v>2249414.3824847634</v>
      </c>
      <c r="AL26" s="41">
        <f t="shared" si="0"/>
        <v>514.87693091161736</v>
      </c>
      <c r="AM26" s="28">
        <v>1894429</v>
      </c>
      <c r="AN26" s="42">
        <v>1.1873838409804556</v>
      </c>
      <c r="AO26" s="46"/>
      <c r="AP26" s="30"/>
      <c r="AR26" s="30"/>
    </row>
    <row r="27" spans="1:44" s="46" customFormat="1" x14ac:dyDescent="0.2">
      <c r="A27" s="3" t="s">
        <v>1215</v>
      </c>
      <c r="B27" s="3" t="s">
        <v>191</v>
      </c>
      <c r="C27" s="3" t="s">
        <v>1563</v>
      </c>
      <c r="D27" s="27"/>
      <c r="E27" s="3" t="s">
        <v>24</v>
      </c>
      <c r="F27" s="133" t="s">
        <v>1051</v>
      </c>
      <c r="G27" s="3" t="s">
        <v>877</v>
      </c>
      <c r="H27" s="29">
        <v>23.18</v>
      </c>
      <c r="I27" s="30">
        <v>383.94499999999999</v>
      </c>
      <c r="J27" s="30">
        <v>382.96300000000002</v>
      </c>
      <c r="K27" s="31">
        <v>0.92</v>
      </c>
      <c r="L27" s="31">
        <v>1</v>
      </c>
      <c r="M27" s="4">
        <v>1</v>
      </c>
      <c r="N27" s="4">
        <v>1</v>
      </c>
      <c r="O27" s="4">
        <v>0</v>
      </c>
      <c r="P27" s="4">
        <v>0</v>
      </c>
      <c r="Q27" s="32">
        <v>353.2294</v>
      </c>
      <c r="R27" s="32">
        <v>382.96300000000002</v>
      </c>
      <c r="S27" s="32">
        <v>8187.8574920000001</v>
      </c>
      <c r="T27" s="32">
        <v>8877.0823400000008</v>
      </c>
      <c r="U27" s="33">
        <v>4.3299287595920946E-4</v>
      </c>
      <c r="V27" s="34">
        <v>4.711881495594952E-4</v>
      </c>
      <c r="W27" s="34">
        <v>3.8195273600285747E-5</v>
      </c>
      <c r="X27" s="35">
        <v>82.338699063415632</v>
      </c>
      <c r="Y27" s="36">
        <v>3552144.0493276804</v>
      </c>
      <c r="Z27" s="37">
        <v>8.5592151594458279E-4</v>
      </c>
      <c r="AA27" s="38">
        <v>9.3078245378701969E-4</v>
      </c>
      <c r="AB27" s="38">
        <v>7.48609378424369E-5</v>
      </c>
      <c r="AC27" s="39">
        <v>1.432259101688546</v>
      </c>
      <c r="AD27" s="40">
        <v>61788.572117711214</v>
      </c>
      <c r="AE27" s="37">
        <v>0</v>
      </c>
      <c r="AF27" s="38">
        <v>0</v>
      </c>
      <c r="AG27" s="38">
        <v>0</v>
      </c>
      <c r="AH27" s="39">
        <v>0</v>
      </c>
      <c r="AI27" s="40">
        <v>0</v>
      </c>
      <c r="AJ27" s="39">
        <v>83.770958165104176</v>
      </c>
      <c r="AK27" s="28">
        <v>3613932.6214453918</v>
      </c>
      <c r="AL27" s="41">
        <f t="shared" si="0"/>
        <v>823.88424504499028</v>
      </c>
      <c r="AM27" s="28">
        <v>3199818.75</v>
      </c>
      <c r="AN27" s="42">
        <v>1.1294179151382846</v>
      </c>
      <c r="AO27" s="3"/>
      <c r="AP27" s="108"/>
      <c r="AQ27" s="3"/>
      <c r="AR27" s="108"/>
    </row>
    <row r="28" spans="1:44" x14ac:dyDescent="0.2">
      <c r="A28" s="3" t="s">
        <v>907</v>
      </c>
      <c r="B28" s="3" t="s">
        <v>990</v>
      </c>
      <c r="C28" s="3" t="s">
        <v>1564</v>
      </c>
      <c r="D28" s="27"/>
      <c r="E28" s="3" t="s">
        <v>795</v>
      </c>
      <c r="F28" s="133" t="s">
        <v>1057</v>
      </c>
      <c r="G28" s="3" t="s">
        <v>877</v>
      </c>
      <c r="H28" s="29">
        <v>61.12</v>
      </c>
      <c r="I28" s="30">
        <v>309.14699999999999</v>
      </c>
      <c r="J28" s="30">
        <v>308.64699999999999</v>
      </c>
      <c r="K28" s="31">
        <v>0.57999999999999996</v>
      </c>
      <c r="L28" s="31">
        <v>0.62</v>
      </c>
      <c r="M28" s="4">
        <v>1</v>
      </c>
      <c r="N28" s="4">
        <v>1</v>
      </c>
      <c r="O28" s="4">
        <v>0</v>
      </c>
      <c r="P28" s="4">
        <v>0</v>
      </c>
      <c r="Q28" s="32">
        <v>179.30525999999998</v>
      </c>
      <c r="R28" s="32">
        <v>191.36114000000001</v>
      </c>
      <c r="S28" s="32">
        <v>10959.137491199997</v>
      </c>
      <c r="T28" s="32">
        <v>11695.992876799999</v>
      </c>
      <c r="U28" s="33">
        <v>5.7954458354745903E-4</v>
      </c>
      <c r="V28" s="34">
        <v>6.2081357700692771E-4</v>
      </c>
      <c r="W28" s="34">
        <v>4.1268993459468674E-5</v>
      </c>
      <c r="X28" s="35">
        <v>88.964809328760452</v>
      </c>
      <c r="Y28" s="36">
        <v>1455576.0688606096</v>
      </c>
      <c r="Z28" s="37">
        <v>1.14561856799266E-3</v>
      </c>
      <c r="AA28" s="38">
        <v>1.2263516921871206E-3</v>
      </c>
      <c r="AB28" s="38">
        <v>8.0733124194460638E-5</v>
      </c>
      <c r="AC28" s="39">
        <v>1.5446073114745251</v>
      </c>
      <c r="AD28" s="40">
        <v>25271.716483549168</v>
      </c>
      <c r="AE28" s="37">
        <v>0</v>
      </c>
      <c r="AF28" s="38">
        <v>0</v>
      </c>
      <c r="AG28" s="38">
        <v>0</v>
      </c>
      <c r="AH28" s="39">
        <v>0</v>
      </c>
      <c r="AI28" s="40">
        <v>0</v>
      </c>
      <c r="AJ28" s="39">
        <v>90.509416640234974</v>
      </c>
      <c r="AK28" s="28">
        <v>1480847.7853441588</v>
      </c>
      <c r="AL28" s="41">
        <f t="shared" si="0"/>
        <v>337.60629466188379</v>
      </c>
      <c r="AM28" s="28">
        <v>1367961.75</v>
      </c>
      <c r="AN28" s="42">
        <v>1.082521339024398</v>
      </c>
      <c r="AO28" s="46"/>
      <c r="AP28" s="30"/>
      <c r="AR28" s="30"/>
    </row>
    <row r="29" spans="1:44" x14ac:dyDescent="0.2">
      <c r="A29" s="3" t="s">
        <v>288</v>
      </c>
      <c r="B29" s="3" t="s">
        <v>567</v>
      </c>
      <c r="C29" s="3" t="s">
        <v>1565</v>
      </c>
      <c r="D29" s="27"/>
      <c r="E29" s="3" t="s">
        <v>130</v>
      </c>
      <c r="F29" s="133" t="s">
        <v>1060</v>
      </c>
      <c r="G29" s="3" t="s">
        <v>879</v>
      </c>
      <c r="H29" s="29">
        <v>73.58</v>
      </c>
      <c r="I29" s="30">
        <v>338.13200000000001</v>
      </c>
      <c r="J29" s="30">
        <v>351.35</v>
      </c>
      <c r="K29" s="31">
        <v>1</v>
      </c>
      <c r="L29" s="31">
        <v>1</v>
      </c>
      <c r="M29" s="4">
        <v>0.46</v>
      </c>
      <c r="N29" s="4">
        <v>0.46</v>
      </c>
      <c r="O29" s="4">
        <v>0.54</v>
      </c>
      <c r="P29" s="4">
        <v>0.54</v>
      </c>
      <c r="Q29" s="32">
        <v>338.13200000000001</v>
      </c>
      <c r="R29" s="32">
        <v>351.35</v>
      </c>
      <c r="S29" s="32">
        <v>24879.752560000001</v>
      </c>
      <c r="T29" s="32">
        <v>25852.333000000002</v>
      </c>
      <c r="U29" s="33">
        <v>1.3156989633287459E-3</v>
      </c>
      <c r="V29" s="34">
        <v>1.3722203401422852E-3</v>
      </c>
      <c r="W29" s="34">
        <v>5.6521376813539271E-5</v>
      </c>
      <c r="X29" s="35">
        <v>121.84483045737657</v>
      </c>
      <c r="Y29" s="36">
        <v>1655950.4003448843</v>
      </c>
      <c r="Z29" s="37">
        <v>1.1963756272275635E-3</v>
      </c>
      <c r="AA29" s="38">
        <v>1.2469111619274678E-3</v>
      </c>
      <c r="AB29" s="38">
        <v>5.0535534699904351E-5</v>
      </c>
      <c r="AC29" s="39">
        <v>0.96685910728204694</v>
      </c>
      <c r="AD29" s="40">
        <v>13140.24337159618</v>
      </c>
      <c r="AE29" s="37">
        <v>1.4378617813145071E-3</v>
      </c>
      <c r="AF29" s="38">
        <v>1.5006906002450521E-3</v>
      </c>
      <c r="AG29" s="38">
        <v>6.282881893054492E-5</v>
      </c>
      <c r="AH29" s="39">
        <v>0.88058813861228857</v>
      </c>
      <c r="AI29" s="40">
        <v>11967.764862901449</v>
      </c>
      <c r="AJ29" s="39">
        <v>123.6922777032709</v>
      </c>
      <c r="AK29" s="28">
        <v>1681058.4085793819</v>
      </c>
      <c r="AL29" s="41">
        <f t="shared" si="0"/>
        <v>384.08111452527362</v>
      </c>
      <c r="AM29" s="28">
        <v>1662690.375</v>
      </c>
      <c r="AN29" s="42">
        <v>1.0110471762244861</v>
      </c>
      <c r="AP29" s="30"/>
      <c r="AR29" s="30"/>
    </row>
    <row r="30" spans="1:44" x14ac:dyDescent="0.2">
      <c r="A30" s="3" t="s">
        <v>1151</v>
      </c>
      <c r="B30" s="3" t="s">
        <v>387</v>
      </c>
      <c r="C30" s="3" t="s">
        <v>1566</v>
      </c>
      <c r="D30" s="27"/>
      <c r="E30" s="3" t="s">
        <v>684</v>
      </c>
      <c r="F30" s="133" t="s">
        <v>1065</v>
      </c>
      <c r="G30" s="3" t="s">
        <v>877</v>
      </c>
      <c r="H30" s="29">
        <v>61.24</v>
      </c>
      <c r="I30" s="30">
        <v>126.726</v>
      </c>
      <c r="J30" s="30">
        <v>126.21599999999999</v>
      </c>
      <c r="K30" s="31">
        <v>0.9</v>
      </c>
      <c r="L30" s="31">
        <v>1</v>
      </c>
      <c r="M30" s="4">
        <v>0</v>
      </c>
      <c r="N30" s="4">
        <v>0</v>
      </c>
      <c r="O30" s="4">
        <v>1</v>
      </c>
      <c r="P30" s="4">
        <v>1</v>
      </c>
      <c r="Q30" s="32">
        <v>114.0534</v>
      </c>
      <c r="R30" s="32">
        <v>126.21599999999999</v>
      </c>
      <c r="S30" s="32">
        <v>6984.6302159999996</v>
      </c>
      <c r="T30" s="32">
        <v>7729.4678400000003</v>
      </c>
      <c r="U30" s="33">
        <v>3.6936342965083866E-4</v>
      </c>
      <c r="V30" s="34">
        <v>4.1027372610911571E-4</v>
      </c>
      <c r="W30" s="34">
        <v>4.0910296458277048E-5</v>
      </c>
      <c r="X30" s="35">
        <v>88.191555424490844</v>
      </c>
      <c r="Y30" s="36">
        <v>1440097.2472973682</v>
      </c>
      <c r="Z30" s="37">
        <v>0</v>
      </c>
      <c r="AA30" s="38">
        <v>0</v>
      </c>
      <c r="AB30" s="38">
        <v>0</v>
      </c>
      <c r="AC30" s="39">
        <v>0</v>
      </c>
      <c r="AD30" s="40">
        <v>0</v>
      </c>
      <c r="AE30" s="37">
        <v>7.4751642889961292E-4</v>
      </c>
      <c r="AF30" s="38">
        <v>8.3089712383192771E-4</v>
      </c>
      <c r="AG30" s="38">
        <v>8.3380694932314796E-5</v>
      </c>
      <c r="AH30" s="39">
        <v>1.1686364982893265</v>
      </c>
      <c r="AI30" s="40">
        <v>19082.89513862388</v>
      </c>
      <c r="AJ30" s="39">
        <v>89.360191922780174</v>
      </c>
      <c r="AK30" s="28">
        <v>1459180.1424359921</v>
      </c>
      <c r="AL30" s="41">
        <f t="shared" si="0"/>
        <v>334.01613698789231</v>
      </c>
      <c r="AM30" s="28">
        <v>1548702.125</v>
      </c>
      <c r="AN30" s="42">
        <v>0.94219548025479216</v>
      </c>
      <c r="AP30" s="30"/>
      <c r="AR30" s="30"/>
    </row>
    <row r="31" spans="1:44" x14ac:dyDescent="0.2">
      <c r="A31" s="3" t="s">
        <v>268</v>
      </c>
      <c r="B31" s="3" t="s">
        <v>547</v>
      </c>
      <c r="C31" s="3" t="s">
        <v>1567</v>
      </c>
      <c r="D31" s="27"/>
      <c r="E31" s="3" t="s">
        <v>110</v>
      </c>
      <c r="F31" s="133" t="s">
        <v>1057</v>
      </c>
      <c r="G31" s="3" t="s">
        <v>877</v>
      </c>
      <c r="H31" s="29">
        <v>103.33</v>
      </c>
      <c r="I31" s="30">
        <v>209.23400000000001</v>
      </c>
      <c r="J31" s="30">
        <v>209.32599999999999</v>
      </c>
      <c r="K31" s="31">
        <v>0.88</v>
      </c>
      <c r="L31" s="31">
        <v>0.93</v>
      </c>
      <c r="M31" s="4">
        <v>0.55000000000000004</v>
      </c>
      <c r="N31" s="4">
        <v>0.55000000000000004</v>
      </c>
      <c r="O31" s="4">
        <v>0.45</v>
      </c>
      <c r="P31" s="4">
        <v>0.45</v>
      </c>
      <c r="Q31" s="32">
        <v>184.12592000000001</v>
      </c>
      <c r="R31" s="32">
        <v>194.67318</v>
      </c>
      <c r="S31" s="32">
        <v>19025.731313600001</v>
      </c>
      <c r="T31" s="32">
        <v>20115.579689400001</v>
      </c>
      <c r="U31" s="33">
        <v>1.0061247556826497E-3</v>
      </c>
      <c r="V31" s="34">
        <v>1.0677182443668705E-3</v>
      </c>
      <c r="W31" s="34">
        <v>6.1593488684220888E-5</v>
      </c>
      <c r="X31" s="35">
        <v>132.77893443334358</v>
      </c>
      <c r="Y31" s="36">
        <v>1284998.8815769241</v>
      </c>
      <c r="Z31" s="37">
        <v>1.0938750512073468E-3</v>
      </c>
      <c r="AA31" s="38">
        <v>1.1600405795556062E-3</v>
      </c>
      <c r="AB31" s="38">
        <v>6.6165528348259431E-5</v>
      </c>
      <c r="AC31" s="39">
        <v>1.2658962461074774</v>
      </c>
      <c r="AD31" s="40">
        <v>12251.004026976459</v>
      </c>
      <c r="AE31" s="37">
        <v>9.1628630722282692E-4</v>
      </c>
      <c r="AF31" s="38">
        <v>9.7306696196312534E-4</v>
      </c>
      <c r="AG31" s="38">
        <v>5.6780654740298418E-5</v>
      </c>
      <c r="AH31" s="39">
        <v>0.79581905116217577</v>
      </c>
      <c r="AI31" s="40">
        <v>7701.7231313478733</v>
      </c>
      <c r="AJ31" s="39">
        <v>134.84064973061322</v>
      </c>
      <c r="AK31" s="28">
        <v>1304951.6087352484</v>
      </c>
      <c r="AL31" s="41">
        <f t="shared" si="0"/>
        <v>298.04262404055402</v>
      </c>
      <c r="AM31" s="28">
        <v>1398337.375</v>
      </c>
      <c r="AN31" s="42">
        <v>0.93321656995347668</v>
      </c>
      <c r="AP31" s="30"/>
      <c r="AR31" s="30"/>
    </row>
    <row r="32" spans="1:44" x14ac:dyDescent="0.2">
      <c r="A32" s="3" t="s">
        <v>759</v>
      </c>
      <c r="B32" s="3" t="s">
        <v>1034</v>
      </c>
      <c r="C32" s="3" t="s">
        <v>1568</v>
      </c>
      <c r="D32" s="27"/>
      <c r="E32" s="3" t="s">
        <v>958</v>
      </c>
      <c r="F32" s="133" t="s">
        <v>1058</v>
      </c>
      <c r="G32" s="3" t="s">
        <v>879</v>
      </c>
      <c r="H32" s="29">
        <v>51.34</v>
      </c>
      <c r="I32" s="30">
        <v>938.55200000000002</v>
      </c>
      <c r="J32" s="30">
        <v>978.70600000000002</v>
      </c>
      <c r="K32" s="31">
        <v>1</v>
      </c>
      <c r="L32" s="31">
        <v>1</v>
      </c>
      <c r="M32" s="4">
        <v>0</v>
      </c>
      <c r="N32" s="4">
        <v>0</v>
      </c>
      <c r="O32" s="4">
        <v>1</v>
      </c>
      <c r="P32" s="4">
        <v>1</v>
      </c>
      <c r="Q32" s="32">
        <v>938.55200000000002</v>
      </c>
      <c r="R32" s="32">
        <v>978.70600000000002</v>
      </c>
      <c r="S32" s="32">
        <v>48185.259680000003</v>
      </c>
      <c r="T32" s="32">
        <v>50246.766040000002</v>
      </c>
      <c r="U32" s="33">
        <v>2.5481481801643132E-3</v>
      </c>
      <c r="V32" s="34">
        <v>2.6670565626111431E-3</v>
      </c>
      <c r="W32" s="34">
        <v>1.1890838244682988E-4</v>
      </c>
      <c r="X32" s="35">
        <v>256.33437322291661</v>
      </c>
      <c r="Y32" s="36">
        <v>4992878.32533924</v>
      </c>
      <c r="Z32" s="37">
        <v>0</v>
      </c>
      <c r="AA32" s="38">
        <v>0</v>
      </c>
      <c r="AB32" s="38">
        <v>0</v>
      </c>
      <c r="AC32" s="39">
        <v>0</v>
      </c>
      <c r="AD32" s="40">
        <v>0</v>
      </c>
      <c r="AE32" s="37">
        <v>5.1569334564173733E-3</v>
      </c>
      <c r="AF32" s="38">
        <v>5.4013929870354157E-3</v>
      </c>
      <c r="AG32" s="38">
        <v>2.4445953061804238E-4</v>
      </c>
      <c r="AH32" s="39">
        <v>3.4262646775351162</v>
      </c>
      <c r="AI32" s="40">
        <v>66736.748685919665</v>
      </c>
      <c r="AJ32" s="39">
        <v>259.76063790045174</v>
      </c>
      <c r="AK32" s="28">
        <v>5059615.0740251597</v>
      </c>
      <c r="AL32" s="41">
        <f t="shared" si="0"/>
        <v>1158.0481344646462</v>
      </c>
      <c r="AM32" s="28">
        <v>5547632.5</v>
      </c>
      <c r="AN32" s="42">
        <v>0.91203140691550133</v>
      </c>
      <c r="AP32" s="30"/>
      <c r="AR32" s="30"/>
    </row>
    <row r="33" spans="1:44" x14ac:dyDescent="0.2">
      <c r="A33" s="3" t="s">
        <v>1324</v>
      </c>
      <c r="B33" s="3" t="s">
        <v>1319</v>
      </c>
      <c r="C33" s="3" t="s">
        <v>1569</v>
      </c>
      <c r="D33" s="27"/>
      <c r="E33" s="3" t="s">
        <v>1330</v>
      </c>
      <c r="F33" s="133" t="s">
        <v>1064</v>
      </c>
      <c r="G33" s="3" t="s">
        <v>877</v>
      </c>
      <c r="H33" s="29">
        <v>21.77</v>
      </c>
      <c r="I33" s="30">
        <v>2231.556</v>
      </c>
      <c r="J33" s="30">
        <v>2232.3229999999999</v>
      </c>
      <c r="K33" s="31">
        <v>0.82</v>
      </c>
      <c r="L33" s="31">
        <v>0.86</v>
      </c>
      <c r="M33" s="4">
        <v>0</v>
      </c>
      <c r="N33" s="4">
        <v>0</v>
      </c>
      <c r="O33" s="4">
        <v>1</v>
      </c>
      <c r="P33" s="4">
        <v>1</v>
      </c>
      <c r="Q33" s="32">
        <v>1829.87592</v>
      </c>
      <c r="R33" s="32">
        <v>1919.7977799999999</v>
      </c>
      <c r="S33" s="32">
        <v>39836.398778399998</v>
      </c>
      <c r="T33" s="32">
        <v>41793.997670599994</v>
      </c>
      <c r="U33" s="33">
        <v>2.1066410708504004E-3</v>
      </c>
      <c r="V33" s="34">
        <v>2.2183906458058001E-3</v>
      </c>
      <c r="W33" s="34">
        <v>1.1174957495539966E-4</v>
      </c>
      <c r="X33" s="35">
        <v>240.90191679235474</v>
      </c>
      <c r="Y33" s="36">
        <v>11065774.772271693</v>
      </c>
      <c r="Z33" s="37">
        <v>0</v>
      </c>
      <c r="AA33" s="38">
        <v>0</v>
      </c>
      <c r="AB33" s="38">
        <v>0</v>
      </c>
      <c r="AC33" s="39">
        <v>0</v>
      </c>
      <c r="AD33" s="40">
        <v>0</v>
      </c>
      <c r="AE33" s="37">
        <v>4.2634128986293162E-3</v>
      </c>
      <c r="AF33" s="38">
        <v>4.4927429904333257E-3</v>
      </c>
      <c r="AG33" s="38">
        <v>2.2933009180400952E-4</v>
      </c>
      <c r="AH33" s="39">
        <v>3.2142154206769602</v>
      </c>
      <c r="AI33" s="40">
        <v>147644.25450973635</v>
      </c>
      <c r="AJ33" s="39">
        <v>244.1161322130317</v>
      </c>
      <c r="AK33" s="28">
        <v>11213419.026781429</v>
      </c>
      <c r="AL33" s="41">
        <f t="shared" si="0"/>
        <v>2566.595658139634</v>
      </c>
      <c r="AM33" s="28">
        <v>12880218</v>
      </c>
      <c r="AN33" s="42">
        <v>0.87059233211591824</v>
      </c>
      <c r="AP33" s="30"/>
      <c r="AR33" s="30"/>
    </row>
    <row r="34" spans="1:44" x14ac:dyDescent="0.2">
      <c r="A34" s="3" t="s">
        <v>1524</v>
      </c>
      <c r="B34" s="3" t="s">
        <v>1484</v>
      </c>
      <c r="C34" s="3" t="s">
        <v>1570</v>
      </c>
      <c r="D34" s="27"/>
      <c r="E34" s="3" t="s">
        <v>2063</v>
      </c>
      <c r="F34" s="133" t="s">
        <v>1055</v>
      </c>
      <c r="G34" s="3" t="s">
        <v>877</v>
      </c>
      <c r="H34" s="29">
        <v>25.45</v>
      </c>
      <c r="I34" s="30">
        <v>163.30099999999999</v>
      </c>
      <c r="J34" s="30">
        <v>163.62799999999999</v>
      </c>
      <c r="K34" s="31">
        <v>0.84</v>
      </c>
      <c r="L34" s="31">
        <v>0.9</v>
      </c>
      <c r="M34" s="4">
        <v>0.43</v>
      </c>
      <c r="N34" s="4">
        <v>0.43</v>
      </c>
      <c r="O34" s="4">
        <v>0.56999999999999995</v>
      </c>
      <c r="P34" s="4">
        <v>0.56999999999999995</v>
      </c>
      <c r="Q34" s="32">
        <v>137.17283999999998</v>
      </c>
      <c r="R34" s="32">
        <v>147.26519999999999</v>
      </c>
      <c r="S34" s="32">
        <v>3491.0487779999994</v>
      </c>
      <c r="T34" s="32">
        <v>3747.8993399999999</v>
      </c>
      <c r="U34" s="33">
        <v>1.8461474836085282E-4</v>
      </c>
      <c r="V34" s="34">
        <v>1.9893538069286999E-4</v>
      </c>
      <c r="W34" s="34">
        <v>1.4320632332017163E-5</v>
      </c>
      <c r="X34" s="35">
        <v>30.87141745137178</v>
      </c>
      <c r="Y34" s="36">
        <v>1213022.296714019</v>
      </c>
      <c r="Z34" s="37">
        <v>1.569235198640612E-4</v>
      </c>
      <c r="AA34" s="38">
        <v>1.6897961386035074E-4</v>
      </c>
      <c r="AB34" s="38">
        <v>1.2056093996289547E-5</v>
      </c>
      <c r="AC34" s="39">
        <v>0.23066035311155061</v>
      </c>
      <c r="AD34" s="40">
        <v>9063.2751713772341</v>
      </c>
      <c r="AE34" s="37">
        <v>2.1296493213200662E-4</v>
      </c>
      <c r="AF34" s="38">
        <v>2.2964681948272657E-4</v>
      </c>
      <c r="AG34" s="38">
        <v>1.6681887350719946E-5</v>
      </c>
      <c r="AH34" s="39">
        <v>0.2338078668476882</v>
      </c>
      <c r="AI34" s="40">
        <v>9186.9495814415804</v>
      </c>
      <c r="AJ34" s="39">
        <v>31.335885671331017</v>
      </c>
      <c r="AK34" s="28">
        <v>1231272.5214668377</v>
      </c>
      <c r="AL34" s="41">
        <f t="shared" si="0"/>
        <v>281.34837587460049</v>
      </c>
      <c r="AM34" s="28">
        <v>1443907.25</v>
      </c>
      <c r="AN34" s="42">
        <v>0.85273657395018809</v>
      </c>
      <c r="AP34" s="30"/>
      <c r="AR34" s="30"/>
    </row>
    <row r="35" spans="1:44" x14ac:dyDescent="0.2">
      <c r="A35" s="3" t="s">
        <v>1445</v>
      </c>
      <c r="B35" s="3" t="s">
        <v>1433</v>
      </c>
      <c r="C35" s="3" t="s">
        <v>1571</v>
      </c>
      <c r="D35" s="27"/>
      <c r="E35" s="3" t="s">
        <v>1463</v>
      </c>
      <c r="F35" s="133" t="s">
        <v>1053</v>
      </c>
      <c r="G35" s="3" t="s">
        <v>877</v>
      </c>
      <c r="H35" s="29">
        <v>74.959999999999994</v>
      </c>
      <c r="I35" s="30">
        <v>391.05399999999997</v>
      </c>
      <c r="J35" s="30">
        <v>378.64600000000002</v>
      </c>
      <c r="K35" s="31">
        <v>0.77</v>
      </c>
      <c r="L35" s="31">
        <v>0.84</v>
      </c>
      <c r="M35" s="4">
        <v>0.42</v>
      </c>
      <c r="N35" s="4">
        <v>0.42</v>
      </c>
      <c r="O35" s="4">
        <v>0.57999999999999996</v>
      </c>
      <c r="P35" s="4">
        <v>0.57999999999999996</v>
      </c>
      <c r="Q35" s="32">
        <v>301.11158</v>
      </c>
      <c r="R35" s="32">
        <v>318.06263999999999</v>
      </c>
      <c r="S35" s="32">
        <v>22571.324036799997</v>
      </c>
      <c r="T35" s="32">
        <v>23841.975494399998</v>
      </c>
      <c r="U35" s="33">
        <v>1.1936239142474397E-3</v>
      </c>
      <c r="V35" s="34">
        <v>1.2655122353015331E-3</v>
      </c>
      <c r="W35" s="34">
        <v>7.1888321054093453E-5</v>
      </c>
      <c r="X35" s="35">
        <v>154.97181393152593</v>
      </c>
      <c r="Y35" s="36">
        <v>2067393.4622668885</v>
      </c>
      <c r="Z35" s="37">
        <v>9.9099164833275607E-4</v>
      </c>
      <c r="AA35" s="38">
        <v>1.0499520533454013E-3</v>
      </c>
      <c r="AB35" s="38">
        <v>5.8960405012645212E-5</v>
      </c>
      <c r="AC35" s="39">
        <v>1.1280459362710962</v>
      </c>
      <c r="AD35" s="40">
        <v>15048.638424107474</v>
      </c>
      <c r="AE35" s="37">
        <v>1.4010781258694399E-3</v>
      </c>
      <c r="AF35" s="38">
        <v>1.4865101944153492E-3</v>
      </c>
      <c r="AG35" s="38">
        <v>8.5432068545909269E-5</v>
      </c>
      <c r="AH35" s="39">
        <v>1.197387878670843</v>
      </c>
      <c r="AI35" s="40">
        <v>15973.691017487236</v>
      </c>
      <c r="AJ35" s="39">
        <v>157.29724774646786</v>
      </c>
      <c r="AK35" s="28">
        <v>2098415.7917084834</v>
      </c>
      <c r="AL35" s="41">
        <f t="shared" si="0"/>
        <v>479.51121300756046</v>
      </c>
      <c r="AM35" s="28">
        <v>2471340</v>
      </c>
      <c r="AN35" s="42">
        <v>0.8491004037115425</v>
      </c>
      <c r="AP35" s="30"/>
      <c r="AR35" s="30"/>
    </row>
    <row r="36" spans="1:44" x14ac:dyDescent="0.2">
      <c r="A36" s="3" t="s">
        <v>1284</v>
      </c>
      <c r="B36" s="3" t="s">
        <v>1282</v>
      </c>
      <c r="C36" s="3" t="s">
        <v>1572</v>
      </c>
      <c r="D36" s="27"/>
      <c r="E36" s="3" t="s">
        <v>1285</v>
      </c>
      <c r="F36" s="133" t="s">
        <v>1061</v>
      </c>
      <c r="G36" s="3" t="s">
        <v>877</v>
      </c>
      <c r="H36" s="29">
        <v>373.8</v>
      </c>
      <c r="I36" s="30">
        <v>163.36699999999999</v>
      </c>
      <c r="J36" s="30">
        <v>162.584</v>
      </c>
      <c r="K36" s="31">
        <v>0.77</v>
      </c>
      <c r="L36" s="31">
        <v>0.79</v>
      </c>
      <c r="M36" s="4">
        <v>0.61</v>
      </c>
      <c r="N36" s="4">
        <v>0.61</v>
      </c>
      <c r="O36" s="4">
        <v>0.39</v>
      </c>
      <c r="P36" s="4">
        <v>0.39</v>
      </c>
      <c r="Q36" s="32">
        <v>125.79258999999999</v>
      </c>
      <c r="R36" s="32">
        <v>128.44136</v>
      </c>
      <c r="S36" s="32">
        <v>47021.270142000001</v>
      </c>
      <c r="T36" s="32">
        <v>48011.380368000006</v>
      </c>
      <c r="U36" s="33">
        <v>2.4865937163576963E-3</v>
      </c>
      <c r="V36" s="34">
        <v>2.5484041498025573E-3</v>
      </c>
      <c r="W36" s="34">
        <v>6.1810433444860983E-5</v>
      </c>
      <c r="X36" s="35">
        <v>133.24660877301883</v>
      </c>
      <c r="Y36" s="36">
        <v>356464.97799095459</v>
      </c>
      <c r="Z36" s="37">
        <v>2.9983881968086452E-3</v>
      </c>
      <c r="AA36" s="38">
        <v>3.0708030766631008E-3</v>
      </c>
      <c r="AB36" s="38">
        <v>7.2414879854455598E-5</v>
      </c>
      <c r="AC36" s="39">
        <v>1.3854604785679281</v>
      </c>
      <c r="AD36" s="40">
        <v>3706.4218260244197</v>
      </c>
      <c r="AE36" s="37">
        <v>1.9626203008941104E-3</v>
      </c>
      <c r="AF36" s="38">
        <v>2.0128270518813668E-3</v>
      </c>
      <c r="AG36" s="38">
        <v>5.0206750987256445E-5</v>
      </c>
      <c r="AH36" s="39">
        <v>0.70368137027234401</v>
      </c>
      <c r="AI36" s="40">
        <v>1882.5076786312038</v>
      </c>
      <c r="AJ36" s="39">
        <v>135.33575062185909</v>
      </c>
      <c r="AK36" s="28">
        <v>362053.90749561024</v>
      </c>
      <c r="AL36" s="41">
        <f t="shared" si="0"/>
        <v>82.678482403505853</v>
      </c>
      <c r="AM36" s="28">
        <v>455283</v>
      </c>
      <c r="AN36" s="42">
        <v>0.79522825911709916</v>
      </c>
      <c r="AP36" s="30"/>
      <c r="AR36" s="30"/>
    </row>
    <row r="37" spans="1:44" s="46" customFormat="1" x14ac:dyDescent="0.2">
      <c r="A37" s="3" t="s">
        <v>1448</v>
      </c>
      <c r="B37" s="3" t="s">
        <v>1436</v>
      </c>
      <c r="C37" s="3" t="s">
        <v>1573</v>
      </c>
      <c r="D37" s="27"/>
      <c r="E37" s="3" t="s">
        <v>1469</v>
      </c>
      <c r="F37" s="133" t="s">
        <v>1055</v>
      </c>
      <c r="G37" s="3" t="s">
        <v>877</v>
      </c>
      <c r="H37" s="29">
        <v>37.29</v>
      </c>
      <c r="I37" s="30">
        <v>1212.027</v>
      </c>
      <c r="J37" s="30">
        <v>1206.9179999999999</v>
      </c>
      <c r="K37" s="31">
        <v>0.91</v>
      </c>
      <c r="L37" s="31">
        <v>0.94</v>
      </c>
      <c r="M37" s="4">
        <v>1</v>
      </c>
      <c r="N37" s="4">
        <v>1</v>
      </c>
      <c r="O37" s="4">
        <v>0</v>
      </c>
      <c r="P37" s="4">
        <v>0</v>
      </c>
      <c r="Q37" s="32">
        <v>1102.9445700000001</v>
      </c>
      <c r="R37" s="32">
        <v>1134.5029199999999</v>
      </c>
      <c r="S37" s="32">
        <v>41128.8030153</v>
      </c>
      <c r="T37" s="32">
        <v>42305.613886799998</v>
      </c>
      <c r="U37" s="33">
        <v>2.1749864014798063E-3</v>
      </c>
      <c r="V37" s="34">
        <v>2.2455468091670053E-3</v>
      </c>
      <c r="W37" s="34">
        <v>7.0560407687198998E-5</v>
      </c>
      <c r="X37" s="35">
        <v>152.10919118287799</v>
      </c>
      <c r="Y37" s="36">
        <v>4079087.9909594525</v>
      </c>
      <c r="Z37" s="37">
        <v>4.2994186770149642E-3</v>
      </c>
      <c r="AA37" s="38">
        <v>4.4358406956628398E-3</v>
      </c>
      <c r="AB37" s="38">
        <v>1.3642201864787554E-4</v>
      </c>
      <c r="AC37" s="39">
        <v>2.6100618494840888</v>
      </c>
      <c r="AD37" s="40">
        <v>69993.61355548643</v>
      </c>
      <c r="AE37" s="37">
        <v>0</v>
      </c>
      <c r="AF37" s="38">
        <v>0</v>
      </c>
      <c r="AG37" s="38">
        <v>0</v>
      </c>
      <c r="AH37" s="39">
        <v>0</v>
      </c>
      <c r="AI37" s="40">
        <v>0</v>
      </c>
      <c r="AJ37" s="39">
        <v>154.71925303236208</v>
      </c>
      <c r="AK37" s="28">
        <v>4149081.6045149388</v>
      </c>
      <c r="AL37" s="41">
        <f t="shared" si="0"/>
        <v>946.10361607936443</v>
      </c>
      <c r="AM37" s="28">
        <v>5990589</v>
      </c>
      <c r="AN37" s="42">
        <v>0.69259994376428402</v>
      </c>
      <c r="AP37" s="108"/>
      <c r="AQ37" s="3"/>
      <c r="AR37" s="108"/>
    </row>
    <row r="38" spans="1:44" x14ac:dyDescent="0.2">
      <c r="A38" s="3" t="s">
        <v>249</v>
      </c>
      <c r="B38" s="3" t="s">
        <v>529</v>
      </c>
      <c r="C38" s="3" t="s">
        <v>1574</v>
      </c>
      <c r="D38" s="27"/>
      <c r="E38" s="3" t="s">
        <v>95</v>
      </c>
      <c r="F38" s="133" t="s">
        <v>1064</v>
      </c>
      <c r="G38" s="3" t="s">
        <v>879</v>
      </c>
      <c r="H38" s="29">
        <v>35.729999999999997</v>
      </c>
      <c r="I38" s="30">
        <v>684.21</v>
      </c>
      <c r="J38" s="30">
        <v>701.101</v>
      </c>
      <c r="K38" s="31">
        <v>1</v>
      </c>
      <c r="L38" s="31">
        <v>1</v>
      </c>
      <c r="M38" s="4">
        <v>0</v>
      </c>
      <c r="N38" s="4">
        <v>0</v>
      </c>
      <c r="O38" s="4">
        <v>1</v>
      </c>
      <c r="P38" s="4">
        <v>1</v>
      </c>
      <c r="Q38" s="32">
        <v>684.21</v>
      </c>
      <c r="R38" s="32">
        <v>701.101</v>
      </c>
      <c r="S38" s="32">
        <v>24446.8233</v>
      </c>
      <c r="T38" s="32">
        <v>25050.338729999999</v>
      </c>
      <c r="U38" s="33">
        <v>1.2928046609355438E-3</v>
      </c>
      <c r="V38" s="34">
        <v>1.3296511511266722E-3</v>
      </c>
      <c r="W38" s="34">
        <v>3.6846490191128458E-5</v>
      </c>
      <c r="X38" s="35">
        <v>79.431086137519515</v>
      </c>
      <c r="Y38" s="36">
        <v>2223092.2512599924</v>
      </c>
      <c r="Z38" s="37">
        <v>0</v>
      </c>
      <c r="AA38" s="38">
        <v>0</v>
      </c>
      <c r="AB38" s="38">
        <v>0</v>
      </c>
      <c r="AC38" s="39">
        <v>0</v>
      </c>
      <c r="AD38" s="40">
        <v>0</v>
      </c>
      <c r="AE38" s="37">
        <v>2.61637359259104E-3</v>
      </c>
      <c r="AF38" s="38">
        <v>2.6928444276666454E-3</v>
      </c>
      <c r="AG38" s="38">
        <v>7.6470835075605377E-5</v>
      </c>
      <c r="AH38" s="39">
        <v>1.0717901667353626</v>
      </c>
      <c r="AI38" s="40">
        <v>29996.926021140855</v>
      </c>
      <c r="AJ38" s="39">
        <v>80.502876304254883</v>
      </c>
      <c r="AK38" s="28">
        <v>2253089.1772811334</v>
      </c>
      <c r="AL38" s="41">
        <f t="shared" si="0"/>
        <v>515.62398812102526</v>
      </c>
      <c r="AM38" s="28">
        <v>3524382.5</v>
      </c>
      <c r="AN38" s="42">
        <v>0.63928622312735162</v>
      </c>
      <c r="AP38" s="30"/>
      <c r="AR38" s="30"/>
    </row>
    <row r="39" spans="1:44" x14ac:dyDescent="0.2">
      <c r="A39" s="3" t="s">
        <v>255</v>
      </c>
      <c r="B39" s="3" t="s">
        <v>534</v>
      </c>
      <c r="C39" s="3" t="s">
        <v>1575</v>
      </c>
      <c r="D39" s="27"/>
      <c r="E39" s="3" t="s">
        <v>2064</v>
      </c>
      <c r="F39" s="133" t="s">
        <v>1060</v>
      </c>
      <c r="G39" s="3" t="s">
        <v>879</v>
      </c>
      <c r="H39" s="29">
        <v>215.69</v>
      </c>
      <c r="I39" s="30">
        <v>309.40899999999999</v>
      </c>
      <c r="J39" s="30">
        <v>314.22399999999999</v>
      </c>
      <c r="K39" s="31">
        <v>1</v>
      </c>
      <c r="L39" s="31">
        <v>1</v>
      </c>
      <c r="M39" s="4">
        <v>0.62</v>
      </c>
      <c r="N39" s="4">
        <v>0.62</v>
      </c>
      <c r="O39" s="4">
        <v>0.38</v>
      </c>
      <c r="P39" s="4">
        <v>0.38</v>
      </c>
      <c r="Q39" s="32">
        <v>309.40899999999999</v>
      </c>
      <c r="R39" s="32">
        <v>314.22399999999999</v>
      </c>
      <c r="S39" s="32">
        <v>66736.427209999994</v>
      </c>
      <c r="T39" s="32">
        <v>67774.974560000002</v>
      </c>
      <c r="U39" s="33">
        <v>3.5291769033759753E-3</v>
      </c>
      <c r="V39" s="34">
        <v>3.5974392966336122E-3</v>
      </c>
      <c r="W39" s="34">
        <v>6.8262393257636882E-5</v>
      </c>
      <c r="X39" s="35">
        <v>147.15529242201961</v>
      </c>
      <c r="Y39" s="36">
        <v>682253.66230246925</v>
      </c>
      <c r="Z39" s="37">
        <v>4.3253206692121637E-3</v>
      </c>
      <c r="AA39" s="38">
        <v>4.4059441965604174E-3</v>
      </c>
      <c r="AB39" s="38">
        <v>8.062352734825376E-5</v>
      </c>
      <c r="AC39" s="39">
        <v>1.542510475861451</v>
      </c>
      <c r="AD39" s="40">
        <v>7151.5159528093609</v>
      </c>
      <c r="AE39" s="37">
        <v>2.7140876749464984E-3</v>
      </c>
      <c r="AF39" s="38">
        <v>2.7685388420324556E-3</v>
      </c>
      <c r="AG39" s="38">
        <v>5.4451167085957115E-5</v>
      </c>
      <c r="AH39" s="39">
        <v>0.76316971551694612</v>
      </c>
      <c r="AI39" s="40">
        <v>3538.2712018032644</v>
      </c>
      <c r="AJ39" s="39">
        <v>149.46097261339801</v>
      </c>
      <c r="AK39" s="28">
        <v>692943.44945708185</v>
      </c>
      <c r="AL39" s="41">
        <f t="shared" si="0"/>
        <v>158.24190564615162</v>
      </c>
      <c r="AM39" s="28">
        <v>1167507</v>
      </c>
      <c r="AN39" s="42">
        <v>0.59352402123249093</v>
      </c>
      <c r="AO39" s="46"/>
      <c r="AP39" s="30"/>
      <c r="AR39" s="30"/>
    </row>
    <row r="40" spans="1:44" x14ac:dyDescent="0.2">
      <c r="A40" s="3" t="s">
        <v>1190</v>
      </c>
      <c r="B40" s="3" t="s">
        <v>1277</v>
      </c>
      <c r="C40" s="3" t="s">
        <v>1576</v>
      </c>
      <c r="D40" s="27"/>
      <c r="E40" s="3" t="s">
        <v>2</v>
      </c>
      <c r="F40" s="133" t="s">
        <v>1070</v>
      </c>
      <c r="G40" s="3" t="s">
        <v>877</v>
      </c>
      <c r="H40" s="29">
        <v>81.59</v>
      </c>
      <c r="I40" s="30">
        <v>124.702</v>
      </c>
      <c r="J40" s="30">
        <v>125.408</v>
      </c>
      <c r="K40" s="31">
        <v>0.9</v>
      </c>
      <c r="L40" s="31">
        <v>0.92</v>
      </c>
      <c r="M40" s="4">
        <v>1</v>
      </c>
      <c r="N40" s="4">
        <v>1</v>
      </c>
      <c r="O40" s="4">
        <v>0</v>
      </c>
      <c r="P40" s="4">
        <v>0</v>
      </c>
      <c r="Q40" s="32">
        <v>112.23180000000001</v>
      </c>
      <c r="R40" s="32">
        <v>115.37536</v>
      </c>
      <c r="S40" s="32">
        <v>9156.9925620000013</v>
      </c>
      <c r="T40" s="32">
        <v>9413.4756224000012</v>
      </c>
      <c r="U40" s="33">
        <v>4.842429840078939E-4</v>
      </c>
      <c r="V40" s="34">
        <v>4.9965945899315312E-4</v>
      </c>
      <c r="W40" s="34">
        <v>1.5416474985259217E-5</v>
      </c>
      <c r="X40" s="35">
        <v>33.233758388902785</v>
      </c>
      <c r="Y40" s="36">
        <v>407326.36829149141</v>
      </c>
      <c r="Z40" s="37">
        <v>9.5723050417256947E-4</v>
      </c>
      <c r="AA40" s="38">
        <v>9.8702452032023891E-4</v>
      </c>
      <c r="AB40" s="38">
        <v>2.9794016147669444E-5</v>
      </c>
      <c r="AC40" s="39">
        <v>0.57002693304711571</v>
      </c>
      <c r="AD40" s="40">
        <v>6986.4803658183073</v>
      </c>
      <c r="AE40" s="37">
        <v>0</v>
      </c>
      <c r="AF40" s="38">
        <v>0</v>
      </c>
      <c r="AG40" s="38">
        <v>0</v>
      </c>
      <c r="AH40" s="39">
        <v>0</v>
      </c>
      <c r="AI40" s="40">
        <v>0</v>
      </c>
      <c r="AJ40" s="39">
        <v>33.803785321949903</v>
      </c>
      <c r="AK40" s="28">
        <v>414312.84865730972</v>
      </c>
      <c r="AL40" s="41">
        <f t="shared" si="0"/>
        <v>94.475272614653861</v>
      </c>
      <c r="AM40" s="28">
        <v>698473.375</v>
      </c>
      <c r="AN40" s="42">
        <v>0.59316913641455515</v>
      </c>
      <c r="AO40" s="46"/>
      <c r="AP40" s="30"/>
      <c r="AR40" s="30"/>
    </row>
    <row r="41" spans="1:44" s="46" customFormat="1" x14ac:dyDescent="0.2">
      <c r="A41" s="3" t="s">
        <v>1194</v>
      </c>
      <c r="B41" s="3" t="s">
        <v>429</v>
      </c>
      <c r="C41" s="3" t="s">
        <v>1577</v>
      </c>
      <c r="D41" s="27"/>
      <c r="E41" s="3" t="s">
        <v>5</v>
      </c>
      <c r="F41" s="133" t="s">
        <v>1064</v>
      </c>
      <c r="G41" s="3" t="s">
        <v>877</v>
      </c>
      <c r="H41" s="29">
        <v>56.42</v>
      </c>
      <c r="I41" s="30">
        <v>313.81900000000002</v>
      </c>
      <c r="J41" s="30">
        <v>316.67399999999998</v>
      </c>
      <c r="K41" s="31">
        <v>0.84</v>
      </c>
      <c r="L41" s="31">
        <v>0.88</v>
      </c>
      <c r="M41" s="4">
        <v>0</v>
      </c>
      <c r="N41" s="4">
        <v>0</v>
      </c>
      <c r="O41" s="4">
        <v>1</v>
      </c>
      <c r="P41" s="4">
        <v>1</v>
      </c>
      <c r="Q41" s="32">
        <v>263.60795999999999</v>
      </c>
      <c r="R41" s="32">
        <v>278.67311999999998</v>
      </c>
      <c r="S41" s="32">
        <v>14872.7611032</v>
      </c>
      <c r="T41" s="32">
        <v>15722.737430399999</v>
      </c>
      <c r="U41" s="33">
        <v>7.8650606826277593E-4</v>
      </c>
      <c r="V41" s="34">
        <v>8.3454982978562603E-4</v>
      </c>
      <c r="W41" s="34">
        <v>4.8043761522850096E-5</v>
      </c>
      <c r="X41" s="35">
        <v>103.56938042393985</v>
      </c>
      <c r="Y41" s="36">
        <v>1835685.5800060234</v>
      </c>
      <c r="Z41" s="37">
        <v>0</v>
      </c>
      <c r="AA41" s="38">
        <v>0</v>
      </c>
      <c r="AB41" s="38">
        <v>0</v>
      </c>
      <c r="AC41" s="39">
        <v>0</v>
      </c>
      <c r="AD41" s="40">
        <v>0</v>
      </c>
      <c r="AE41" s="37">
        <v>1.591728255316005E-3</v>
      </c>
      <c r="AF41" s="38">
        <v>1.6901522304133103E-3</v>
      </c>
      <c r="AG41" s="38">
        <v>9.8423975097305244E-5</v>
      </c>
      <c r="AH41" s="39">
        <v>1.3794781837546561</v>
      </c>
      <c r="AI41" s="40">
        <v>24450.162774807799</v>
      </c>
      <c r="AJ41" s="39">
        <v>104.9488586076945</v>
      </c>
      <c r="AK41" s="28">
        <v>1860135.7427808312</v>
      </c>
      <c r="AL41" s="41">
        <f t="shared" si="0"/>
        <v>425.7688897806637</v>
      </c>
      <c r="AM41" s="28">
        <v>3576205</v>
      </c>
      <c r="AN41" s="42">
        <v>0.52014236957356508</v>
      </c>
      <c r="AO41" s="3"/>
      <c r="AP41" s="108"/>
      <c r="AQ41" s="3"/>
      <c r="AR41" s="108"/>
    </row>
    <row r="42" spans="1:44" x14ac:dyDescent="0.2">
      <c r="A42" s="3" t="s">
        <v>1117</v>
      </c>
      <c r="B42" s="3" t="s">
        <v>351</v>
      </c>
      <c r="C42" s="3" t="s">
        <v>1578</v>
      </c>
      <c r="D42" s="27"/>
      <c r="E42" s="3" t="s">
        <v>1353</v>
      </c>
      <c r="F42" s="133" t="s">
        <v>1060</v>
      </c>
      <c r="G42" s="3" t="s">
        <v>877</v>
      </c>
      <c r="H42" s="29">
        <v>29.75</v>
      </c>
      <c r="I42" s="30">
        <v>335.43599999999998</v>
      </c>
      <c r="J42" s="30">
        <v>335.61799999999999</v>
      </c>
      <c r="K42" s="31">
        <v>0.87</v>
      </c>
      <c r="L42" s="31">
        <v>0.89</v>
      </c>
      <c r="M42" s="4">
        <v>1</v>
      </c>
      <c r="N42" s="4">
        <v>1</v>
      </c>
      <c r="O42" s="4">
        <v>0</v>
      </c>
      <c r="P42" s="4">
        <v>0</v>
      </c>
      <c r="Q42" s="32">
        <v>291.82932</v>
      </c>
      <c r="R42" s="32">
        <v>298.70001999999999</v>
      </c>
      <c r="S42" s="32">
        <v>8681.9222699999991</v>
      </c>
      <c r="T42" s="32">
        <v>8886.3255950000002</v>
      </c>
      <c r="U42" s="33">
        <v>4.5912016619910264E-4</v>
      </c>
      <c r="V42" s="34">
        <v>4.7167877384938502E-4</v>
      </c>
      <c r="W42" s="34">
        <v>1.2558607650282384E-5</v>
      </c>
      <c r="X42" s="35">
        <v>27.072967896330884</v>
      </c>
      <c r="Y42" s="36">
        <v>910015.72760776081</v>
      </c>
      <c r="Z42" s="37">
        <v>9.075688088015678E-4</v>
      </c>
      <c r="AA42" s="38">
        <v>9.3175163028447216E-4</v>
      </c>
      <c r="AB42" s="38">
        <v>2.4182821482904358E-5</v>
      </c>
      <c r="AC42" s="39">
        <v>0.46267208468987009</v>
      </c>
      <c r="AD42" s="40">
        <v>15552.002846718322</v>
      </c>
      <c r="AE42" s="37">
        <v>0</v>
      </c>
      <c r="AF42" s="38">
        <v>0</v>
      </c>
      <c r="AG42" s="38">
        <v>0</v>
      </c>
      <c r="AH42" s="39">
        <v>0</v>
      </c>
      <c r="AI42" s="40">
        <v>0</v>
      </c>
      <c r="AJ42" s="39">
        <v>27.535639981020754</v>
      </c>
      <c r="AK42" s="28">
        <v>925567.73045447911</v>
      </c>
      <c r="AL42" s="41">
        <f t="shared" si="0"/>
        <v>211.06903613919971</v>
      </c>
      <c r="AM42" s="28">
        <v>1993596.875</v>
      </c>
      <c r="AN42" s="42">
        <v>0.46427025546700817</v>
      </c>
      <c r="AO42" s="46"/>
      <c r="AP42" s="30"/>
      <c r="AR42" s="30"/>
    </row>
    <row r="43" spans="1:44" x14ac:dyDescent="0.2">
      <c r="A43" s="3" t="s">
        <v>283</v>
      </c>
      <c r="B43" s="3" t="s">
        <v>562</v>
      </c>
      <c r="C43" s="3" t="s">
        <v>1579</v>
      </c>
      <c r="D43" s="27"/>
      <c r="E43" s="3" t="s">
        <v>125</v>
      </c>
      <c r="F43" s="133" t="s">
        <v>1070</v>
      </c>
      <c r="G43" s="3" t="s">
        <v>877</v>
      </c>
      <c r="H43" s="29">
        <v>64.040000000000006</v>
      </c>
      <c r="I43" s="30">
        <v>417.01799999999997</v>
      </c>
      <c r="J43" s="30">
        <v>414.738</v>
      </c>
      <c r="K43" s="31">
        <v>0.8</v>
      </c>
      <c r="L43" s="31">
        <v>0.82</v>
      </c>
      <c r="M43" s="4">
        <v>0.51</v>
      </c>
      <c r="N43" s="4">
        <v>0.51</v>
      </c>
      <c r="O43" s="4">
        <v>0.49</v>
      </c>
      <c r="P43" s="4">
        <v>0.49</v>
      </c>
      <c r="Q43" s="32">
        <v>333.61439999999999</v>
      </c>
      <c r="R43" s="32">
        <v>340.08515999999997</v>
      </c>
      <c r="S43" s="32">
        <v>21364.666176000002</v>
      </c>
      <c r="T43" s="32">
        <v>21779.0536464</v>
      </c>
      <c r="U43" s="33">
        <v>1.1298130506659637E-3</v>
      </c>
      <c r="V43" s="34">
        <v>1.1560140588719819E-3</v>
      </c>
      <c r="W43" s="34">
        <v>2.6201008206018115E-5</v>
      </c>
      <c r="X43" s="35">
        <v>56.482300726791216</v>
      </c>
      <c r="Y43" s="36">
        <v>881984.70841335435</v>
      </c>
      <c r="Z43" s="37">
        <v>1.139016343924914E-3</v>
      </c>
      <c r="AA43" s="38">
        <v>1.1646277133686267E-3</v>
      </c>
      <c r="AB43" s="38">
        <v>2.5611369443712638E-5</v>
      </c>
      <c r="AC43" s="39">
        <v>0.49000343903881882</v>
      </c>
      <c r="AD43" s="40">
        <v>7651.5215340227787</v>
      </c>
      <c r="AE43" s="37">
        <v>1.1203907509214339E-3</v>
      </c>
      <c r="AF43" s="38">
        <v>1.1471831140889717E-3</v>
      </c>
      <c r="AG43" s="38">
        <v>2.6792363167537801E-5</v>
      </c>
      <c r="AH43" s="39">
        <v>0.37551298293236796</v>
      </c>
      <c r="AI43" s="40">
        <v>5863.7255298620848</v>
      </c>
      <c r="AJ43" s="39">
        <v>57.347817148762402</v>
      </c>
      <c r="AK43" s="28">
        <v>895499.95547723921</v>
      </c>
      <c r="AL43" s="41">
        <f t="shared" si="0"/>
        <v>204.56752190832381</v>
      </c>
      <c r="AM43" s="28">
        <v>1956845.375</v>
      </c>
      <c r="AN43" s="42">
        <v>0.45762427983214526</v>
      </c>
      <c r="AP43" s="30"/>
      <c r="AR43" s="30"/>
    </row>
    <row r="44" spans="1:44" x14ac:dyDescent="0.2">
      <c r="A44" s="3" t="s">
        <v>720</v>
      </c>
      <c r="B44" s="3" t="s">
        <v>151</v>
      </c>
      <c r="C44" s="3" t="s">
        <v>1580</v>
      </c>
      <c r="D44" s="27"/>
      <c r="E44" s="3" t="s">
        <v>591</v>
      </c>
      <c r="F44" s="133" t="s">
        <v>1060</v>
      </c>
      <c r="G44" s="3" t="s">
        <v>879</v>
      </c>
      <c r="H44" s="29">
        <v>368.34</v>
      </c>
      <c r="I44" s="30">
        <v>69.429000000000002</v>
      </c>
      <c r="J44" s="30">
        <v>71.075000000000003</v>
      </c>
      <c r="K44" s="31">
        <v>1</v>
      </c>
      <c r="L44" s="31">
        <v>1</v>
      </c>
      <c r="M44" s="4">
        <v>1</v>
      </c>
      <c r="N44" s="4">
        <v>1</v>
      </c>
      <c r="O44" s="4">
        <v>0</v>
      </c>
      <c r="P44" s="4">
        <v>0</v>
      </c>
      <c r="Q44" s="32">
        <v>69.429000000000002</v>
      </c>
      <c r="R44" s="32">
        <v>71.075000000000003</v>
      </c>
      <c r="S44" s="32">
        <v>25573.477859999999</v>
      </c>
      <c r="T44" s="32">
        <v>26179.765499999998</v>
      </c>
      <c r="U44" s="33">
        <v>1.3523847645980217E-3</v>
      </c>
      <c r="V44" s="34">
        <v>1.3896001849912445E-3</v>
      </c>
      <c r="W44" s="34">
        <v>3.7215420393222785E-5</v>
      </c>
      <c r="X44" s="35">
        <v>80.226400060481495</v>
      </c>
      <c r="Y44" s="36">
        <v>217805.28875626187</v>
      </c>
      <c r="Z44" s="37">
        <v>2.6733354799217141E-3</v>
      </c>
      <c r="AA44" s="38">
        <v>2.7450084879643865E-3</v>
      </c>
      <c r="AB44" s="38">
        <v>7.1673008042672393E-5</v>
      </c>
      <c r="AC44" s="39">
        <v>1.3712667924435429</v>
      </c>
      <c r="AD44" s="40">
        <v>3722.8288875591657</v>
      </c>
      <c r="AE44" s="37">
        <v>0</v>
      </c>
      <c r="AF44" s="38">
        <v>0</v>
      </c>
      <c r="AG44" s="38">
        <v>0</v>
      </c>
      <c r="AH44" s="39">
        <v>0</v>
      </c>
      <c r="AI44" s="40">
        <v>0</v>
      </c>
      <c r="AJ44" s="39">
        <v>81.597666852925045</v>
      </c>
      <c r="AK44" s="28">
        <v>221528.11764382102</v>
      </c>
      <c r="AL44" s="41">
        <f t="shared" si="0"/>
        <v>50.517755868522002</v>
      </c>
      <c r="AM44" s="28">
        <v>497705.0625</v>
      </c>
      <c r="AN44" s="42">
        <v>0.44509918490897615</v>
      </c>
      <c r="AP44" s="30"/>
      <c r="AR44" s="30"/>
    </row>
    <row r="45" spans="1:44" x14ac:dyDescent="0.2">
      <c r="A45" s="3" t="s">
        <v>893</v>
      </c>
      <c r="B45" s="3" t="s">
        <v>327</v>
      </c>
      <c r="C45" s="3" t="s">
        <v>1581</v>
      </c>
      <c r="D45" s="27"/>
      <c r="E45" s="3" t="s">
        <v>781</v>
      </c>
      <c r="F45" s="133" t="s">
        <v>1063</v>
      </c>
      <c r="G45" s="3" t="s">
        <v>877</v>
      </c>
      <c r="H45" s="29">
        <v>771.29</v>
      </c>
      <c r="I45" s="30">
        <v>471.82799999999997</v>
      </c>
      <c r="J45" s="30">
        <v>474.07400000000001</v>
      </c>
      <c r="K45" s="31">
        <v>0.82</v>
      </c>
      <c r="L45" s="31">
        <v>0.83</v>
      </c>
      <c r="M45" s="4">
        <v>1</v>
      </c>
      <c r="N45" s="4">
        <v>1</v>
      </c>
      <c r="O45" s="4">
        <v>0</v>
      </c>
      <c r="P45" s="4">
        <v>0</v>
      </c>
      <c r="Q45" s="32">
        <v>386.89895999999993</v>
      </c>
      <c r="R45" s="32">
        <v>393.48142000000001</v>
      </c>
      <c r="S45" s="32">
        <v>298411.29885839991</v>
      </c>
      <c r="T45" s="32">
        <v>303488.28443180001</v>
      </c>
      <c r="U45" s="33">
        <v>1.5780680921433622E-2</v>
      </c>
      <c r="V45" s="34">
        <v>1.6108905795550566E-2</v>
      </c>
      <c r="W45" s="34">
        <v>3.2822487411694398E-4</v>
      </c>
      <c r="X45" s="35">
        <v>707.56422425104302</v>
      </c>
      <c r="Y45" s="36">
        <v>917377.67149975116</v>
      </c>
      <c r="Z45" s="37">
        <v>3.1194564822779353E-2</v>
      </c>
      <c r="AA45" s="38">
        <v>3.1821443043981469E-2</v>
      </c>
      <c r="AB45" s="38">
        <v>6.268782212021165E-4</v>
      </c>
      <c r="AC45" s="39">
        <v>11.993598582171192</v>
      </c>
      <c r="AD45" s="40">
        <v>15550.050671175812</v>
      </c>
      <c r="AE45" s="37">
        <v>0</v>
      </c>
      <c r="AF45" s="38">
        <v>0</v>
      </c>
      <c r="AG45" s="38">
        <v>0</v>
      </c>
      <c r="AH45" s="39">
        <v>0</v>
      </c>
      <c r="AI45" s="40">
        <v>0</v>
      </c>
      <c r="AJ45" s="39">
        <v>719.55782283321423</v>
      </c>
      <c r="AK45" s="28">
        <v>932927.72217092698</v>
      </c>
      <c r="AL45" s="41">
        <f t="shared" si="0"/>
        <v>212.77656531067692</v>
      </c>
      <c r="AM45" s="28">
        <v>2153962.25</v>
      </c>
      <c r="AN45" s="42">
        <v>0.43312166783374545</v>
      </c>
      <c r="AP45" s="30"/>
      <c r="AR45" s="30"/>
    </row>
    <row r="46" spans="1:44" x14ac:dyDescent="0.2">
      <c r="A46" s="3" t="s">
        <v>1247</v>
      </c>
      <c r="B46" s="3" t="s">
        <v>480</v>
      </c>
      <c r="C46" s="3" t="s">
        <v>1582</v>
      </c>
      <c r="D46" s="27"/>
      <c r="E46" s="3" t="s">
        <v>54</v>
      </c>
      <c r="F46" s="133" t="s">
        <v>1064</v>
      </c>
      <c r="G46" s="3" t="s">
        <v>877</v>
      </c>
      <c r="H46" s="29">
        <v>28.93</v>
      </c>
      <c r="I46" s="30">
        <v>172.19499999999999</v>
      </c>
      <c r="J46" s="30">
        <v>172.19900000000001</v>
      </c>
      <c r="K46" s="31">
        <v>0.94</v>
      </c>
      <c r="L46" s="31">
        <v>1</v>
      </c>
      <c r="M46" s="4">
        <v>0</v>
      </c>
      <c r="N46" s="4">
        <v>0</v>
      </c>
      <c r="O46" s="4">
        <v>1</v>
      </c>
      <c r="P46" s="4">
        <v>1</v>
      </c>
      <c r="Q46" s="32">
        <v>161.86329999999998</v>
      </c>
      <c r="R46" s="32">
        <v>172.19900000000001</v>
      </c>
      <c r="S46" s="32">
        <v>4682.7052689999991</v>
      </c>
      <c r="T46" s="32">
        <v>4981.7170700000006</v>
      </c>
      <c r="U46" s="33">
        <v>2.4763230474818493E-4</v>
      </c>
      <c r="V46" s="34">
        <v>2.6442539991605512E-4</v>
      </c>
      <c r="W46" s="34">
        <v>1.6793095167870194E-5</v>
      </c>
      <c r="X46" s="35">
        <v>36.20137988382465</v>
      </c>
      <c r="Y46" s="36">
        <v>1251343.9296171675</v>
      </c>
      <c r="Z46" s="37">
        <v>0</v>
      </c>
      <c r="AA46" s="38">
        <v>0</v>
      </c>
      <c r="AB46" s="38">
        <v>0</v>
      </c>
      <c r="AC46" s="39">
        <v>0</v>
      </c>
      <c r="AD46" s="40">
        <v>0</v>
      </c>
      <c r="AE46" s="37">
        <v>5.0115740018043654E-4</v>
      </c>
      <c r="AF46" s="38">
        <v>5.3552126367439781E-4</v>
      </c>
      <c r="AG46" s="38">
        <v>3.4363863493961267E-5</v>
      </c>
      <c r="AH46" s="39">
        <v>0.48163265050590814</v>
      </c>
      <c r="AI46" s="40">
        <v>16648.207760314832</v>
      </c>
      <c r="AJ46" s="39">
        <v>36.683012534330558</v>
      </c>
      <c r="AK46" s="28">
        <v>1267992.1373774824</v>
      </c>
      <c r="AL46" s="41">
        <f t="shared" si="0"/>
        <v>290.23669491652601</v>
      </c>
      <c r="AM46" s="28">
        <v>2963297.5</v>
      </c>
      <c r="AN46" s="42">
        <v>0.42789903388960521</v>
      </c>
      <c r="AP46" s="30"/>
      <c r="AR46" s="30"/>
    </row>
    <row r="47" spans="1:44" x14ac:dyDescent="0.2">
      <c r="A47" s="3" t="s">
        <v>1141</v>
      </c>
      <c r="B47" s="3" t="s">
        <v>377</v>
      </c>
      <c r="C47" s="3" t="s">
        <v>1583</v>
      </c>
      <c r="D47" s="27"/>
      <c r="E47" s="3" t="s">
        <v>676</v>
      </c>
      <c r="F47" s="133" t="s">
        <v>1058</v>
      </c>
      <c r="G47" s="3" t="s">
        <v>879</v>
      </c>
      <c r="H47" s="29">
        <v>75.69</v>
      </c>
      <c r="I47" s="30">
        <v>616.21799999999996</v>
      </c>
      <c r="J47" s="30">
        <v>625.76300000000003</v>
      </c>
      <c r="K47" s="31">
        <v>1</v>
      </c>
      <c r="L47" s="31">
        <v>1</v>
      </c>
      <c r="M47" s="4">
        <v>0.41</v>
      </c>
      <c r="N47" s="4">
        <v>0.41</v>
      </c>
      <c r="O47" s="4">
        <v>0.59</v>
      </c>
      <c r="P47" s="4">
        <v>0.59</v>
      </c>
      <c r="Q47" s="32">
        <v>616.21799999999996</v>
      </c>
      <c r="R47" s="32">
        <v>625.76300000000003</v>
      </c>
      <c r="S47" s="32">
        <v>46641.540419999998</v>
      </c>
      <c r="T47" s="32">
        <v>47364.001470000003</v>
      </c>
      <c r="U47" s="33">
        <v>2.4665127288006189E-3</v>
      </c>
      <c r="V47" s="34">
        <v>2.5140418161743116E-3</v>
      </c>
      <c r="W47" s="34">
        <v>4.752908737369263E-5</v>
      </c>
      <c r="X47" s="35">
        <v>102.45988189470614</v>
      </c>
      <c r="Y47" s="36">
        <v>1353677.9217162919</v>
      </c>
      <c r="Z47" s="37">
        <v>1.999035057550259E-3</v>
      </c>
      <c r="AA47" s="38">
        <v>2.0361519389558379E-3</v>
      </c>
      <c r="AB47" s="38">
        <v>3.7116881405578964E-5</v>
      </c>
      <c r="AC47" s="39">
        <v>0.71012991222905986</v>
      </c>
      <c r="AD47" s="40">
        <v>9382.0836600483544</v>
      </c>
      <c r="AE47" s="37">
        <v>2.9451147485844015E-3</v>
      </c>
      <c r="AF47" s="38">
        <v>3.0039870676026479E-3</v>
      </c>
      <c r="AG47" s="38">
        <v>5.8872319018246459E-5</v>
      </c>
      <c r="AH47" s="39">
        <v>0.82513513229297386</v>
      </c>
      <c r="AI47" s="40">
        <v>10901.507891306301</v>
      </c>
      <c r="AJ47" s="39">
        <v>103.99514693922818</v>
      </c>
      <c r="AK47" s="28">
        <v>1373961.5132676465</v>
      </c>
      <c r="AL47" s="41">
        <f t="shared" si="0"/>
        <v>313.97203972580678</v>
      </c>
      <c r="AM47" s="28">
        <v>3353162</v>
      </c>
      <c r="AN47" s="42">
        <v>0.4097510091273987</v>
      </c>
      <c r="AP47" s="30"/>
      <c r="AR47" s="30"/>
    </row>
    <row r="48" spans="1:44" x14ac:dyDescent="0.2">
      <c r="A48" s="3" t="s">
        <v>237</v>
      </c>
      <c r="B48" s="3" t="s">
        <v>517</v>
      </c>
      <c r="C48" s="3" t="s">
        <v>1584</v>
      </c>
      <c r="D48" s="27"/>
      <c r="E48" s="3" t="s">
        <v>85</v>
      </c>
      <c r="F48" s="133" t="s">
        <v>1064</v>
      </c>
      <c r="G48" s="3" t="s">
        <v>879</v>
      </c>
      <c r="H48" s="29">
        <v>182.92</v>
      </c>
      <c r="I48" s="30">
        <v>163.55699999999999</v>
      </c>
      <c r="J48" s="30">
        <v>169.608</v>
      </c>
      <c r="K48" s="31">
        <v>1</v>
      </c>
      <c r="L48" s="31">
        <v>1</v>
      </c>
      <c r="M48" s="4">
        <v>1</v>
      </c>
      <c r="N48" s="4">
        <v>1</v>
      </c>
      <c r="O48" s="4">
        <v>0</v>
      </c>
      <c r="P48" s="4">
        <v>0</v>
      </c>
      <c r="Q48" s="32">
        <v>163.55699999999999</v>
      </c>
      <c r="R48" s="32">
        <v>169.608</v>
      </c>
      <c r="S48" s="32">
        <v>29917.846439999998</v>
      </c>
      <c r="T48" s="32">
        <v>31024.695359999998</v>
      </c>
      <c r="U48" s="33">
        <v>1.5821250412844381E-3</v>
      </c>
      <c r="V48" s="34">
        <v>1.6467650335352702E-3</v>
      </c>
      <c r="W48" s="34">
        <v>6.4639992250832079E-5</v>
      </c>
      <c r="X48" s="35">
        <v>139.34637371894524</v>
      </c>
      <c r="Y48" s="36">
        <v>761788.61643858114</v>
      </c>
      <c r="Z48" s="37">
        <v>3.1274760831807155E-3</v>
      </c>
      <c r="AA48" s="38">
        <v>3.2530105015535497E-3</v>
      </c>
      <c r="AB48" s="38">
        <v>1.2553441837283427E-4</v>
      </c>
      <c r="AC48" s="39">
        <v>2.4017574247880522</v>
      </c>
      <c r="AD48" s="40">
        <v>13130.097445812664</v>
      </c>
      <c r="AE48" s="37">
        <v>0</v>
      </c>
      <c r="AF48" s="38">
        <v>0</v>
      </c>
      <c r="AG48" s="38">
        <v>0</v>
      </c>
      <c r="AH48" s="39">
        <v>0</v>
      </c>
      <c r="AI48" s="40">
        <v>0</v>
      </c>
      <c r="AJ48" s="39">
        <v>141.7481311437333</v>
      </c>
      <c r="AK48" s="28">
        <v>774918.7138843938</v>
      </c>
      <c r="AL48" s="41">
        <f t="shared" si="0"/>
        <v>176.68924188397139</v>
      </c>
      <c r="AM48" s="28">
        <v>1908984.875</v>
      </c>
      <c r="AN48" s="42">
        <v>0.405932348670072</v>
      </c>
      <c r="AP48" s="30"/>
      <c r="AR48" s="30"/>
    </row>
    <row r="49" spans="1:44" x14ac:dyDescent="0.2">
      <c r="A49" s="3" t="s">
        <v>220</v>
      </c>
      <c r="B49" s="3" t="s">
        <v>500</v>
      </c>
      <c r="C49" s="3" t="s">
        <v>1585</v>
      </c>
      <c r="D49" s="27"/>
      <c r="E49" s="3" t="s">
        <v>70</v>
      </c>
      <c r="F49" s="133" t="s">
        <v>1058</v>
      </c>
      <c r="G49" s="3" t="s">
        <v>879</v>
      </c>
      <c r="H49" s="29">
        <v>62.36</v>
      </c>
      <c r="I49" s="30">
        <v>496.04</v>
      </c>
      <c r="J49" s="30">
        <v>504.01299999999998</v>
      </c>
      <c r="K49" s="31">
        <v>1</v>
      </c>
      <c r="L49" s="31">
        <v>1</v>
      </c>
      <c r="M49" s="4">
        <v>0</v>
      </c>
      <c r="N49" s="4">
        <v>0</v>
      </c>
      <c r="O49" s="4">
        <v>1</v>
      </c>
      <c r="P49" s="4">
        <v>1</v>
      </c>
      <c r="Q49" s="32">
        <v>496.04</v>
      </c>
      <c r="R49" s="32">
        <v>504.01299999999998</v>
      </c>
      <c r="S49" s="32">
        <v>30933.054400000001</v>
      </c>
      <c r="T49" s="32">
        <v>31430.250679999997</v>
      </c>
      <c r="U49" s="33">
        <v>1.6358115905101148E-3</v>
      </c>
      <c r="V49" s="34">
        <v>1.668291572712872E-3</v>
      </c>
      <c r="W49" s="34">
        <v>3.2479982202757249E-5</v>
      </c>
      <c r="X49" s="35">
        <v>70.018073653959036</v>
      </c>
      <c r="Y49" s="36">
        <v>1122804.2600057574</v>
      </c>
      <c r="Z49" s="37">
        <v>0</v>
      </c>
      <c r="AA49" s="38">
        <v>0</v>
      </c>
      <c r="AB49" s="38">
        <v>0</v>
      </c>
      <c r="AC49" s="39">
        <v>0</v>
      </c>
      <c r="AD49" s="40">
        <v>0</v>
      </c>
      <c r="AE49" s="37">
        <v>3.3105498279746666E-3</v>
      </c>
      <c r="AF49" s="38">
        <v>3.3786679021008108E-3</v>
      </c>
      <c r="AG49" s="38">
        <v>6.8118074126144283E-5</v>
      </c>
      <c r="AH49" s="39">
        <v>0.95472060626995847</v>
      </c>
      <c r="AI49" s="40">
        <v>15309.823705419474</v>
      </c>
      <c r="AJ49" s="39">
        <v>70.972794260228994</v>
      </c>
      <c r="AK49" s="28">
        <v>1138114.0837111769</v>
      </c>
      <c r="AL49" s="41">
        <f t="shared" si="0"/>
        <v>260.42320560260782</v>
      </c>
      <c r="AM49" s="28">
        <v>2995940.25</v>
      </c>
      <c r="AN49" s="42">
        <v>0.37988544121037693</v>
      </c>
      <c r="AP49" s="30"/>
      <c r="AR49" s="30"/>
    </row>
    <row r="50" spans="1:44" x14ac:dyDescent="0.2">
      <c r="A50" s="3" t="s">
        <v>1525</v>
      </c>
      <c r="B50" s="3" t="s">
        <v>1485</v>
      </c>
      <c r="C50" s="3" t="s">
        <v>1586</v>
      </c>
      <c r="D50" s="27"/>
      <c r="E50" s="3" t="s">
        <v>2065</v>
      </c>
      <c r="F50" s="133" t="s">
        <v>1068</v>
      </c>
      <c r="G50" s="3" t="s">
        <v>877</v>
      </c>
      <c r="H50" s="29">
        <v>52.41</v>
      </c>
      <c r="I50" s="30">
        <v>344.34750000000003</v>
      </c>
      <c r="J50" s="30">
        <v>345.577</v>
      </c>
      <c r="K50" s="31">
        <v>0.87</v>
      </c>
      <c r="L50" s="31">
        <v>0.88</v>
      </c>
      <c r="M50" s="4">
        <v>0.66</v>
      </c>
      <c r="N50" s="4">
        <v>0.66</v>
      </c>
      <c r="O50" s="4">
        <v>0.34</v>
      </c>
      <c r="P50" s="4">
        <v>0.34</v>
      </c>
      <c r="Q50" s="32">
        <v>299.58232500000003</v>
      </c>
      <c r="R50" s="32">
        <v>304.10775999999998</v>
      </c>
      <c r="S50" s="32">
        <v>15701.10965325</v>
      </c>
      <c r="T50" s="32">
        <v>15938.287701599998</v>
      </c>
      <c r="U50" s="33">
        <v>8.303110589252575E-4</v>
      </c>
      <c r="V50" s="34">
        <v>8.4599105895685116E-4</v>
      </c>
      <c r="W50" s="34">
        <v>1.5680000031593664E-5</v>
      </c>
      <c r="X50" s="35">
        <v>33.801847250181225</v>
      </c>
      <c r="Y50" s="36">
        <v>644950.33867928304</v>
      </c>
      <c r="Z50" s="37">
        <v>1.0832730795699136E-3</v>
      </c>
      <c r="AA50" s="38">
        <v>1.1029695860406718E-3</v>
      </c>
      <c r="AB50" s="38">
        <v>1.9696506470758164E-5</v>
      </c>
      <c r="AC50" s="39">
        <v>0.37683872894548287</v>
      </c>
      <c r="AD50" s="40">
        <v>7190.2066198336752</v>
      </c>
      <c r="AE50" s="37">
        <v>5.7132941882831261E-4</v>
      </c>
      <c r="AF50" s="38">
        <v>5.8252992477968266E-4</v>
      </c>
      <c r="AG50" s="38">
        <v>1.1200505951370048E-5</v>
      </c>
      <c r="AH50" s="39">
        <v>0.15698262127346452</v>
      </c>
      <c r="AI50" s="40">
        <v>2995.2799327125458</v>
      </c>
      <c r="AJ50" s="39">
        <v>34.335668600400176</v>
      </c>
      <c r="AK50" s="28">
        <v>655135.82523182931</v>
      </c>
      <c r="AL50" s="41">
        <f t="shared" si="0"/>
        <v>149.58977324550341</v>
      </c>
      <c r="AM50" s="28">
        <v>1728303.75</v>
      </c>
      <c r="AN50" s="42">
        <v>0.37906289634089452</v>
      </c>
      <c r="AP50" s="30"/>
      <c r="AR50" s="30"/>
    </row>
    <row r="51" spans="1:44" x14ac:dyDescent="0.2">
      <c r="A51" s="3" t="s">
        <v>1210</v>
      </c>
      <c r="B51" s="3" t="s">
        <v>446</v>
      </c>
      <c r="C51" s="3" t="s">
        <v>1587</v>
      </c>
      <c r="D51" s="27"/>
      <c r="E51" s="3" t="s">
        <v>20</v>
      </c>
      <c r="F51" s="133" t="s">
        <v>1053</v>
      </c>
      <c r="G51" s="3" t="s">
        <v>879</v>
      </c>
      <c r="H51" s="29">
        <v>687.55</v>
      </c>
      <c r="I51" s="30">
        <v>38.06</v>
      </c>
      <c r="J51" s="30">
        <v>38.493000000000002</v>
      </c>
      <c r="K51" s="31">
        <v>1</v>
      </c>
      <c r="L51" s="31">
        <v>1</v>
      </c>
      <c r="M51" s="4">
        <v>0.64</v>
      </c>
      <c r="N51" s="4">
        <v>0.64</v>
      </c>
      <c r="O51" s="4">
        <v>0.36</v>
      </c>
      <c r="P51" s="4">
        <v>0.36</v>
      </c>
      <c r="Q51" s="32">
        <v>38.06</v>
      </c>
      <c r="R51" s="32">
        <v>38.493000000000002</v>
      </c>
      <c r="S51" s="32">
        <v>26168.152999999998</v>
      </c>
      <c r="T51" s="32">
        <v>26465.862150000001</v>
      </c>
      <c r="U51" s="33">
        <v>1.3838325639010296E-3</v>
      </c>
      <c r="V51" s="34">
        <v>1.404785957291817E-3</v>
      </c>
      <c r="W51" s="34">
        <v>2.0953393390787381E-5</v>
      </c>
      <c r="X51" s="35">
        <v>45.169859779417763</v>
      </c>
      <c r="Y51" s="36">
        <v>65696.836272878732</v>
      </c>
      <c r="Z51" s="37">
        <v>1.7507200794045111E-3</v>
      </c>
      <c r="AA51" s="38">
        <v>1.7760040820667036E-3</v>
      </c>
      <c r="AB51" s="38">
        <v>2.5284002662192499E-5</v>
      </c>
      <c r="AC51" s="39">
        <v>0.48374017189394863</v>
      </c>
      <c r="AD51" s="40">
        <v>703.57089941669506</v>
      </c>
      <c r="AE51" s="37">
        <v>1.0082143969760487E-3</v>
      </c>
      <c r="AF51" s="38">
        <v>1.0242033876500637E-3</v>
      </c>
      <c r="AG51" s="38">
        <v>1.5988990674015028E-5</v>
      </c>
      <c r="AH51" s="39">
        <v>0.22409645407284787</v>
      </c>
      <c r="AI51" s="40">
        <v>325.93477430419296</v>
      </c>
      <c r="AJ51" s="39">
        <v>45.877696405384562</v>
      </c>
      <c r="AK51" s="28">
        <v>66726.341946599612</v>
      </c>
      <c r="AL51" s="41">
        <f t="shared" si="0"/>
        <v>15.237723358873815</v>
      </c>
      <c r="AM51" s="28">
        <v>176214.453125</v>
      </c>
      <c r="AN51" s="42">
        <v>0.37866554509729355</v>
      </c>
      <c r="AP51" s="30"/>
      <c r="AR51" s="30"/>
    </row>
    <row r="52" spans="1:44" x14ac:dyDescent="0.2">
      <c r="A52" s="3" t="s">
        <v>1526</v>
      </c>
      <c r="B52" s="3" t="s">
        <v>1486</v>
      </c>
      <c r="C52" s="3" t="s">
        <v>1588</v>
      </c>
      <c r="D52" s="27"/>
      <c r="E52" s="3" t="s">
        <v>2066</v>
      </c>
      <c r="F52" s="133" t="s">
        <v>1055</v>
      </c>
      <c r="G52" s="3" t="s">
        <v>877</v>
      </c>
      <c r="H52" s="29">
        <v>41.29</v>
      </c>
      <c r="I52" s="30">
        <v>738.22799999999995</v>
      </c>
      <c r="J52" s="30">
        <v>741.46699999999998</v>
      </c>
      <c r="K52" s="31">
        <v>0.69</v>
      </c>
      <c r="L52" s="31">
        <v>0.72</v>
      </c>
      <c r="M52" s="4">
        <v>1</v>
      </c>
      <c r="N52" s="4">
        <v>1</v>
      </c>
      <c r="O52" s="4">
        <v>0</v>
      </c>
      <c r="P52" s="4">
        <v>0</v>
      </c>
      <c r="Q52" s="32">
        <v>509.37731999999994</v>
      </c>
      <c r="R52" s="32">
        <v>533.85623999999996</v>
      </c>
      <c r="S52" s="32">
        <v>21032.189542799999</v>
      </c>
      <c r="T52" s="32">
        <v>22042.9241496</v>
      </c>
      <c r="U52" s="33">
        <v>1.1122309159330179E-3</v>
      </c>
      <c r="V52" s="34">
        <v>1.1700200857808346E-3</v>
      </c>
      <c r="W52" s="34">
        <v>5.7789169847816731E-5</v>
      </c>
      <c r="X52" s="35">
        <v>124.57784999839343</v>
      </c>
      <c r="Y52" s="36">
        <v>3017143.3760812166</v>
      </c>
      <c r="Z52" s="37">
        <v>2.1986097797495933E-3</v>
      </c>
      <c r="AA52" s="38">
        <v>2.3112511794732139E-3</v>
      </c>
      <c r="AB52" s="38">
        <v>1.1264139972362065E-4</v>
      </c>
      <c r="AC52" s="39">
        <v>2.1550848096594137</v>
      </c>
      <c r="AD52" s="40">
        <v>52193.867998532667</v>
      </c>
      <c r="AE52" s="37">
        <v>0</v>
      </c>
      <c r="AF52" s="38">
        <v>0</v>
      </c>
      <c r="AG52" s="38">
        <v>0</v>
      </c>
      <c r="AH52" s="39">
        <v>0</v>
      </c>
      <c r="AI52" s="40">
        <v>0</v>
      </c>
      <c r="AJ52" s="39">
        <v>126.73293480805285</v>
      </c>
      <c r="AK52" s="28">
        <v>3069337.2440797491</v>
      </c>
      <c r="AL52" s="41">
        <f t="shared" si="0"/>
        <v>699.79619578368533</v>
      </c>
      <c r="AM52" s="28">
        <v>8787836</v>
      </c>
      <c r="AN52" s="42">
        <v>0.34927111112220904</v>
      </c>
      <c r="AP52" s="30"/>
      <c r="AR52" s="30"/>
    </row>
    <row r="53" spans="1:44" x14ac:dyDescent="0.2">
      <c r="A53" s="3" t="s">
        <v>946</v>
      </c>
      <c r="B53" s="3" t="s">
        <v>1024</v>
      </c>
      <c r="C53" s="3" t="s">
        <v>1589</v>
      </c>
      <c r="D53" s="27"/>
      <c r="E53" s="3" t="s">
        <v>829</v>
      </c>
      <c r="F53" s="133" t="s">
        <v>1070</v>
      </c>
      <c r="G53" s="3" t="s">
        <v>879</v>
      </c>
      <c r="H53" s="29">
        <v>58.63</v>
      </c>
      <c r="I53" s="30">
        <v>1331.47</v>
      </c>
      <c r="J53" s="30">
        <v>1348.6610000000001</v>
      </c>
      <c r="K53" s="31">
        <v>1</v>
      </c>
      <c r="L53" s="31">
        <v>1</v>
      </c>
      <c r="M53" s="4">
        <v>1</v>
      </c>
      <c r="N53" s="4">
        <v>1</v>
      </c>
      <c r="O53" s="4">
        <v>0</v>
      </c>
      <c r="P53" s="4">
        <v>0</v>
      </c>
      <c r="Q53" s="32">
        <v>1331.47</v>
      </c>
      <c r="R53" s="32">
        <v>1348.6610000000001</v>
      </c>
      <c r="S53" s="32">
        <v>78064.0861</v>
      </c>
      <c r="T53" s="32">
        <v>79071.994430000006</v>
      </c>
      <c r="U53" s="33">
        <v>4.1282097523793037E-3</v>
      </c>
      <c r="V53" s="34">
        <v>4.1970757181745829E-3</v>
      </c>
      <c r="W53" s="34">
        <v>6.886596579527924E-5</v>
      </c>
      <c r="X53" s="35">
        <v>148.45643187869587</v>
      </c>
      <c r="Y53" s="36">
        <v>2532089.917767284</v>
      </c>
      <c r="Z53" s="37">
        <v>8.1604657849534083E-3</v>
      </c>
      <c r="AA53" s="38">
        <v>8.2908800642474325E-3</v>
      </c>
      <c r="AB53" s="38">
        <v>1.3041427929402424E-4</v>
      </c>
      <c r="AC53" s="39">
        <v>2.4951202041064082</v>
      </c>
      <c r="AD53" s="40">
        <v>42557.05618465646</v>
      </c>
      <c r="AE53" s="37">
        <v>0</v>
      </c>
      <c r="AF53" s="38">
        <v>0</v>
      </c>
      <c r="AG53" s="38">
        <v>0</v>
      </c>
      <c r="AH53" s="39">
        <v>0</v>
      </c>
      <c r="AI53" s="40">
        <v>0</v>
      </c>
      <c r="AJ53" s="39">
        <v>150.95155208280227</v>
      </c>
      <c r="AK53" s="28">
        <v>2574646.9739519404</v>
      </c>
      <c r="AL53" s="41">
        <f t="shared" si="0"/>
        <v>587.29290291044879</v>
      </c>
      <c r="AM53" s="28">
        <v>8035274.5</v>
      </c>
      <c r="AN53" s="42">
        <v>0.3204180484377902</v>
      </c>
      <c r="AP53" s="30"/>
      <c r="AR53" s="30"/>
    </row>
    <row r="54" spans="1:44" x14ac:dyDescent="0.2">
      <c r="A54" s="3" t="s">
        <v>1268</v>
      </c>
      <c r="B54" s="3" t="s">
        <v>1251</v>
      </c>
      <c r="C54" s="3" t="s">
        <v>1590</v>
      </c>
      <c r="D54" s="27"/>
      <c r="E54" s="3" t="s">
        <v>1259</v>
      </c>
      <c r="F54" s="133" t="s">
        <v>1061</v>
      </c>
      <c r="G54" s="3" t="s">
        <v>879</v>
      </c>
      <c r="H54" s="29">
        <v>149.30000000000001</v>
      </c>
      <c r="I54" s="30">
        <v>2465.5859999999998</v>
      </c>
      <c r="J54" s="30">
        <v>2465.7840000000001</v>
      </c>
      <c r="K54" s="31">
        <v>0.76</v>
      </c>
      <c r="L54" s="31">
        <v>0.76</v>
      </c>
      <c r="M54" s="4">
        <v>0</v>
      </c>
      <c r="N54" s="4">
        <v>0</v>
      </c>
      <c r="O54" s="4">
        <v>1</v>
      </c>
      <c r="P54" s="4">
        <v>1</v>
      </c>
      <c r="Q54" s="32">
        <v>1873.8453599999998</v>
      </c>
      <c r="R54" s="32">
        <v>1873.99584</v>
      </c>
      <c r="S54" s="32">
        <v>279765.11224799999</v>
      </c>
      <c r="T54" s="32">
        <v>279787.57891200006</v>
      </c>
      <c r="U54" s="33">
        <v>1.4794627369085208E-2</v>
      </c>
      <c r="V54" s="34">
        <v>1.4850892053038739E-2</v>
      </c>
      <c r="W54" s="34">
        <v>5.6264683953531278E-5</v>
      </c>
      <c r="X54" s="35">
        <v>121.29146994546844</v>
      </c>
      <c r="Y54" s="36">
        <v>812401.00432329823</v>
      </c>
      <c r="Z54" s="37">
        <v>0</v>
      </c>
      <c r="AA54" s="38">
        <v>0</v>
      </c>
      <c r="AB54" s="38">
        <v>0</v>
      </c>
      <c r="AC54" s="39">
        <v>0</v>
      </c>
      <c r="AD54" s="40">
        <v>0</v>
      </c>
      <c r="AE54" s="37">
        <v>2.9941315598822005E-2</v>
      </c>
      <c r="AF54" s="38">
        <v>3.0076416567622246E-2</v>
      </c>
      <c r="AG54" s="38">
        <v>1.3510096880024053E-4</v>
      </c>
      <c r="AH54" s="39">
        <v>1.8935309093114741</v>
      </c>
      <c r="AI54" s="40">
        <v>12682.725447498151</v>
      </c>
      <c r="AJ54" s="39">
        <v>123.18500085477991</v>
      </c>
      <c r="AK54" s="28">
        <v>825083.72977079637</v>
      </c>
      <c r="AL54" s="41">
        <f t="shared" si="0"/>
        <v>188.4282784780016</v>
      </c>
      <c r="AM54" s="28">
        <v>2613043.5</v>
      </c>
      <c r="AN54" s="42">
        <v>0.31575583405741098</v>
      </c>
      <c r="AP54" s="30"/>
      <c r="AR54" s="30"/>
    </row>
    <row r="55" spans="1:44" x14ac:dyDescent="0.2">
      <c r="A55" s="3" t="s">
        <v>1366</v>
      </c>
      <c r="B55" s="3" t="s">
        <v>1363</v>
      </c>
      <c r="C55" s="3" t="s">
        <v>1591</v>
      </c>
      <c r="D55" s="27"/>
      <c r="E55" s="3" t="s">
        <v>1368</v>
      </c>
      <c r="F55" s="133" t="s">
        <v>1054</v>
      </c>
      <c r="G55" s="3" t="s">
        <v>879</v>
      </c>
      <c r="H55" s="29">
        <v>64.510000000000005</v>
      </c>
      <c r="I55" s="30">
        <v>1617.3589999999999</v>
      </c>
      <c r="J55" s="30">
        <v>1628.5419999999999</v>
      </c>
      <c r="K55" s="31">
        <v>1</v>
      </c>
      <c r="L55" s="31">
        <v>1</v>
      </c>
      <c r="M55" s="4">
        <v>0.55000000000000004</v>
      </c>
      <c r="N55" s="4">
        <v>0.55000000000000004</v>
      </c>
      <c r="O55" s="4">
        <v>0.45</v>
      </c>
      <c r="P55" s="4">
        <v>0.45</v>
      </c>
      <c r="Q55" s="32">
        <v>1617.3589999999999</v>
      </c>
      <c r="R55" s="32">
        <v>1628.5419999999999</v>
      </c>
      <c r="S55" s="32">
        <v>104335.82909</v>
      </c>
      <c r="T55" s="32">
        <v>105057.24442</v>
      </c>
      <c r="U55" s="33">
        <v>5.5175203949760741E-3</v>
      </c>
      <c r="V55" s="34">
        <v>5.5763511816292778E-3</v>
      </c>
      <c r="W55" s="34">
        <v>5.8830786653203682E-5</v>
      </c>
      <c r="X55" s="35">
        <v>126.82329464622313</v>
      </c>
      <c r="Y55" s="36">
        <v>1965947.8320605042</v>
      </c>
      <c r="Z55" s="37">
        <v>5.9987371054169092E-3</v>
      </c>
      <c r="AA55" s="38">
        <v>6.0585212350460918E-3</v>
      </c>
      <c r="AB55" s="38">
        <v>5.9784129629182614E-5</v>
      </c>
      <c r="AC55" s="39">
        <v>1.1438056517291599</v>
      </c>
      <c r="AD55" s="40">
        <v>17730.672015643464</v>
      </c>
      <c r="AE55" s="37">
        <v>5.0248523944816832E-3</v>
      </c>
      <c r="AF55" s="38">
        <v>5.0820177811657253E-3</v>
      </c>
      <c r="AG55" s="38">
        <v>5.7165386684042072E-5</v>
      </c>
      <c r="AH55" s="39">
        <v>0.80121132801812667</v>
      </c>
      <c r="AI55" s="40">
        <v>12419.955480051567</v>
      </c>
      <c r="AJ55" s="39">
        <v>128.76831162597043</v>
      </c>
      <c r="AK55" s="28">
        <v>1996098.4595561991</v>
      </c>
      <c r="AL55" s="41">
        <f t="shared" si="0"/>
        <v>455.9819148442387</v>
      </c>
      <c r="AM55" s="28">
        <v>6523376.5</v>
      </c>
      <c r="AN55" s="42">
        <v>0.30599160719241014</v>
      </c>
      <c r="AP55" s="30"/>
      <c r="AR55" s="30"/>
    </row>
    <row r="56" spans="1:44" x14ac:dyDescent="0.2">
      <c r="A56" s="3" t="s">
        <v>1183</v>
      </c>
      <c r="B56" s="3" t="s">
        <v>419</v>
      </c>
      <c r="C56" s="3" t="s">
        <v>1592</v>
      </c>
      <c r="D56" s="27"/>
      <c r="E56" s="3" t="s">
        <v>608</v>
      </c>
      <c r="F56" s="133" t="s">
        <v>1057</v>
      </c>
      <c r="G56" s="3" t="s">
        <v>879</v>
      </c>
      <c r="H56" s="29">
        <v>71.42</v>
      </c>
      <c r="I56" s="30">
        <v>594.40200000000004</v>
      </c>
      <c r="J56" s="30">
        <v>599.553</v>
      </c>
      <c r="K56" s="31">
        <v>1</v>
      </c>
      <c r="L56" s="31">
        <v>1</v>
      </c>
      <c r="M56" s="4">
        <v>0.62</v>
      </c>
      <c r="N56" s="4">
        <v>0.62</v>
      </c>
      <c r="O56" s="4">
        <v>0.38</v>
      </c>
      <c r="P56" s="4">
        <v>0.38</v>
      </c>
      <c r="Q56" s="32">
        <v>594.40200000000004</v>
      </c>
      <c r="R56" s="32">
        <v>599.553</v>
      </c>
      <c r="S56" s="32">
        <v>42452.190840000003</v>
      </c>
      <c r="T56" s="32">
        <v>42820.075259999998</v>
      </c>
      <c r="U56" s="33">
        <v>2.244970216023004E-3</v>
      </c>
      <c r="V56" s="34">
        <v>2.272853991096101E-3</v>
      </c>
      <c r="W56" s="34">
        <v>2.7883775073097097E-5</v>
      </c>
      <c r="X56" s="35">
        <v>60.109891829091019</v>
      </c>
      <c r="Y56" s="36">
        <v>841639.48234515567</v>
      </c>
      <c r="Z56" s="37">
        <v>2.7514109785319344E-3</v>
      </c>
      <c r="AA56" s="38">
        <v>2.783665553737056E-3</v>
      </c>
      <c r="AB56" s="38">
        <v>3.2254575205121604E-5</v>
      </c>
      <c r="AC56" s="39">
        <v>0.61710299443303496</v>
      </c>
      <c r="AD56" s="40">
        <v>8640.4787795160319</v>
      </c>
      <c r="AE56" s="37">
        <v>1.7264779184351642E-3</v>
      </c>
      <c r="AF56" s="38">
        <v>1.7491565632549756E-3</v>
      </c>
      <c r="AG56" s="38">
        <v>2.2678644819811413E-5</v>
      </c>
      <c r="AH56" s="39">
        <v>0.31785645453885897</v>
      </c>
      <c r="AI56" s="40">
        <v>4450.5244264752027</v>
      </c>
      <c r="AJ56" s="39">
        <v>61.044851278062914</v>
      </c>
      <c r="AK56" s="28">
        <v>854730.48555114691</v>
      </c>
      <c r="AL56" s="41">
        <f t="shared" si="0"/>
        <v>195.20985069376292</v>
      </c>
      <c r="AM56" s="28">
        <v>2799710.25</v>
      </c>
      <c r="AN56" s="42">
        <v>0.30529248001686848</v>
      </c>
      <c r="AP56" s="30"/>
      <c r="AR56" s="30"/>
    </row>
    <row r="57" spans="1:44" x14ac:dyDescent="0.2">
      <c r="A57" s="3" t="s">
        <v>764</v>
      </c>
      <c r="B57" s="3" t="s">
        <v>1038</v>
      </c>
      <c r="C57" s="3" t="s">
        <v>1593</v>
      </c>
      <c r="D57" s="27"/>
      <c r="E57" s="3" t="s">
        <v>963</v>
      </c>
      <c r="F57" s="133" t="s">
        <v>1053</v>
      </c>
      <c r="G57" s="3" t="s">
        <v>879</v>
      </c>
      <c r="H57" s="29">
        <v>137.27000000000001</v>
      </c>
      <c r="I57" s="30">
        <v>950.80399999999997</v>
      </c>
      <c r="J57" s="30">
        <v>952.39099999999996</v>
      </c>
      <c r="K57" s="31">
        <v>1</v>
      </c>
      <c r="L57" s="31">
        <v>1</v>
      </c>
      <c r="M57" s="4">
        <v>0.56999999999999995</v>
      </c>
      <c r="N57" s="4">
        <v>0.56999999999999995</v>
      </c>
      <c r="O57" s="4">
        <v>0.43</v>
      </c>
      <c r="P57" s="4">
        <v>0.43</v>
      </c>
      <c r="Q57" s="32">
        <v>950.80399999999997</v>
      </c>
      <c r="R57" s="32">
        <v>952.39099999999996</v>
      </c>
      <c r="S57" s="32">
        <v>130516.86508</v>
      </c>
      <c r="T57" s="32">
        <v>130734.71257</v>
      </c>
      <c r="U57" s="33">
        <v>6.9020342412390049E-3</v>
      </c>
      <c r="V57" s="34">
        <v>6.9392898409288348E-3</v>
      </c>
      <c r="W57" s="34">
        <v>3.7255599689829839E-5</v>
      </c>
      <c r="X57" s="35">
        <v>80.313015777560253</v>
      </c>
      <c r="Y57" s="36">
        <v>585073.32831325312</v>
      </c>
      <c r="Z57" s="37">
        <v>7.7768757066316386E-3</v>
      </c>
      <c r="AA57" s="38">
        <v>7.8134657293035571E-3</v>
      </c>
      <c r="AB57" s="38">
        <v>3.6590022671918569E-5</v>
      </c>
      <c r="AC57" s="39">
        <v>0.70004991272147365</v>
      </c>
      <c r="AD57" s="40">
        <v>5099.8026715340102</v>
      </c>
      <c r="AE57" s="37">
        <v>6.0063745807302591E-3</v>
      </c>
      <c r="AF57" s="38">
        <v>6.0430617644622875E-3</v>
      </c>
      <c r="AG57" s="38">
        <v>3.6687183732028381E-5</v>
      </c>
      <c r="AH57" s="39">
        <v>0.51419554566555514</v>
      </c>
      <c r="AI57" s="40">
        <v>3745.8697870296141</v>
      </c>
      <c r="AJ57" s="39">
        <v>81.527261235947279</v>
      </c>
      <c r="AK57" s="28">
        <v>593919.0007718167</v>
      </c>
      <c r="AL57" s="41">
        <f t="shared" si="0"/>
        <v>135.70190023249742</v>
      </c>
      <c r="AM57" s="28">
        <v>2158263.75</v>
      </c>
      <c r="AN57" s="42">
        <v>0.27518369836486234</v>
      </c>
      <c r="AP57" s="30"/>
      <c r="AR57" s="30"/>
    </row>
    <row r="58" spans="1:44" x14ac:dyDescent="0.2">
      <c r="A58" s="3" t="s">
        <v>754</v>
      </c>
      <c r="B58" s="3" t="s">
        <v>1030</v>
      </c>
      <c r="C58" s="3" t="s">
        <v>1594</v>
      </c>
      <c r="D58" s="27"/>
      <c r="E58" s="3" t="s">
        <v>953</v>
      </c>
      <c r="F58" s="133" t="s">
        <v>1066</v>
      </c>
      <c r="G58" s="3" t="s">
        <v>879</v>
      </c>
      <c r="H58" s="29">
        <v>88.3</v>
      </c>
      <c r="I58" s="30">
        <v>2661.8519999999999</v>
      </c>
      <c r="J58" s="30">
        <v>2669.386</v>
      </c>
      <c r="K58" s="31">
        <v>1</v>
      </c>
      <c r="L58" s="31">
        <v>1</v>
      </c>
      <c r="M58" s="4">
        <v>0</v>
      </c>
      <c r="N58" s="4">
        <v>0</v>
      </c>
      <c r="O58" s="4">
        <v>1</v>
      </c>
      <c r="P58" s="4">
        <v>1</v>
      </c>
      <c r="Q58" s="32">
        <v>2661.8519999999999</v>
      </c>
      <c r="R58" s="32">
        <v>2669.386</v>
      </c>
      <c r="S58" s="32">
        <v>235041.53159999999</v>
      </c>
      <c r="T58" s="32">
        <v>235706.78379999998</v>
      </c>
      <c r="U58" s="33">
        <v>1.2429540797061715E-2</v>
      </c>
      <c r="V58" s="34">
        <v>1.2511120100452057E-2</v>
      </c>
      <c r="W58" s="34">
        <v>8.1579303390342389E-5</v>
      </c>
      <c r="X58" s="35">
        <v>175.86295576660649</v>
      </c>
      <c r="Y58" s="36">
        <v>1991652.9531892017</v>
      </c>
      <c r="Z58" s="37">
        <v>0</v>
      </c>
      <c r="AA58" s="38">
        <v>0</v>
      </c>
      <c r="AB58" s="38">
        <v>0</v>
      </c>
      <c r="AC58" s="39">
        <v>0</v>
      </c>
      <c r="AD58" s="40">
        <v>0</v>
      </c>
      <c r="AE58" s="37">
        <v>2.5154861590560618E-2</v>
      </c>
      <c r="AF58" s="38">
        <v>2.5337848967244551E-2</v>
      </c>
      <c r="AG58" s="38">
        <v>1.8298737668393308E-4</v>
      </c>
      <c r="AH58" s="39">
        <v>2.5646911109658315</v>
      </c>
      <c r="AI58" s="40">
        <v>29045.199444686652</v>
      </c>
      <c r="AJ58" s="39">
        <v>178.42764687757233</v>
      </c>
      <c r="AK58" s="28">
        <v>2020698.1526338884</v>
      </c>
      <c r="AL58" s="41">
        <f t="shared" si="0"/>
        <v>461.94396030771458</v>
      </c>
      <c r="AM58" s="28">
        <v>7626381.5</v>
      </c>
      <c r="AN58" s="42">
        <v>0.2649615879606716</v>
      </c>
      <c r="AP58" s="30"/>
      <c r="AR58" s="30"/>
    </row>
    <row r="59" spans="1:44" x14ac:dyDescent="0.2">
      <c r="A59" s="3" t="s">
        <v>187</v>
      </c>
      <c r="B59" s="3" t="s">
        <v>189</v>
      </c>
      <c r="C59" s="3" t="s">
        <v>1595</v>
      </c>
      <c r="D59" s="27"/>
      <c r="E59" s="3" t="s">
        <v>1327</v>
      </c>
      <c r="F59" s="133" t="s">
        <v>1059</v>
      </c>
      <c r="G59" s="3" t="s">
        <v>879</v>
      </c>
      <c r="H59" s="29">
        <v>111.44</v>
      </c>
      <c r="I59" s="30">
        <v>264.91899999999998</v>
      </c>
      <c r="J59" s="30">
        <v>265.60000000000002</v>
      </c>
      <c r="K59" s="31">
        <v>1</v>
      </c>
      <c r="L59" s="31">
        <v>1</v>
      </c>
      <c r="M59" s="4">
        <v>0.62</v>
      </c>
      <c r="N59" s="4">
        <v>0.62</v>
      </c>
      <c r="O59" s="4">
        <v>0.38</v>
      </c>
      <c r="P59" s="4">
        <v>0.38</v>
      </c>
      <c r="Q59" s="32">
        <v>264.91899999999998</v>
      </c>
      <c r="R59" s="32">
        <v>265.60000000000002</v>
      </c>
      <c r="S59" s="32">
        <v>29522.573359999999</v>
      </c>
      <c r="T59" s="32">
        <v>29598.464000000004</v>
      </c>
      <c r="U59" s="33">
        <v>1.5612220849413802E-3</v>
      </c>
      <c r="V59" s="34">
        <v>1.5710618588182809E-3</v>
      </c>
      <c r="W59" s="34">
        <v>9.8397738769006975E-6</v>
      </c>
      <c r="X59" s="35">
        <v>21.211896230431083</v>
      </c>
      <c r="Y59" s="36">
        <v>190343.64887321505</v>
      </c>
      <c r="Z59" s="37">
        <v>1.9134167365676153E-3</v>
      </c>
      <c r="AA59" s="38">
        <v>1.9241494598047173E-3</v>
      </c>
      <c r="AB59" s="38">
        <v>1.0732723237101994E-5</v>
      </c>
      <c r="AC59" s="39">
        <v>0.20534127657601206</v>
      </c>
      <c r="AD59" s="40">
        <v>1842.617341852226</v>
      </c>
      <c r="AE59" s="37">
        <v>1.2006464211358526E-3</v>
      </c>
      <c r="AF59" s="38">
        <v>1.2090671782688065E-3</v>
      </c>
      <c r="AG59" s="38">
        <v>8.4207571329538572E-6</v>
      </c>
      <c r="AH59" s="39">
        <v>0.1180225726924973</v>
      </c>
      <c r="AI59" s="40">
        <v>1059.0683120288702</v>
      </c>
      <c r="AJ59" s="39">
        <v>21.53526007969959</v>
      </c>
      <c r="AK59" s="28">
        <v>193245.33452709613</v>
      </c>
      <c r="AL59" s="41">
        <f t="shared" si="0"/>
        <v>44.148303467788487</v>
      </c>
      <c r="AM59" s="28">
        <v>751043.8125</v>
      </c>
      <c r="AN59" s="42">
        <v>0.25730234549678305</v>
      </c>
      <c r="AP59" s="30"/>
      <c r="AR59" s="30"/>
    </row>
    <row r="60" spans="1:44" x14ac:dyDescent="0.2">
      <c r="A60" s="3" t="s">
        <v>1371</v>
      </c>
      <c r="B60" s="3" t="s">
        <v>1372</v>
      </c>
      <c r="C60" s="3" t="s">
        <v>1596</v>
      </c>
      <c r="D60" s="27"/>
      <c r="E60" s="3" t="s">
        <v>1380</v>
      </c>
      <c r="F60" s="133" t="s">
        <v>1074</v>
      </c>
      <c r="G60" s="3" t="s">
        <v>879</v>
      </c>
      <c r="H60" s="29">
        <v>31.81</v>
      </c>
      <c r="I60" s="30">
        <v>1539.825</v>
      </c>
      <c r="J60" s="30">
        <v>1561.922</v>
      </c>
      <c r="K60" s="31">
        <v>0.91</v>
      </c>
      <c r="L60" s="31">
        <v>0.91</v>
      </c>
      <c r="M60" s="4">
        <v>0</v>
      </c>
      <c r="N60" s="4">
        <v>0</v>
      </c>
      <c r="O60" s="4">
        <v>1</v>
      </c>
      <c r="P60" s="4">
        <v>1</v>
      </c>
      <c r="Q60" s="32">
        <v>1401.2407500000002</v>
      </c>
      <c r="R60" s="32">
        <v>1421.3490200000001</v>
      </c>
      <c r="S60" s="32">
        <v>44573.468257500004</v>
      </c>
      <c r="T60" s="32">
        <v>45213.112326200004</v>
      </c>
      <c r="U60" s="33">
        <v>2.3571482809939775E-3</v>
      </c>
      <c r="V60" s="34">
        <v>2.3998744088260626E-3</v>
      </c>
      <c r="W60" s="34">
        <v>4.272612783208507E-5</v>
      </c>
      <c r="X60" s="35">
        <v>92.105997682518506</v>
      </c>
      <c r="Y60" s="36">
        <v>2895504.4854611289</v>
      </c>
      <c r="Z60" s="37">
        <v>0</v>
      </c>
      <c r="AA60" s="38">
        <v>0</v>
      </c>
      <c r="AB60" s="38">
        <v>0</v>
      </c>
      <c r="AC60" s="39">
        <v>0</v>
      </c>
      <c r="AD60" s="40">
        <v>0</v>
      </c>
      <c r="AE60" s="37">
        <v>4.7703885223859726E-3</v>
      </c>
      <c r="AF60" s="38">
        <v>4.8602886730335967E-3</v>
      </c>
      <c r="AG60" s="38">
        <v>8.9900150647624112E-5</v>
      </c>
      <c r="AH60" s="39">
        <v>1.2600110533236317</v>
      </c>
      <c r="AI60" s="40">
        <v>39610.532955788483</v>
      </c>
      <c r="AJ60" s="39">
        <v>93.366008735842144</v>
      </c>
      <c r="AK60" s="28">
        <v>2935115.0184169174</v>
      </c>
      <c r="AL60" s="41">
        <f t="shared" si="0"/>
        <v>671.58327306012382</v>
      </c>
      <c r="AM60" s="28">
        <v>11537323</v>
      </c>
      <c r="AN60" s="42">
        <v>0.25440173759692064</v>
      </c>
      <c r="AP60" s="30"/>
      <c r="AR60" s="30"/>
    </row>
    <row r="61" spans="1:44" x14ac:dyDescent="0.2">
      <c r="A61" s="3" t="s">
        <v>264</v>
      </c>
      <c r="B61" s="3" t="s">
        <v>543</v>
      </c>
      <c r="C61" s="3" t="s">
        <v>1597</v>
      </c>
      <c r="D61" s="27"/>
      <c r="E61" s="3" t="s">
        <v>106</v>
      </c>
      <c r="F61" s="133" t="s">
        <v>1064</v>
      </c>
      <c r="G61" s="3" t="s">
        <v>879</v>
      </c>
      <c r="H61" s="29">
        <v>14.43</v>
      </c>
      <c r="I61" s="30">
        <v>473.31099999999998</v>
      </c>
      <c r="J61" s="30">
        <v>493.45600000000002</v>
      </c>
      <c r="K61" s="31">
        <v>1</v>
      </c>
      <c r="L61" s="31">
        <v>1</v>
      </c>
      <c r="M61" s="4">
        <v>0</v>
      </c>
      <c r="N61" s="4">
        <v>0</v>
      </c>
      <c r="O61" s="4">
        <v>1</v>
      </c>
      <c r="P61" s="4">
        <v>1</v>
      </c>
      <c r="Q61" s="32">
        <v>473.31099999999998</v>
      </c>
      <c r="R61" s="32">
        <v>493.45600000000002</v>
      </c>
      <c r="S61" s="32">
        <v>6829.8777299999992</v>
      </c>
      <c r="T61" s="32">
        <v>7120.5700800000004</v>
      </c>
      <c r="U61" s="33">
        <v>3.6117975961988771E-4</v>
      </c>
      <c r="V61" s="34">
        <v>3.7795393928991163E-4</v>
      </c>
      <c r="W61" s="34">
        <v>1.6774179670023921E-5</v>
      </c>
      <c r="X61" s="35">
        <v>36.160603176709053</v>
      </c>
      <c r="Y61" s="36">
        <v>2505932.3060782435</v>
      </c>
      <c r="Z61" s="37">
        <v>0</v>
      </c>
      <c r="AA61" s="38">
        <v>0</v>
      </c>
      <c r="AB61" s="38">
        <v>0</v>
      </c>
      <c r="AC61" s="39">
        <v>0</v>
      </c>
      <c r="AD61" s="40">
        <v>0</v>
      </c>
      <c r="AE61" s="37">
        <v>7.30954345851456E-4</v>
      </c>
      <c r="AF61" s="38">
        <v>7.6544224285376929E-4</v>
      </c>
      <c r="AG61" s="38">
        <v>3.4487897002313285E-5</v>
      </c>
      <c r="AH61" s="39">
        <v>0.48337106351612241</v>
      </c>
      <c r="AI61" s="40">
        <v>33497.648199315488</v>
      </c>
      <c r="AJ61" s="39">
        <v>36.643974240225177</v>
      </c>
      <c r="AK61" s="28">
        <v>2539429.9542775592</v>
      </c>
      <c r="AL61" s="41">
        <f t="shared" si="0"/>
        <v>581.22590679223572</v>
      </c>
      <c r="AM61" s="28">
        <v>10252289</v>
      </c>
      <c r="AN61" s="42">
        <v>0.2476939495441027</v>
      </c>
      <c r="AP61" s="30"/>
      <c r="AR61" s="30"/>
    </row>
    <row r="62" spans="1:44" x14ac:dyDescent="0.2">
      <c r="A62" s="3" t="s">
        <v>1527</v>
      </c>
      <c r="B62" s="3" t="s">
        <v>1487</v>
      </c>
      <c r="C62" s="3" t="s">
        <v>1598</v>
      </c>
      <c r="D62" s="27"/>
      <c r="E62" s="3" t="s">
        <v>2067</v>
      </c>
      <c r="F62" s="133" t="s">
        <v>1060</v>
      </c>
      <c r="G62" s="3" t="s">
        <v>879</v>
      </c>
      <c r="H62" s="29">
        <v>160.65</v>
      </c>
      <c r="I62" s="30">
        <v>70.903999999999996</v>
      </c>
      <c r="J62" s="30">
        <v>71.426000000000002</v>
      </c>
      <c r="K62" s="31">
        <v>1</v>
      </c>
      <c r="L62" s="31">
        <v>1</v>
      </c>
      <c r="M62" s="4">
        <v>0.66</v>
      </c>
      <c r="N62" s="4">
        <v>0.66</v>
      </c>
      <c r="O62" s="4">
        <v>0.34</v>
      </c>
      <c r="P62" s="4">
        <v>0.34</v>
      </c>
      <c r="Q62" s="32">
        <v>70.903999999999996</v>
      </c>
      <c r="R62" s="32">
        <v>71.426000000000002</v>
      </c>
      <c r="S62" s="32">
        <v>11390.7276</v>
      </c>
      <c r="T62" s="32">
        <v>11474.5869</v>
      </c>
      <c r="U62" s="33">
        <v>6.0236806852230734E-4</v>
      </c>
      <c r="V62" s="34">
        <v>6.0906153185131141E-4</v>
      </c>
      <c r="W62" s="34">
        <v>6.6934633290040681E-6</v>
      </c>
      <c r="X62" s="35">
        <v>14.429300036084857</v>
      </c>
      <c r="Y62" s="36">
        <v>89818.238631091546</v>
      </c>
      <c r="Z62" s="37">
        <v>7.8588512775846294E-4</v>
      </c>
      <c r="AA62" s="38">
        <v>7.9407026651992258E-4</v>
      </c>
      <c r="AB62" s="38">
        <v>8.1851387614596425E-6</v>
      </c>
      <c r="AC62" s="39">
        <v>0.15660022205918261</v>
      </c>
      <c r="AD62" s="40">
        <v>974.79129822086907</v>
      </c>
      <c r="AE62" s="37">
        <v>4.1448393925409897E-4</v>
      </c>
      <c r="AF62" s="38">
        <v>4.1938571877228164E-4</v>
      </c>
      <c r="AG62" s="38">
        <v>4.9017795181826684E-6</v>
      </c>
      <c r="AH62" s="39">
        <v>6.8701735529614227E-2</v>
      </c>
      <c r="AI62" s="40">
        <v>427.64852492757063</v>
      </c>
      <c r="AJ62" s="39">
        <v>14.654601993673655</v>
      </c>
      <c r="AK62" s="28">
        <v>91220.678454239984</v>
      </c>
      <c r="AL62" s="41">
        <f t="shared" si="0"/>
        <v>20.832441111123774</v>
      </c>
      <c r="AM62" s="28">
        <v>368692.8125</v>
      </c>
      <c r="AN62" s="42">
        <v>0.24741648158448976</v>
      </c>
      <c r="AP62" s="30"/>
      <c r="AR62" s="30"/>
    </row>
    <row r="63" spans="1:44" x14ac:dyDescent="0.2">
      <c r="A63" s="3" t="s">
        <v>1114</v>
      </c>
      <c r="B63" s="3" t="s">
        <v>348</v>
      </c>
      <c r="C63" s="3" t="s">
        <v>1599</v>
      </c>
      <c r="D63" s="27"/>
      <c r="E63" s="3" t="s">
        <v>655</v>
      </c>
      <c r="F63" s="133" t="s">
        <v>1057</v>
      </c>
      <c r="G63" s="3" t="s">
        <v>879</v>
      </c>
      <c r="H63" s="29">
        <v>46.57</v>
      </c>
      <c r="I63" s="30">
        <v>436.41500000000002</v>
      </c>
      <c r="J63" s="30">
        <v>439.346</v>
      </c>
      <c r="K63" s="31">
        <v>1</v>
      </c>
      <c r="L63" s="31">
        <v>1</v>
      </c>
      <c r="M63" s="4">
        <v>0.56999999999999995</v>
      </c>
      <c r="N63" s="4">
        <v>0.56999999999999995</v>
      </c>
      <c r="O63" s="4">
        <v>0.43</v>
      </c>
      <c r="P63" s="4">
        <v>0.43</v>
      </c>
      <c r="Q63" s="32">
        <v>436.41500000000002</v>
      </c>
      <c r="R63" s="32">
        <v>439.346</v>
      </c>
      <c r="S63" s="32">
        <v>20323.846550000002</v>
      </c>
      <c r="T63" s="32">
        <v>20460.343219999999</v>
      </c>
      <c r="U63" s="33">
        <v>1.0747720971983617E-3</v>
      </c>
      <c r="V63" s="34">
        <v>1.0860180059098067E-3</v>
      </c>
      <c r="W63" s="34">
        <v>1.1245908711445072E-5</v>
      </c>
      <c r="X63" s="35">
        <v>24.243143347437435</v>
      </c>
      <c r="Y63" s="36">
        <v>520574.26127200847</v>
      </c>
      <c r="Z63" s="37">
        <v>1.2110008036365582E-3</v>
      </c>
      <c r="AA63" s="38">
        <v>1.2228289443299944E-3</v>
      </c>
      <c r="AB63" s="38">
        <v>1.1828140693436254E-5</v>
      </c>
      <c r="AC63" s="39">
        <v>0.22629909072049204</v>
      </c>
      <c r="AD63" s="40">
        <v>4859.3319888445785</v>
      </c>
      <c r="AE63" s="37">
        <v>9.3530161964707219E-4</v>
      </c>
      <c r="AF63" s="38">
        <v>9.4575583921029604E-4</v>
      </c>
      <c r="AG63" s="38">
        <v>1.0454219563223849E-5</v>
      </c>
      <c r="AH63" s="39">
        <v>0.14652291579760909</v>
      </c>
      <c r="AI63" s="40">
        <v>3146.2940905649366</v>
      </c>
      <c r="AJ63" s="39">
        <v>24.615965353955534</v>
      </c>
      <c r="AK63" s="28">
        <v>528579.88735141803</v>
      </c>
      <c r="AL63" s="41">
        <f t="shared" si="0"/>
        <v>120.74198745378003</v>
      </c>
      <c r="AM63" s="28">
        <v>2187778</v>
      </c>
      <c r="AN63" s="42">
        <v>0.24160581528446581</v>
      </c>
      <c r="AP63" s="30"/>
      <c r="AR63" s="30"/>
    </row>
    <row r="64" spans="1:44" x14ac:dyDescent="0.2">
      <c r="A64" s="3" t="s">
        <v>273</v>
      </c>
      <c r="B64" s="3" t="s">
        <v>552</v>
      </c>
      <c r="C64" s="3" t="s">
        <v>1600</v>
      </c>
      <c r="D64" s="27"/>
      <c r="E64" s="3" t="s">
        <v>115</v>
      </c>
      <c r="F64" s="133" t="s">
        <v>1054</v>
      </c>
      <c r="G64" s="3" t="s">
        <v>879</v>
      </c>
      <c r="H64" s="29">
        <v>153.51</v>
      </c>
      <c r="I64" s="30">
        <v>393.512</v>
      </c>
      <c r="J64" s="30">
        <v>394.26299999999998</v>
      </c>
      <c r="K64" s="31">
        <v>1</v>
      </c>
      <c r="L64" s="31">
        <v>1</v>
      </c>
      <c r="M64" s="4">
        <v>0.66</v>
      </c>
      <c r="N64" s="4">
        <v>0.66</v>
      </c>
      <c r="O64" s="4">
        <v>0.34</v>
      </c>
      <c r="P64" s="4">
        <v>0.34</v>
      </c>
      <c r="Q64" s="32">
        <v>393.512</v>
      </c>
      <c r="R64" s="32">
        <v>394.26299999999998</v>
      </c>
      <c r="S64" s="32">
        <v>60408.027119999999</v>
      </c>
      <c r="T64" s="32">
        <v>60523.313129999995</v>
      </c>
      <c r="U64" s="33">
        <v>3.19451644331461E-3</v>
      </c>
      <c r="V64" s="34">
        <v>3.2125271374845209E-3</v>
      </c>
      <c r="W64" s="34">
        <v>1.8010694169910951E-5</v>
      </c>
      <c r="X64" s="35">
        <v>38.826194641224347</v>
      </c>
      <c r="Y64" s="36">
        <v>252922.90170819065</v>
      </c>
      <c r="Z64" s="37">
        <v>4.1677557200856851E-3</v>
      </c>
      <c r="AA64" s="38">
        <v>4.1883654554751614E-3</v>
      </c>
      <c r="AB64" s="38">
        <v>2.0609735389476302E-5</v>
      </c>
      <c r="AC64" s="39">
        <v>0.39431086419326999</v>
      </c>
      <c r="AD64" s="40">
        <v>2568.633080537229</v>
      </c>
      <c r="AE64" s="37">
        <v>2.1981174445139082E-3</v>
      </c>
      <c r="AF64" s="38">
        <v>2.2120720685382509E-3</v>
      </c>
      <c r="AG64" s="38">
        <v>1.3954624024342666E-5</v>
      </c>
      <c r="AH64" s="39">
        <v>0.19558343772488376</v>
      </c>
      <c r="AI64" s="40">
        <v>1274.0762017124864</v>
      </c>
      <c r="AJ64" s="39">
        <v>39.416088943142505</v>
      </c>
      <c r="AK64" s="28">
        <v>256765.61099044036</v>
      </c>
      <c r="AL64" s="41">
        <f t="shared" si="0"/>
        <v>58.662934564233446</v>
      </c>
      <c r="AM64" s="28">
        <v>1075482.5</v>
      </c>
      <c r="AN64" s="42">
        <v>0.23874457370569988</v>
      </c>
      <c r="AP64" s="30"/>
      <c r="AR64" s="30"/>
    </row>
    <row r="65" spans="1:44" x14ac:dyDescent="0.2">
      <c r="A65" s="3" t="s">
        <v>1116</v>
      </c>
      <c r="B65" s="3" t="s">
        <v>350</v>
      </c>
      <c r="C65" s="3" t="s">
        <v>1601</v>
      </c>
      <c r="D65" s="27"/>
      <c r="E65" s="3" t="s">
        <v>2068</v>
      </c>
      <c r="F65" s="133" t="s">
        <v>1059</v>
      </c>
      <c r="G65" s="3" t="s">
        <v>879</v>
      </c>
      <c r="H65" s="29">
        <v>127.08</v>
      </c>
      <c r="I65" s="30">
        <v>464.47800000000001</v>
      </c>
      <c r="J65" s="30">
        <v>465.08</v>
      </c>
      <c r="K65" s="31">
        <v>1</v>
      </c>
      <c r="L65" s="31">
        <v>1</v>
      </c>
      <c r="M65" s="4">
        <v>0</v>
      </c>
      <c r="N65" s="4">
        <v>0</v>
      </c>
      <c r="O65" s="4">
        <v>1</v>
      </c>
      <c r="P65" s="4">
        <v>1</v>
      </c>
      <c r="Q65" s="32">
        <v>464.47800000000001</v>
      </c>
      <c r="R65" s="32">
        <v>465.08</v>
      </c>
      <c r="S65" s="32">
        <v>59025.864240000003</v>
      </c>
      <c r="T65" s="32">
        <v>59102.366399999999</v>
      </c>
      <c r="U65" s="33">
        <v>3.1214244676616384E-3</v>
      </c>
      <c r="V65" s="34">
        <v>3.1371044665339087E-3</v>
      </c>
      <c r="W65" s="34">
        <v>1.5679998872270267E-5</v>
      </c>
      <c r="X65" s="35">
        <v>33.801844750992942</v>
      </c>
      <c r="Y65" s="36">
        <v>265988.7059410839</v>
      </c>
      <c r="Z65" s="37">
        <v>0</v>
      </c>
      <c r="AA65" s="38">
        <v>0</v>
      </c>
      <c r="AB65" s="38">
        <v>0</v>
      </c>
      <c r="AC65" s="39">
        <v>0</v>
      </c>
      <c r="AD65" s="40">
        <v>0</v>
      </c>
      <c r="AE65" s="37">
        <v>6.3171280203673658E-3</v>
      </c>
      <c r="AF65" s="38">
        <v>6.3533463454349222E-3</v>
      </c>
      <c r="AG65" s="38">
        <v>3.6218325067556394E-5</v>
      </c>
      <c r="AH65" s="39">
        <v>0.50762417625821288</v>
      </c>
      <c r="AI65" s="40">
        <v>3994.5245220193019</v>
      </c>
      <c r="AJ65" s="39">
        <v>34.309468927251153</v>
      </c>
      <c r="AK65" s="28">
        <v>269983.23046310322</v>
      </c>
      <c r="AL65" s="41">
        <f t="shared" si="0"/>
        <v>61.693417029706751</v>
      </c>
      <c r="AM65" s="28">
        <v>1141966.25</v>
      </c>
      <c r="AN65" s="42">
        <v>0.23641962313956583</v>
      </c>
      <c r="AP65" s="30"/>
      <c r="AR65" s="30"/>
    </row>
    <row r="66" spans="1:44" x14ac:dyDescent="0.2">
      <c r="A66" s="3" t="s">
        <v>1098</v>
      </c>
      <c r="B66" s="3" t="s">
        <v>332</v>
      </c>
      <c r="C66" s="3" t="s">
        <v>1602</v>
      </c>
      <c r="D66" s="27"/>
      <c r="E66" s="3" t="s">
        <v>642</v>
      </c>
      <c r="F66" s="133" t="s">
        <v>1051</v>
      </c>
      <c r="G66" s="3" t="s">
        <v>879</v>
      </c>
      <c r="H66" s="29">
        <v>62.08</v>
      </c>
      <c r="I66" s="30">
        <v>307.92700000000002</v>
      </c>
      <c r="J66" s="30">
        <v>308.72500000000002</v>
      </c>
      <c r="K66" s="31">
        <v>1</v>
      </c>
      <c r="L66" s="31">
        <v>1</v>
      </c>
      <c r="M66" s="4">
        <v>1</v>
      </c>
      <c r="N66" s="4">
        <v>1</v>
      </c>
      <c r="O66" s="4">
        <v>0</v>
      </c>
      <c r="P66" s="4">
        <v>0</v>
      </c>
      <c r="Q66" s="32">
        <v>307.92700000000002</v>
      </c>
      <c r="R66" s="32">
        <v>308.72500000000002</v>
      </c>
      <c r="S66" s="32">
        <v>19116.10816</v>
      </c>
      <c r="T66" s="32">
        <v>19165.648000000001</v>
      </c>
      <c r="U66" s="33">
        <v>1.0109040927291351E-3</v>
      </c>
      <c r="V66" s="34">
        <v>1.0172966601353661E-3</v>
      </c>
      <c r="W66" s="34">
        <v>6.3925674062309708E-6</v>
      </c>
      <c r="X66" s="35">
        <v>13.780649653477376</v>
      </c>
      <c r="Y66" s="36">
        <v>221982.11426348865</v>
      </c>
      <c r="Z66" s="37">
        <v>1.9983113154148444E-3</v>
      </c>
      <c r="AA66" s="38">
        <v>2.0095621726381649E-3</v>
      </c>
      <c r="AB66" s="38">
        <v>1.1250857223320514E-5</v>
      </c>
      <c r="AC66" s="39">
        <v>0.21525435192670536</v>
      </c>
      <c r="AD66" s="40">
        <v>3467.3703596440942</v>
      </c>
      <c r="AE66" s="37">
        <v>0</v>
      </c>
      <c r="AF66" s="38">
        <v>0</v>
      </c>
      <c r="AG66" s="38">
        <v>0</v>
      </c>
      <c r="AH66" s="39">
        <v>0</v>
      </c>
      <c r="AI66" s="40">
        <v>0</v>
      </c>
      <c r="AJ66" s="39">
        <v>13.99590400540408</v>
      </c>
      <c r="AK66" s="28">
        <v>225449.48462313274</v>
      </c>
      <c r="AL66" s="41">
        <f t="shared" si="0"/>
        <v>51.486528722865422</v>
      </c>
      <c r="AM66" s="28">
        <v>959270.3125</v>
      </c>
      <c r="AN66" s="42">
        <v>0.2350218511772538</v>
      </c>
      <c r="AP66" s="30"/>
      <c r="AR66" s="30"/>
    </row>
    <row r="67" spans="1:44" x14ac:dyDescent="0.2">
      <c r="A67" s="3" t="s">
        <v>1528</v>
      </c>
      <c r="B67" s="3" t="s">
        <v>1488</v>
      </c>
      <c r="C67" s="3" t="s">
        <v>1603</v>
      </c>
      <c r="D67" s="27"/>
      <c r="E67" s="3" t="s">
        <v>2069</v>
      </c>
      <c r="F67" s="133" t="s">
        <v>1067</v>
      </c>
      <c r="G67" s="3" t="s">
        <v>879</v>
      </c>
      <c r="H67" s="29">
        <v>83.1</v>
      </c>
      <c r="I67" s="30">
        <v>168.166</v>
      </c>
      <c r="J67" s="30">
        <v>168.97</v>
      </c>
      <c r="K67" s="31">
        <v>0.92</v>
      </c>
      <c r="L67" s="31">
        <v>0.92</v>
      </c>
      <c r="M67" s="4">
        <v>1</v>
      </c>
      <c r="N67" s="4">
        <v>1</v>
      </c>
      <c r="O67" s="4">
        <v>0</v>
      </c>
      <c r="P67" s="4">
        <v>0</v>
      </c>
      <c r="Q67" s="32">
        <v>154.71271999999999</v>
      </c>
      <c r="R67" s="32">
        <v>155.45240000000001</v>
      </c>
      <c r="S67" s="32">
        <v>12856.627031999999</v>
      </c>
      <c r="T67" s="32">
        <v>12918.094440000001</v>
      </c>
      <c r="U67" s="33">
        <v>6.7988822706791126E-4</v>
      </c>
      <c r="V67" s="34">
        <v>6.8568171183803648E-4</v>
      </c>
      <c r="W67" s="34">
        <v>5.7934847701252229E-6</v>
      </c>
      <c r="X67" s="35">
        <v>12.489189212464593</v>
      </c>
      <c r="Y67" s="36">
        <v>150291.08558922497</v>
      </c>
      <c r="Z67" s="37">
        <v>1.343973525420457E-3</v>
      </c>
      <c r="AA67" s="38">
        <v>1.3544918454722428E-3</v>
      </c>
      <c r="AB67" s="38">
        <v>1.0518320051785797E-5</v>
      </c>
      <c r="AC67" s="39">
        <v>0.20123925858838726</v>
      </c>
      <c r="AD67" s="40">
        <v>2421.651727898764</v>
      </c>
      <c r="AE67" s="37">
        <v>0</v>
      </c>
      <c r="AF67" s="38">
        <v>0</v>
      </c>
      <c r="AG67" s="38">
        <v>0</v>
      </c>
      <c r="AH67" s="39">
        <v>0</v>
      </c>
      <c r="AI67" s="40">
        <v>0</v>
      </c>
      <c r="AJ67" s="39">
        <v>12.69042847105298</v>
      </c>
      <c r="AK67" s="28">
        <v>152712.73731712374</v>
      </c>
      <c r="AL67" s="41">
        <f t="shared" si="0"/>
        <v>34.8585124556271</v>
      </c>
      <c r="AM67" s="28">
        <v>672468.75</v>
      </c>
      <c r="AN67" s="42">
        <v>0.22709268990882289</v>
      </c>
      <c r="AP67" s="30"/>
      <c r="AR67" s="30"/>
    </row>
    <row r="68" spans="1:44" x14ac:dyDescent="0.2">
      <c r="A68" s="3" t="s">
        <v>1414</v>
      </c>
      <c r="B68" s="3" t="s">
        <v>1396</v>
      </c>
      <c r="C68" s="3" t="s">
        <v>1604</v>
      </c>
      <c r="D68" s="27"/>
      <c r="E68" s="3" t="s">
        <v>2070</v>
      </c>
      <c r="F68" s="133" t="s">
        <v>1055</v>
      </c>
      <c r="G68" s="3" t="s">
        <v>879</v>
      </c>
      <c r="H68" s="29">
        <v>795.82</v>
      </c>
      <c r="I68" s="30">
        <v>293.67500000000001</v>
      </c>
      <c r="J68" s="30">
        <v>294.84399999999999</v>
      </c>
      <c r="K68" s="31">
        <v>1</v>
      </c>
      <c r="L68" s="31">
        <v>1</v>
      </c>
      <c r="M68" s="4">
        <v>1</v>
      </c>
      <c r="N68" s="4">
        <v>1</v>
      </c>
      <c r="O68" s="4">
        <v>0</v>
      </c>
      <c r="P68" s="4">
        <v>0</v>
      </c>
      <c r="Q68" s="32">
        <v>293.67500000000001</v>
      </c>
      <c r="R68" s="32">
        <v>294.84399999999999</v>
      </c>
      <c r="S68" s="32">
        <v>233712.43850000002</v>
      </c>
      <c r="T68" s="32">
        <v>234642.75208000001</v>
      </c>
      <c r="U68" s="33">
        <v>1.2359255274341173E-2</v>
      </c>
      <c r="V68" s="34">
        <v>1.2454642181467315E-2</v>
      </c>
      <c r="W68" s="34">
        <v>9.5386907126142687E-5</v>
      </c>
      <c r="X68" s="35">
        <v>205.62842205666726</v>
      </c>
      <c r="Y68" s="36">
        <v>258385.59229055219</v>
      </c>
      <c r="Z68" s="37">
        <v>2.4431239167447039E-2</v>
      </c>
      <c r="AA68" s="38">
        <v>2.4602830995522983E-2</v>
      </c>
      <c r="AB68" s="38">
        <v>1.7159182807594334E-4</v>
      </c>
      <c r="AC68" s="39">
        <v>3.2829398698479597</v>
      </c>
      <c r="AD68" s="40">
        <v>4125.2291596692212</v>
      </c>
      <c r="AE68" s="37">
        <v>0</v>
      </c>
      <c r="AF68" s="38">
        <v>0</v>
      </c>
      <c r="AG68" s="38">
        <v>0</v>
      </c>
      <c r="AH68" s="39">
        <v>0</v>
      </c>
      <c r="AI68" s="40">
        <v>0</v>
      </c>
      <c r="AJ68" s="39">
        <v>208.91136192651521</v>
      </c>
      <c r="AK68" s="28">
        <v>262510.82145022141</v>
      </c>
      <c r="AL68" s="41">
        <f t="shared" si="0"/>
        <v>59.929950947540071</v>
      </c>
      <c r="AM68" s="28">
        <v>1179429.25</v>
      </c>
      <c r="AN68" s="42">
        <v>0.22257445408465273</v>
      </c>
      <c r="AP68" s="30"/>
      <c r="AR68" s="30"/>
    </row>
    <row r="69" spans="1:44" x14ac:dyDescent="0.2">
      <c r="A69" s="3" t="s">
        <v>262</v>
      </c>
      <c r="B69" s="3" t="s">
        <v>541</v>
      </c>
      <c r="C69" s="3" t="s">
        <v>1605</v>
      </c>
      <c r="D69" s="27"/>
      <c r="E69" s="3" t="s">
        <v>105</v>
      </c>
      <c r="F69" s="133" t="s">
        <v>1057</v>
      </c>
      <c r="G69" s="3" t="s">
        <v>879</v>
      </c>
      <c r="H69" s="29">
        <v>166.8</v>
      </c>
      <c r="I69" s="30">
        <v>176.41</v>
      </c>
      <c r="J69" s="30">
        <v>177.154</v>
      </c>
      <c r="K69" s="31">
        <v>1</v>
      </c>
      <c r="L69" s="31">
        <v>1</v>
      </c>
      <c r="M69" s="4">
        <v>1</v>
      </c>
      <c r="N69" s="4">
        <v>1</v>
      </c>
      <c r="O69" s="4">
        <v>0</v>
      </c>
      <c r="P69" s="4">
        <v>0</v>
      </c>
      <c r="Q69" s="32">
        <v>176.41</v>
      </c>
      <c r="R69" s="32">
        <v>177.154</v>
      </c>
      <c r="S69" s="32">
        <v>29425.188000000002</v>
      </c>
      <c r="T69" s="32">
        <v>29549.287200000002</v>
      </c>
      <c r="U69" s="33">
        <v>1.5560721214565589E-3</v>
      </c>
      <c r="V69" s="34">
        <v>1.5684515951634257E-3</v>
      </c>
      <c r="W69" s="34">
        <v>1.2379473706866781E-5</v>
      </c>
      <c r="X69" s="35">
        <v>26.686803471556871</v>
      </c>
      <c r="Y69" s="36">
        <v>159992.82656808675</v>
      </c>
      <c r="Z69" s="37">
        <v>3.0759758025249162E-3</v>
      </c>
      <c r="AA69" s="38">
        <v>3.0983105703256742E-3</v>
      </c>
      <c r="AB69" s="38">
        <v>2.2334767800758024E-5</v>
      </c>
      <c r="AC69" s="39">
        <v>0.42731463682788701</v>
      </c>
      <c r="AD69" s="40">
        <v>2561.838350287092</v>
      </c>
      <c r="AE69" s="37">
        <v>0</v>
      </c>
      <c r="AF69" s="38">
        <v>0</v>
      </c>
      <c r="AG69" s="38">
        <v>0</v>
      </c>
      <c r="AH69" s="39">
        <v>0</v>
      </c>
      <c r="AI69" s="40">
        <v>0</v>
      </c>
      <c r="AJ69" s="39">
        <v>27.114118108384758</v>
      </c>
      <c r="AK69" s="28">
        <v>162554.66491837383</v>
      </c>
      <c r="AL69" s="41">
        <f t="shared" si="0"/>
        <v>37.108734133293702</v>
      </c>
      <c r="AM69" s="28">
        <v>735443.375</v>
      </c>
      <c r="AN69" s="42">
        <v>0.22102947751534757</v>
      </c>
      <c r="AP69" s="30"/>
      <c r="AR69" s="30"/>
    </row>
    <row r="70" spans="1:44" x14ac:dyDescent="0.2">
      <c r="A70" s="3" t="s">
        <v>1146</v>
      </c>
      <c r="B70" s="3" t="s">
        <v>382</v>
      </c>
      <c r="C70" s="3" t="s">
        <v>1606</v>
      </c>
      <c r="D70" s="27"/>
      <c r="E70" s="3" t="s">
        <v>679</v>
      </c>
      <c r="F70" s="133" t="s">
        <v>1053</v>
      </c>
      <c r="G70" s="3" t="s">
        <v>879</v>
      </c>
      <c r="H70" s="29">
        <v>81.84</v>
      </c>
      <c r="I70" s="30">
        <v>688.69500000000005</v>
      </c>
      <c r="J70" s="30">
        <v>690.53800000000001</v>
      </c>
      <c r="K70" s="31">
        <v>0.87</v>
      </c>
      <c r="L70" s="31">
        <v>0.87</v>
      </c>
      <c r="M70" s="4">
        <v>0.66</v>
      </c>
      <c r="N70" s="4">
        <v>0.66</v>
      </c>
      <c r="O70" s="4">
        <v>0.34</v>
      </c>
      <c r="P70" s="4">
        <v>0.34</v>
      </c>
      <c r="Q70" s="32">
        <v>599.16465000000005</v>
      </c>
      <c r="R70" s="32">
        <v>600.76805999999999</v>
      </c>
      <c r="S70" s="32">
        <v>49035.634956000009</v>
      </c>
      <c r="T70" s="32">
        <v>49166.858030399999</v>
      </c>
      <c r="U70" s="33">
        <v>2.5931179951323448E-3</v>
      </c>
      <c r="V70" s="34">
        <v>2.6097359433751269E-3</v>
      </c>
      <c r="W70" s="34">
        <v>1.6617948242782059E-5</v>
      </c>
      <c r="X70" s="35">
        <v>35.82381039426857</v>
      </c>
      <c r="Y70" s="36">
        <v>437729.84352723084</v>
      </c>
      <c r="Z70" s="37">
        <v>3.3831356165617914E-3</v>
      </c>
      <c r="AA70" s="38">
        <v>3.4024702065872992E-3</v>
      </c>
      <c r="AB70" s="38">
        <v>1.933459002550781E-5</v>
      </c>
      <c r="AC70" s="39">
        <v>0.36991444857042804</v>
      </c>
      <c r="AD70" s="40">
        <v>4519.9712679671075</v>
      </c>
      <c r="AE70" s="37">
        <v>1.7843006921163559E-3</v>
      </c>
      <c r="AF70" s="38">
        <v>1.7970039596679538E-3</v>
      </c>
      <c r="AG70" s="38">
        <v>1.2703267551597824E-5</v>
      </c>
      <c r="AH70" s="39">
        <v>0.17804483544281693</v>
      </c>
      <c r="AI70" s="40">
        <v>2175.5234047265017</v>
      </c>
      <c r="AJ70" s="39">
        <v>36.371769678281815</v>
      </c>
      <c r="AK70" s="28">
        <v>444425.3381999245</v>
      </c>
      <c r="AL70" s="41">
        <f t="shared" si="0"/>
        <v>101.52705426919634</v>
      </c>
      <c r="AM70" s="28">
        <v>2047473.875</v>
      </c>
      <c r="AN70" s="42">
        <v>0.21706032180748802</v>
      </c>
      <c r="AP70" s="30"/>
      <c r="AR70" s="30"/>
    </row>
    <row r="71" spans="1:44" x14ac:dyDescent="0.2">
      <c r="A71" s="3" t="s">
        <v>1174</v>
      </c>
      <c r="B71" s="3" t="s">
        <v>410</v>
      </c>
      <c r="C71" s="3" t="s">
        <v>1607</v>
      </c>
      <c r="D71" s="27"/>
      <c r="E71" s="3" t="s">
        <v>703</v>
      </c>
      <c r="F71" s="133" t="s">
        <v>1055</v>
      </c>
      <c r="G71" s="3" t="s">
        <v>879</v>
      </c>
      <c r="H71" s="29">
        <v>79.38</v>
      </c>
      <c r="I71" s="30">
        <v>326.45</v>
      </c>
      <c r="J71" s="30">
        <v>327.82600000000002</v>
      </c>
      <c r="K71" s="31">
        <v>0.85</v>
      </c>
      <c r="L71" s="31">
        <v>0.85</v>
      </c>
      <c r="M71" s="4">
        <v>0.56000000000000005</v>
      </c>
      <c r="N71" s="4">
        <v>0.56000000000000005</v>
      </c>
      <c r="O71" s="4">
        <v>0.44</v>
      </c>
      <c r="P71" s="4">
        <v>0.44</v>
      </c>
      <c r="Q71" s="32">
        <v>277.48249999999996</v>
      </c>
      <c r="R71" s="32">
        <v>278.65210000000002</v>
      </c>
      <c r="S71" s="32">
        <v>22026.560849999994</v>
      </c>
      <c r="T71" s="32">
        <v>22119.403698000002</v>
      </c>
      <c r="U71" s="33">
        <v>1.1648155746787914E-3</v>
      </c>
      <c r="V71" s="34">
        <v>1.1740795566192838E-3</v>
      </c>
      <c r="W71" s="34">
        <v>9.2639819404924818E-6</v>
      </c>
      <c r="X71" s="35">
        <v>19.970644250638934</v>
      </c>
      <c r="Y71" s="36">
        <v>251582.81998789284</v>
      </c>
      <c r="Z71" s="37">
        <v>1.2894318359144511E-3</v>
      </c>
      <c r="AA71" s="38">
        <v>1.2987913319484727E-3</v>
      </c>
      <c r="AB71" s="38">
        <v>9.3594960340215999E-6</v>
      </c>
      <c r="AC71" s="39">
        <v>0.1790683334766637</v>
      </c>
      <c r="AD71" s="40">
        <v>2255.8369044679225</v>
      </c>
      <c r="AE71" s="37">
        <v>1.0372338782829685E-3</v>
      </c>
      <c r="AF71" s="38">
        <v>1.0462217696425556E-3</v>
      </c>
      <c r="AG71" s="38">
        <v>8.9878913595870663E-6</v>
      </c>
      <c r="AH71" s="39">
        <v>0.12597134017651351</v>
      </c>
      <c r="AI71" s="40">
        <v>1586.9405414022867</v>
      </c>
      <c r="AJ71" s="39">
        <v>20.27568392429211</v>
      </c>
      <c r="AK71" s="28">
        <v>255425.59743376306</v>
      </c>
      <c r="AL71" s="41">
        <f t="shared" si="0"/>
        <v>58.352116027289505</v>
      </c>
      <c r="AM71" s="28">
        <v>1215665.75</v>
      </c>
      <c r="AN71" s="42">
        <v>0.21011170005716051</v>
      </c>
      <c r="AP71" s="30"/>
      <c r="AR71" s="30"/>
    </row>
    <row r="72" spans="1:44" x14ac:dyDescent="0.2">
      <c r="A72" s="3" t="s">
        <v>913</v>
      </c>
      <c r="B72" s="3" t="s">
        <v>995</v>
      </c>
      <c r="C72" s="3" t="s">
        <v>1608</v>
      </c>
      <c r="D72" s="27"/>
      <c r="E72" s="3" t="s">
        <v>799</v>
      </c>
      <c r="F72" s="133" t="s">
        <v>1052</v>
      </c>
      <c r="G72" s="3" t="s">
        <v>879</v>
      </c>
      <c r="H72" s="29">
        <v>54.13</v>
      </c>
      <c r="I72" s="30">
        <v>1122.828</v>
      </c>
      <c r="J72" s="30">
        <v>1126.83</v>
      </c>
      <c r="K72" s="31">
        <v>1</v>
      </c>
      <c r="L72" s="31">
        <v>1</v>
      </c>
      <c r="M72" s="4">
        <v>0</v>
      </c>
      <c r="N72" s="4">
        <v>0</v>
      </c>
      <c r="O72" s="4">
        <v>1</v>
      </c>
      <c r="P72" s="4">
        <v>1</v>
      </c>
      <c r="Q72" s="32">
        <v>1122.828</v>
      </c>
      <c r="R72" s="32">
        <v>1126.83</v>
      </c>
      <c r="S72" s="32">
        <v>60778.679640000002</v>
      </c>
      <c r="T72" s="32">
        <v>60995.3079</v>
      </c>
      <c r="U72" s="33">
        <v>3.2141174073974771E-3</v>
      </c>
      <c r="V72" s="34">
        <v>3.2375802274255635E-3</v>
      </c>
      <c r="W72" s="34">
        <v>2.3462820028086369E-5</v>
      </c>
      <c r="X72" s="35">
        <v>50.579506189405372</v>
      </c>
      <c r="Y72" s="36">
        <v>934408.0212341653</v>
      </c>
      <c r="Z72" s="37">
        <v>0</v>
      </c>
      <c r="AA72" s="38">
        <v>0</v>
      </c>
      <c r="AB72" s="38">
        <v>0</v>
      </c>
      <c r="AC72" s="39">
        <v>0</v>
      </c>
      <c r="AD72" s="40">
        <v>0</v>
      </c>
      <c r="AE72" s="37">
        <v>6.5047196705776775E-3</v>
      </c>
      <c r="AF72" s="38">
        <v>6.5568324948684763E-3</v>
      </c>
      <c r="AG72" s="38">
        <v>5.2112824290798804E-5</v>
      </c>
      <c r="AH72" s="39">
        <v>0.73039626911964561</v>
      </c>
      <c r="AI72" s="40">
        <v>13493.372789943573</v>
      </c>
      <c r="AJ72" s="39">
        <v>51.309902458525016</v>
      </c>
      <c r="AK72" s="28">
        <v>947901.39402410889</v>
      </c>
      <c r="AL72" s="41">
        <f t="shared" si="0"/>
        <v>216.7265844087047</v>
      </c>
      <c r="AM72" s="28">
        <v>4553619.5</v>
      </c>
      <c r="AN72" s="42">
        <v>0.20816438308561111</v>
      </c>
      <c r="AP72" s="30"/>
      <c r="AR72" s="30"/>
    </row>
    <row r="73" spans="1:44" x14ac:dyDescent="0.2">
      <c r="A73" s="3" t="s">
        <v>227</v>
      </c>
      <c r="B73" s="3" t="s">
        <v>507</v>
      </c>
      <c r="C73" s="3" t="s">
        <v>1609</v>
      </c>
      <c r="D73" s="27"/>
      <c r="E73" s="3" t="s">
        <v>76</v>
      </c>
      <c r="F73" s="133" t="s">
        <v>1054</v>
      </c>
      <c r="G73" s="3" t="s">
        <v>879</v>
      </c>
      <c r="H73" s="29">
        <v>54.41</v>
      </c>
      <c r="I73" s="30">
        <v>109.03</v>
      </c>
      <c r="J73" s="30">
        <v>109.402</v>
      </c>
      <c r="K73" s="31">
        <v>1</v>
      </c>
      <c r="L73" s="31">
        <v>1</v>
      </c>
      <c r="M73" s="4">
        <v>1</v>
      </c>
      <c r="N73" s="4">
        <v>1</v>
      </c>
      <c r="O73" s="4">
        <v>0</v>
      </c>
      <c r="P73" s="4">
        <v>0</v>
      </c>
      <c r="Q73" s="32">
        <v>109.03</v>
      </c>
      <c r="R73" s="32">
        <v>109.402</v>
      </c>
      <c r="S73" s="32">
        <v>5932.3222999999998</v>
      </c>
      <c r="T73" s="32">
        <v>5952.5628200000001</v>
      </c>
      <c r="U73" s="33">
        <v>3.137149487889441E-4</v>
      </c>
      <c r="V73" s="34">
        <v>3.1595708509474636E-4</v>
      </c>
      <c r="W73" s="34">
        <v>2.2421363058022672E-6</v>
      </c>
      <c r="X73" s="35">
        <v>4.8334406103385046</v>
      </c>
      <c r="Y73" s="36">
        <v>88833.681498594087</v>
      </c>
      <c r="Z73" s="37">
        <v>6.2013808875508131E-4</v>
      </c>
      <c r="AA73" s="38">
        <v>6.2413987115511886E-4</v>
      </c>
      <c r="AB73" s="38">
        <v>4.0017824000375575E-6</v>
      </c>
      <c r="AC73" s="39">
        <v>7.6563150698089735E-2</v>
      </c>
      <c r="AD73" s="40">
        <v>1407.1521907386464</v>
      </c>
      <c r="AE73" s="37">
        <v>0</v>
      </c>
      <c r="AF73" s="38">
        <v>0</v>
      </c>
      <c r="AG73" s="38">
        <v>0</v>
      </c>
      <c r="AH73" s="39">
        <v>0</v>
      </c>
      <c r="AI73" s="40">
        <v>0</v>
      </c>
      <c r="AJ73" s="39">
        <v>4.9100037610365943</v>
      </c>
      <c r="AK73" s="28">
        <v>90240.833689332736</v>
      </c>
      <c r="AL73" s="41">
        <f t="shared" si="0"/>
        <v>20.604082942494646</v>
      </c>
      <c r="AM73" s="28">
        <v>437110.90625</v>
      </c>
      <c r="AN73" s="42">
        <v>0.20644836905012076</v>
      </c>
      <c r="AP73" s="30"/>
      <c r="AR73" s="30"/>
    </row>
    <row r="74" spans="1:44" x14ac:dyDescent="0.2">
      <c r="A74" s="3" t="s">
        <v>911</v>
      </c>
      <c r="B74" s="3" t="s">
        <v>993</v>
      </c>
      <c r="C74" s="3" t="s">
        <v>1610</v>
      </c>
      <c r="D74" s="27"/>
      <c r="E74" s="3" t="s">
        <v>1345</v>
      </c>
      <c r="F74" s="133" t="s">
        <v>1052</v>
      </c>
      <c r="G74" s="3" t="s">
        <v>879</v>
      </c>
      <c r="H74" s="29">
        <v>70.45</v>
      </c>
      <c r="I74" s="30">
        <v>873.51199999999994</v>
      </c>
      <c r="J74" s="30">
        <v>874.32500000000005</v>
      </c>
      <c r="K74" s="31">
        <v>1</v>
      </c>
      <c r="L74" s="31">
        <v>1</v>
      </c>
      <c r="M74" s="4">
        <v>0.45</v>
      </c>
      <c r="N74" s="4">
        <v>0.45</v>
      </c>
      <c r="O74" s="4">
        <v>0.55000000000000004</v>
      </c>
      <c r="P74" s="4">
        <v>0.55000000000000004</v>
      </c>
      <c r="Q74" s="32">
        <v>873.51199999999994</v>
      </c>
      <c r="R74" s="32">
        <v>874.32500000000005</v>
      </c>
      <c r="S74" s="32">
        <v>61538.920399999995</v>
      </c>
      <c r="T74" s="32">
        <v>61596.196250000008</v>
      </c>
      <c r="U74" s="33">
        <v>3.2543207003120694E-3</v>
      </c>
      <c r="V74" s="34">
        <v>3.2694748814215704E-3</v>
      </c>
      <c r="W74" s="34">
        <v>1.5154181109500956E-5</v>
      </c>
      <c r="X74" s="35">
        <v>32.668323599031957</v>
      </c>
      <c r="Y74" s="36">
        <v>463709.3484603542</v>
      </c>
      <c r="Z74" s="37">
        <v>2.8948499336268678E-3</v>
      </c>
      <c r="AA74" s="38">
        <v>2.9063261353374828E-3</v>
      </c>
      <c r="AB74" s="38">
        <v>1.1476201710615072E-5</v>
      </c>
      <c r="AC74" s="39">
        <v>0.21956570177410212</v>
      </c>
      <c r="AD74" s="40">
        <v>3116.6174843733443</v>
      </c>
      <c r="AE74" s="37">
        <v>3.6223456254996169E-3</v>
      </c>
      <c r="AF74" s="38">
        <v>3.6417845121290509E-3</v>
      </c>
      <c r="AG74" s="38">
        <v>1.9438886629434028E-5</v>
      </c>
      <c r="AH74" s="39">
        <v>0.27244906533467683</v>
      </c>
      <c r="AI74" s="40">
        <v>3867.2684930401251</v>
      </c>
      <c r="AJ74" s="39">
        <v>33.160338366140735</v>
      </c>
      <c r="AK74" s="28">
        <v>470693.23443776765</v>
      </c>
      <c r="AL74" s="41">
        <f t="shared" si="0"/>
        <v>107.55274030873638</v>
      </c>
      <c r="AM74" s="28">
        <v>2306571.75</v>
      </c>
      <c r="AN74" s="42">
        <v>0.20406615768088188</v>
      </c>
      <c r="AP74" s="30"/>
      <c r="AR74" s="30"/>
    </row>
    <row r="75" spans="1:44" x14ac:dyDescent="0.2">
      <c r="A75" s="3" t="s">
        <v>1106</v>
      </c>
      <c r="B75" s="3" t="s">
        <v>340</v>
      </c>
      <c r="C75" s="3" t="s">
        <v>1611</v>
      </c>
      <c r="D75" s="27"/>
      <c r="E75" s="3" t="s">
        <v>1352</v>
      </c>
      <c r="F75" s="133" t="s">
        <v>1053</v>
      </c>
      <c r="G75" s="3" t="s">
        <v>879</v>
      </c>
      <c r="H75" s="29">
        <v>177.25</v>
      </c>
      <c r="I75" s="30">
        <v>212.202</v>
      </c>
      <c r="J75" s="30">
        <v>212.92599999999999</v>
      </c>
      <c r="K75" s="31">
        <v>1</v>
      </c>
      <c r="L75" s="31">
        <v>1</v>
      </c>
      <c r="M75" s="4">
        <v>1</v>
      </c>
      <c r="N75" s="4">
        <v>1</v>
      </c>
      <c r="O75" s="4">
        <v>0</v>
      </c>
      <c r="P75" s="4">
        <v>0</v>
      </c>
      <c r="Q75" s="32">
        <v>212.202</v>
      </c>
      <c r="R75" s="32">
        <v>212.92599999999999</v>
      </c>
      <c r="S75" s="32">
        <v>37612.804499999998</v>
      </c>
      <c r="T75" s="32">
        <v>37741.133499999996</v>
      </c>
      <c r="U75" s="33">
        <v>1.9890522532004145E-3</v>
      </c>
      <c r="V75" s="34">
        <v>2.0032679854744785E-3</v>
      </c>
      <c r="W75" s="34">
        <v>1.4215732274064016E-5</v>
      </c>
      <c r="X75" s="35">
        <v>30.645281244208324</v>
      </c>
      <c r="Y75" s="36">
        <v>172892.98304207798</v>
      </c>
      <c r="Z75" s="37">
        <v>3.9318721262579619E-3</v>
      </c>
      <c r="AA75" s="38">
        <v>3.9572444528923317E-3</v>
      </c>
      <c r="AB75" s="38">
        <v>2.5372326634369793E-5</v>
      </c>
      <c r="AC75" s="39">
        <v>0.48543000930040048</v>
      </c>
      <c r="AD75" s="40">
        <v>2738.6742414691143</v>
      </c>
      <c r="AE75" s="37">
        <v>0</v>
      </c>
      <c r="AF75" s="38">
        <v>0</v>
      </c>
      <c r="AG75" s="38">
        <v>0</v>
      </c>
      <c r="AH75" s="39">
        <v>0</v>
      </c>
      <c r="AI75" s="40">
        <v>0</v>
      </c>
      <c r="AJ75" s="39">
        <v>31.130711253508725</v>
      </c>
      <c r="AK75" s="28">
        <v>175631.6572835471</v>
      </c>
      <c r="AL75" s="41">
        <f t="shared" si="0"/>
        <v>40.100796259701035</v>
      </c>
      <c r="AM75" s="28">
        <v>885631.875</v>
      </c>
      <c r="AN75" s="42">
        <v>0.19831225844660016</v>
      </c>
      <c r="AP75" s="30"/>
      <c r="AR75" s="30"/>
    </row>
    <row r="76" spans="1:44" x14ac:dyDescent="0.2">
      <c r="A76" s="3" t="s">
        <v>755</v>
      </c>
      <c r="B76" s="3" t="s">
        <v>1031</v>
      </c>
      <c r="C76" s="3" t="s">
        <v>1612</v>
      </c>
      <c r="D76" s="27"/>
      <c r="E76" s="3" t="s">
        <v>954</v>
      </c>
      <c r="F76" s="133" t="s">
        <v>1057</v>
      </c>
      <c r="G76" s="3" t="s">
        <v>879</v>
      </c>
      <c r="H76" s="29">
        <v>100.26</v>
      </c>
      <c r="I76" s="30">
        <v>1551.2639999999999</v>
      </c>
      <c r="J76" s="30">
        <v>1551.327</v>
      </c>
      <c r="K76" s="31">
        <v>1</v>
      </c>
      <c r="L76" s="31">
        <v>1</v>
      </c>
      <c r="M76" s="4">
        <v>0.55000000000000004</v>
      </c>
      <c r="N76" s="4">
        <v>0.55000000000000004</v>
      </c>
      <c r="O76" s="4">
        <v>0.45</v>
      </c>
      <c r="P76" s="4">
        <v>0.45</v>
      </c>
      <c r="Q76" s="32">
        <v>1551.2639999999999</v>
      </c>
      <c r="R76" s="32">
        <v>1551.327</v>
      </c>
      <c r="S76" s="32">
        <v>155529.72863999999</v>
      </c>
      <c r="T76" s="32">
        <v>155536.04502000002</v>
      </c>
      <c r="U76" s="33">
        <v>8.224772422674333E-3</v>
      </c>
      <c r="V76" s="34">
        <v>8.2557239457549218E-3</v>
      </c>
      <c r="W76" s="34">
        <v>3.0951523080588808E-5</v>
      </c>
      <c r="X76" s="35">
        <v>66.723128394291678</v>
      </c>
      <c r="Y76" s="36">
        <v>665500.98139129928</v>
      </c>
      <c r="Z76" s="37">
        <v>8.942105145715586E-3</v>
      </c>
      <c r="AA76" s="38">
        <v>8.9695711778003152E-3</v>
      </c>
      <c r="AB76" s="38">
        <v>2.7466032084729267E-5</v>
      </c>
      <c r="AC76" s="39">
        <v>0.52548733123569102</v>
      </c>
      <c r="AD76" s="40">
        <v>5241.2460725682322</v>
      </c>
      <c r="AE76" s="37">
        <v>7.4903696667389039E-3</v>
      </c>
      <c r="AF76" s="38">
        <v>7.5238690179594636E-3</v>
      </c>
      <c r="AG76" s="38">
        <v>3.3499351220559782E-5</v>
      </c>
      <c r="AH76" s="39">
        <v>0.46951592976214152</v>
      </c>
      <c r="AI76" s="40">
        <v>4682.9835404163323</v>
      </c>
      <c r="AJ76" s="39">
        <v>67.718131655289511</v>
      </c>
      <c r="AK76" s="28">
        <v>675425.21100428386</v>
      </c>
      <c r="AL76" s="41">
        <f t="shared" si="0"/>
        <v>154.35628905141036</v>
      </c>
      <c r="AM76" s="28">
        <v>3412488.25</v>
      </c>
      <c r="AN76" s="42">
        <v>0.19792748326804754</v>
      </c>
      <c r="AP76" s="30"/>
      <c r="AR76" s="30"/>
    </row>
    <row r="77" spans="1:44" x14ac:dyDescent="0.2">
      <c r="A77" s="3" t="s">
        <v>765</v>
      </c>
      <c r="B77" s="3" t="s">
        <v>1039</v>
      </c>
      <c r="C77" s="3" t="s">
        <v>1613</v>
      </c>
      <c r="D77" s="27"/>
      <c r="E77" s="3" t="s">
        <v>964</v>
      </c>
      <c r="F77" s="133" t="s">
        <v>1071</v>
      </c>
      <c r="G77" s="3" t="s">
        <v>879</v>
      </c>
      <c r="H77" s="29">
        <v>109.12</v>
      </c>
      <c r="I77" s="30">
        <v>690.45100000000002</v>
      </c>
      <c r="J77" s="30">
        <v>691.27200000000005</v>
      </c>
      <c r="K77" s="31">
        <v>1</v>
      </c>
      <c r="L77" s="31">
        <v>1</v>
      </c>
      <c r="M77" s="4">
        <v>0.54</v>
      </c>
      <c r="N77" s="4">
        <v>0.54</v>
      </c>
      <c r="O77" s="4">
        <v>0.46</v>
      </c>
      <c r="P77" s="4">
        <v>0.46</v>
      </c>
      <c r="Q77" s="32">
        <v>690.45100000000002</v>
      </c>
      <c r="R77" s="32">
        <v>691.27200000000005</v>
      </c>
      <c r="S77" s="32">
        <v>75342.013120000003</v>
      </c>
      <c r="T77" s="32">
        <v>75431.600640000004</v>
      </c>
      <c r="U77" s="33">
        <v>3.9842602259821175E-3</v>
      </c>
      <c r="V77" s="34">
        <v>4.003846642687831E-3</v>
      </c>
      <c r="W77" s="34">
        <v>1.9586416705713594E-5</v>
      </c>
      <c r="X77" s="35">
        <v>42.223027061922735</v>
      </c>
      <c r="Y77" s="36">
        <v>386941.2304061834</v>
      </c>
      <c r="Z77" s="37">
        <v>4.2529928103141696E-3</v>
      </c>
      <c r="AA77" s="38">
        <v>4.2709552677036595E-3</v>
      </c>
      <c r="AB77" s="38">
        <v>1.7962457389489837E-5</v>
      </c>
      <c r="AC77" s="39">
        <v>0.34366244701526472</v>
      </c>
      <c r="AD77" s="40">
        <v>3149.3992578378366</v>
      </c>
      <c r="AE77" s="37">
        <v>3.7091327374348553E-3</v>
      </c>
      <c r="AF77" s="38">
        <v>3.7299998660961782E-3</v>
      </c>
      <c r="AG77" s="38">
        <v>2.0867128661322849E-5</v>
      </c>
      <c r="AH77" s="39">
        <v>0.29246683765249082</v>
      </c>
      <c r="AI77" s="40">
        <v>2680.2312834722402</v>
      </c>
      <c r="AJ77" s="39">
        <v>42.859156346590488</v>
      </c>
      <c r="AK77" s="28">
        <v>392770.86094749352</v>
      </c>
      <c r="AL77" s="41">
        <f t="shared" si="0"/>
        <v>89.747143996121679</v>
      </c>
      <c r="AM77" s="28">
        <v>1985124.5</v>
      </c>
      <c r="AN77" s="42">
        <v>0.19785704168554341</v>
      </c>
      <c r="AP77" s="30"/>
      <c r="AR77" s="30"/>
    </row>
    <row r="78" spans="1:44" x14ac:dyDescent="0.2">
      <c r="A78" s="3" t="s">
        <v>1125</v>
      </c>
      <c r="B78" s="3" t="s">
        <v>359</v>
      </c>
      <c r="C78" s="3" t="s">
        <v>1614</v>
      </c>
      <c r="D78" s="27"/>
      <c r="E78" s="3" t="s">
        <v>663</v>
      </c>
      <c r="F78" s="133" t="s">
        <v>1059</v>
      </c>
      <c r="G78" s="3" t="s">
        <v>879</v>
      </c>
      <c r="H78" s="29">
        <v>77.36</v>
      </c>
      <c r="I78" s="30">
        <v>164.35400000000001</v>
      </c>
      <c r="J78" s="30">
        <v>164.57599999999999</v>
      </c>
      <c r="K78" s="31">
        <v>0.9</v>
      </c>
      <c r="L78" s="31">
        <v>0.9</v>
      </c>
      <c r="M78" s="4">
        <v>0.53</v>
      </c>
      <c r="N78" s="4">
        <v>0.53</v>
      </c>
      <c r="O78" s="4">
        <v>0.47</v>
      </c>
      <c r="P78" s="4">
        <v>0.47</v>
      </c>
      <c r="Q78" s="32">
        <v>147.91860000000003</v>
      </c>
      <c r="R78" s="32">
        <v>148.11840000000001</v>
      </c>
      <c r="S78" s="32">
        <v>11442.982896000001</v>
      </c>
      <c r="T78" s="32">
        <v>11458.439424</v>
      </c>
      <c r="U78" s="33">
        <v>6.0513144965360424E-4</v>
      </c>
      <c r="V78" s="34">
        <v>6.0820443725140977E-4</v>
      </c>
      <c r="W78" s="34">
        <v>3.0729875978055239E-6</v>
      </c>
      <c r="X78" s="35">
        <v>6.6245317074891856</v>
      </c>
      <c r="Y78" s="36">
        <v>85632.519486675097</v>
      </c>
      <c r="Z78" s="37">
        <v>6.3398471416071568E-4</v>
      </c>
      <c r="AA78" s="38">
        <v>6.3676514379718376E-4</v>
      </c>
      <c r="AB78" s="38">
        <v>2.7804296364680823E-6</v>
      </c>
      <c r="AC78" s="39">
        <v>5.3195909217938174E-2</v>
      </c>
      <c r="AD78" s="40">
        <v>687.64101884615013</v>
      </c>
      <c r="AE78" s="37">
        <v>5.7559157744211742E-4</v>
      </c>
      <c r="AF78" s="38">
        <v>5.7892325090156088E-4</v>
      </c>
      <c r="AG78" s="38">
        <v>3.3316734594434575E-6</v>
      </c>
      <c r="AH78" s="39">
        <v>4.6695643496952058E-2</v>
      </c>
      <c r="AI78" s="40">
        <v>603.61483320775676</v>
      </c>
      <c r="AJ78" s="39">
        <v>6.7244232602040759</v>
      </c>
      <c r="AK78" s="28">
        <v>86923.775338728999</v>
      </c>
      <c r="AL78" s="41">
        <f t="shared" si="0"/>
        <v>19.861605466685134</v>
      </c>
      <c r="AM78" s="28">
        <v>443608.84375</v>
      </c>
      <c r="AN78" s="42">
        <v>0.19594689457479736</v>
      </c>
      <c r="AP78" s="30"/>
      <c r="AR78" s="30"/>
    </row>
    <row r="79" spans="1:44" x14ac:dyDescent="0.2">
      <c r="A79" s="3" t="s">
        <v>1080</v>
      </c>
      <c r="B79" s="3" t="s">
        <v>312</v>
      </c>
      <c r="C79" s="3" t="s">
        <v>1615</v>
      </c>
      <c r="D79" s="27"/>
      <c r="E79" s="3" t="s">
        <v>625</v>
      </c>
      <c r="F79" s="133" t="s">
        <v>1055</v>
      </c>
      <c r="G79" s="3" t="s">
        <v>879</v>
      </c>
      <c r="H79" s="29">
        <v>89.59</v>
      </c>
      <c r="I79" s="30">
        <v>455.53500000000003</v>
      </c>
      <c r="J79" s="30">
        <v>456.17700000000002</v>
      </c>
      <c r="K79" s="31">
        <v>1</v>
      </c>
      <c r="L79" s="31">
        <v>1</v>
      </c>
      <c r="M79" s="4">
        <v>0.59</v>
      </c>
      <c r="N79" s="4">
        <v>0.59</v>
      </c>
      <c r="O79" s="4">
        <v>0.41</v>
      </c>
      <c r="P79" s="4">
        <v>0.41</v>
      </c>
      <c r="Q79" s="32">
        <v>455.53500000000003</v>
      </c>
      <c r="R79" s="32">
        <v>456.17700000000002</v>
      </c>
      <c r="S79" s="32">
        <v>40811.380650000006</v>
      </c>
      <c r="T79" s="32">
        <v>40868.897430000005</v>
      </c>
      <c r="U79" s="33">
        <v>2.1582003713151014E-3</v>
      </c>
      <c r="V79" s="34">
        <v>2.1692870942299392E-3</v>
      </c>
      <c r="W79" s="34">
        <v>1.1086722914837796E-5</v>
      </c>
      <c r="X79" s="35">
        <v>23.899981742177495</v>
      </c>
      <c r="Y79" s="36">
        <v>266770.64116728981</v>
      </c>
      <c r="Z79" s="37">
        <v>2.5170797010625663E-3</v>
      </c>
      <c r="AA79" s="38">
        <v>2.5282666301982954E-3</v>
      </c>
      <c r="AB79" s="38">
        <v>1.1186929135729128E-5</v>
      </c>
      <c r="AC79" s="39">
        <v>0.21403126298412464</v>
      </c>
      <c r="AD79" s="40">
        <v>2389.00840477871</v>
      </c>
      <c r="AE79" s="37">
        <v>1.7907809572147884E-3</v>
      </c>
      <c r="AF79" s="38">
        <v>1.8012518472158255E-3</v>
      </c>
      <c r="AG79" s="38">
        <v>1.0470890001037115E-5</v>
      </c>
      <c r="AH79" s="39">
        <v>0.14675656319149158</v>
      </c>
      <c r="AI79" s="40">
        <v>1638.0908939780286</v>
      </c>
      <c r="AJ79" s="39">
        <v>24.260769568353112</v>
      </c>
      <c r="AK79" s="28">
        <v>270797.74046604655</v>
      </c>
      <c r="AL79" s="41">
        <f t="shared" si="0"/>
        <v>61.87477907600065</v>
      </c>
      <c r="AM79" s="28">
        <v>1384045.25</v>
      </c>
      <c r="AN79" s="42">
        <v>0.19565671026004861</v>
      </c>
      <c r="AP79" s="30"/>
      <c r="AR79" s="30"/>
    </row>
    <row r="80" spans="1:44" x14ac:dyDescent="0.2">
      <c r="A80" s="3" t="s">
        <v>279</v>
      </c>
      <c r="B80" s="3" t="s">
        <v>558</v>
      </c>
      <c r="C80" s="3" t="s">
        <v>1616</v>
      </c>
      <c r="D80" s="27"/>
      <c r="E80" s="3" t="s">
        <v>121</v>
      </c>
      <c r="F80" s="133" t="s">
        <v>1068</v>
      </c>
      <c r="G80" s="3" t="s">
        <v>879</v>
      </c>
      <c r="H80" s="29">
        <v>41.21</v>
      </c>
      <c r="I80" s="30">
        <v>268.83199999999999</v>
      </c>
      <c r="J80" s="30">
        <v>269.464</v>
      </c>
      <c r="K80" s="31">
        <v>1</v>
      </c>
      <c r="L80" s="31">
        <v>1</v>
      </c>
      <c r="M80" s="4">
        <v>0</v>
      </c>
      <c r="N80" s="4">
        <v>0</v>
      </c>
      <c r="O80" s="4">
        <v>1</v>
      </c>
      <c r="P80" s="4">
        <v>1</v>
      </c>
      <c r="Q80" s="32">
        <v>268.83199999999999</v>
      </c>
      <c r="R80" s="32">
        <v>269.464</v>
      </c>
      <c r="S80" s="32">
        <v>11078.566720000001</v>
      </c>
      <c r="T80" s="32">
        <v>11104.611440000001</v>
      </c>
      <c r="U80" s="33">
        <v>5.858602778914592E-4</v>
      </c>
      <c r="V80" s="34">
        <v>5.8942354205884285E-4</v>
      </c>
      <c r="W80" s="34">
        <v>3.563264167383653E-6</v>
      </c>
      <c r="X80" s="35">
        <v>7.6814356412794469</v>
      </c>
      <c r="Y80" s="36">
        <v>186397.37057217778</v>
      </c>
      <c r="Z80" s="37">
        <v>0</v>
      </c>
      <c r="AA80" s="38">
        <v>0</v>
      </c>
      <c r="AB80" s="38">
        <v>0</v>
      </c>
      <c r="AC80" s="39">
        <v>0</v>
      </c>
      <c r="AD80" s="40">
        <v>0</v>
      </c>
      <c r="AE80" s="37">
        <v>1.1856620000998631E-3</v>
      </c>
      <c r="AF80" s="38">
        <v>1.1937160355359111E-3</v>
      </c>
      <c r="AG80" s="38">
        <v>8.0540354360479367E-6</v>
      </c>
      <c r="AH80" s="39">
        <v>0.11288272155469201</v>
      </c>
      <c r="AI80" s="40">
        <v>2739.2070263210871</v>
      </c>
      <c r="AJ80" s="39">
        <v>7.7943183628341393</v>
      </c>
      <c r="AK80" s="28">
        <v>189136.57759849887</v>
      </c>
      <c r="AL80" s="41">
        <f t="shared" si="0"/>
        <v>43.233003729478924</v>
      </c>
      <c r="AM80" s="28">
        <v>974660.625</v>
      </c>
      <c r="AN80" s="42">
        <v>0.19405377907669027</v>
      </c>
      <c r="AP80" s="30"/>
      <c r="AR80" s="30"/>
    </row>
    <row r="81" spans="1:44" x14ac:dyDescent="0.2">
      <c r="A81" s="3" t="s">
        <v>722</v>
      </c>
      <c r="B81" s="3" t="s">
        <v>152</v>
      </c>
      <c r="C81" s="3" t="s">
        <v>1617</v>
      </c>
      <c r="D81" s="27"/>
      <c r="E81" s="3" t="s">
        <v>593</v>
      </c>
      <c r="F81" s="133" t="s">
        <v>1053</v>
      </c>
      <c r="G81" s="3" t="s">
        <v>879</v>
      </c>
      <c r="H81" s="29">
        <v>116.1</v>
      </c>
      <c r="I81" s="30">
        <v>211.76300000000001</v>
      </c>
      <c r="J81" s="30">
        <v>212.87899999999999</v>
      </c>
      <c r="K81" s="31">
        <v>1</v>
      </c>
      <c r="L81" s="31">
        <v>1</v>
      </c>
      <c r="M81" s="4">
        <v>1</v>
      </c>
      <c r="N81" s="4">
        <v>1</v>
      </c>
      <c r="O81" s="4">
        <v>0</v>
      </c>
      <c r="P81" s="4">
        <v>0</v>
      </c>
      <c r="Q81" s="32">
        <v>211.76300000000001</v>
      </c>
      <c r="R81" s="32">
        <v>212.87899999999999</v>
      </c>
      <c r="S81" s="32">
        <v>24585.684300000001</v>
      </c>
      <c r="T81" s="32">
        <v>24715.251899999999</v>
      </c>
      <c r="U81" s="33">
        <v>1.3001479523652394E-3</v>
      </c>
      <c r="V81" s="34">
        <v>1.3118650208056757E-3</v>
      </c>
      <c r="W81" s="34">
        <v>1.1717068440436325E-5</v>
      </c>
      <c r="X81" s="35">
        <v>25.258836533515854</v>
      </c>
      <c r="Y81" s="36">
        <v>217561.03818704438</v>
      </c>
      <c r="Z81" s="37">
        <v>2.5700760177068955E-3</v>
      </c>
      <c r="AA81" s="38">
        <v>2.5914508763524996E-3</v>
      </c>
      <c r="AB81" s="38">
        <v>2.1374858645604056E-5</v>
      </c>
      <c r="AC81" s="39">
        <v>0.40894940305059829</v>
      </c>
      <c r="AD81" s="40">
        <v>3522.3893458277203</v>
      </c>
      <c r="AE81" s="37">
        <v>0</v>
      </c>
      <c r="AF81" s="38">
        <v>0</v>
      </c>
      <c r="AG81" s="38">
        <v>0</v>
      </c>
      <c r="AH81" s="39">
        <v>0</v>
      </c>
      <c r="AI81" s="40">
        <v>0</v>
      </c>
      <c r="AJ81" s="39">
        <v>25.667785936566453</v>
      </c>
      <c r="AK81" s="28">
        <v>221083.4275328721</v>
      </c>
      <c r="AL81" s="41">
        <f t="shared" si="0"/>
        <v>50.461104394643954</v>
      </c>
      <c r="AM81" s="28">
        <v>1143394.625</v>
      </c>
      <c r="AN81" s="42">
        <v>0.19335706386836662</v>
      </c>
      <c r="AP81" s="30"/>
      <c r="AR81" s="30"/>
    </row>
    <row r="82" spans="1:44" x14ac:dyDescent="0.2">
      <c r="A82" s="3" t="s">
        <v>1336</v>
      </c>
      <c r="B82" s="3" t="s">
        <v>1341</v>
      </c>
      <c r="C82" s="3" t="s">
        <v>1618</v>
      </c>
      <c r="D82" s="27"/>
      <c r="E82" s="3" t="s">
        <v>1349</v>
      </c>
      <c r="F82" s="133" t="s">
        <v>1057</v>
      </c>
      <c r="G82" s="3" t="s">
        <v>879</v>
      </c>
      <c r="H82" s="29">
        <v>43.04</v>
      </c>
      <c r="I82" s="30">
        <v>1552.0609999999999</v>
      </c>
      <c r="J82" s="30">
        <v>1555.5350000000001</v>
      </c>
      <c r="K82" s="31">
        <v>1</v>
      </c>
      <c r="L82" s="31">
        <v>1</v>
      </c>
      <c r="M82" s="4">
        <v>1</v>
      </c>
      <c r="N82" s="4">
        <v>1</v>
      </c>
      <c r="O82" s="4">
        <v>0</v>
      </c>
      <c r="P82" s="4">
        <v>0</v>
      </c>
      <c r="Q82" s="32">
        <v>1552.0609999999999</v>
      </c>
      <c r="R82" s="32">
        <v>1555.5350000000001</v>
      </c>
      <c r="S82" s="32">
        <v>66800.705439999991</v>
      </c>
      <c r="T82" s="32">
        <v>66950.2264</v>
      </c>
      <c r="U82" s="33">
        <v>3.5325760851150881E-3</v>
      </c>
      <c r="V82" s="34">
        <v>3.5536623500560275E-3</v>
      </c>
      <c r="W82" s="34">
        <v>2.1086264940939434E-5</v>
      </c>
      <c r="X82" s="35">
        <v>45.456294972854302</v>
      </c>
      <c r="Y82" s="36">
        <v>1056140.6824547932</v>
      </c>
      <c r="Z82" s="37">
        <v>6.9830430148835236E-3</v>
      </c>
      <c r="AA82" s="38">
        <v>7.01988487021159E-3</v>
      </c>
      <c r="AB82" s="38">
        <v>3.6841855328066317E-5</v>
      </c>
      <c r="AC82" s="39">
        <v>0.70486804116422941</v>
      </c>
      <c r="AD82" s="40">
        <v>16377.0455660834</v>
      </c>
      <c r="AE82" s="37">
        <v>0</v>
      </c>
      <c r="AF82" s="38">
        <v>0</v>
      </c>
      <c r="AG82" s="38">
        <v>0</v>
      </c>
      <c r="AH82" s="39">
        <v>0</v>
      </c>
      <c r="AI82" s="40">
        <v>0</v>
      </c>
      <c r="AJ82" s="39">
        <v>46.161163014018534</v>
      </c>
      <c r="AK82" s="28">
        <v>1072517.7280208766</v>
      </c>
      <c r="AL82" s="41">
        <f t="shared" si="0"/>
        <v>244.96125628414768</v>
      </c>
      <c r="AM82" s="28">
        <v>5567027</v>
      </c>
      <c r="AN82" s="42">
        <v>0.1926553846462172</v>
      </c>
      <c r="AP82" s="30"/>
      <c r="AR82" s="30"/>
    </row>
    <row r="83" spans="1:44" x14ac:dyDescent="0.2">
      <c r="A83" s="3" t="s">
        <v>1093</v>
      </c>
      <c r="B83" s="3" t="s">
        <v>326</v>
      </c>
      <c r="C83" s="3" t="s">
        <v>1619</v>
      </c>
      <c r="D83" s="27"/>
      <c r="E83" s="3" t="s">
        <v>637</v>
      </c>
      <c r="F83" s="133" t="s">
        <v>1060</v>
      </c>
      <c r="G83" s="3" t="s">
        <v>879</v>
      </c>
      <c r="H83" s="29">
        <v>113.84</v>
      </c>
      <c r="I83" s="30">
        <v>424.56</v>
      </c>
      <c r="J83" s="30">
        <v>425.48899999999998</v>
      </c>
      <c r="K83" s="31">
        <v>1</v>
      </c>
      <c r="L83" s="31">
        <v>1</v>
      </c>
      <c r="M83" s="4">
        <v>1</v>
      </c>
      <c r="N83" s="4">
        <v>1</v>
      </c>
      <c r="O83" s="4">
        <v>0</v>
      </c>
      <c r="P83" s="4">
        <v>0</v>
      </c>
      <c r="Q83" s="32">
        <v>424.56</v>
      </c>
      <c r="R83" s="32">
        <v>425.48899999999998</v>
      </c>
      <c r="S83" s="32">
        <v>48331.910400000001</v>
      </c>
      <c r="T83" s="32">
        <v>48437.667759999997</v>
      </c>
      <c r="U83" s="33">
        <v>2.5559034100368812E-3</v>
      </c>
      <c r="V83" s="34">
        <v>2.571031130123776E-3</v>
      </c>
      <c r="W83" s="34">
        <v>1.5127720086894822E-5</v>
      </c>
      <c r="X83" s="35">
        <v>32.611280777449437</v>
      </c>
      <c r="Y83" s="36">
        <v>286465.92390591564</v>
      </c>
      <c r="Z83" s="37">
        <v>5.0523988794974675E-3</v>
      </c>
      <c r="AA83" s="38">
        <v>5.0788006156280855E-3</v>
      </c>
      <c r="AB83" s="38">
        <v>2.6401736130617949E-5</v>
      </c>
      <c r="AC83" s="39">
        <v>0.50512494183610068</v>
      </c>
      <c r="AD83" s="40">
        <v>4437.1481187289237</v>
      </c>
      <c r="AE83" s="37">
        <v>0</v>
      </c>
      <c r="AF83" s="38">
        <v>0</v>
      </c>
      <c r="AG83" s="38">
        <v>0</v>
      </c>
      <c r="AH83" s="39">
        <v>0</v>
      </c>
      <c r="AI83" s="40">
        <v>0</v>
      </c>
      <c r="AJ83" s="39">
        <v>33.116405719285538</v>
      </c>
      <c r="AK83" s="28">
        <v>290903.07202464459</v>
      </c>
      <c r="AL83" s="41">
        <f t="shared" si="0"/>
        <v>66.442902700697573</v>
      </c>
      <c r="AM83" s="28">
        <v>1553628.125</v>
      </c>
      <c r="AN83" s="42">
        <v>0.18724112118184305</v>
      </c>
      <c r="AP83" s="30"/>
      <c r="AR83" s="30"/>
    </row>
    <row r="84" spans="1:44" x14ac:dyDescent="0.2">
      <c r="A84" s="3" t="s">
        <v>1158</v>
      </c>
      <c r="B84" s="3" t="s">
        <v>394</v>
      </c>
      <c r="C84" s="3" t="s">
        <v>1620</v>
      </c>
      <c r="D84" s="27"/>
      <c r="E84" s="3" t="s">
        <v>690</v>
      </c>
      <c r="F84" s="133" t="s">
        <v>1067</v>
      </c>
      <c r="G84" s="3" t="s">
        <v>879</v>
      </c>
      <c r="H84" s="29">
        <v>131.88999999999999</v>
      </c>
      <c r="I84" s="30">
        <v>119.014</v>
      </c>
      <c r="J84" s="30">
        <v>119.33499999999999</v>
      </c>
      <c r="K84" s="31">
        <v>1</v>
      </c>
      <c r="L84" s="31">
        <v>1</v>
      </c>
      <c r="M84" s="4">
        <v>1</v>
      </c>
      <c r="N84" s="4">
        <v>1</v>
      </c>
      <c r="O84" s="4">
        <v>0</v>
      </c>
      <c r="P84" s="4">
        <v>0</v>
      </c>
      <c r="Q84" s="32">
        <v>119.014</v>
      </c>
      <c r="R84" s="32">
        <v>119.33499999999999</v>
      </c>
      <c r="S84" s="32">
        <v>15696.756459999999</v>
      </c>
      <c r="T84" s="32">
        <v>15739.093149999997</v>
      </c>
      <c r="U84" s="33">
        <v>8.3008085197957421E-4</v>
      </c>
      <c r="V84" s="34">
        <v>8.3541797778266687E-4</v>
      </c>
      <c r="W84" s="34">
        <v>5.3371258030926677E-6</v>
      </c>
      <c r="X84" s="35">
        <v>11.505402473701615</v>
      </c>
      <c r="Y84" s="36">
        <v>87234.83564865886</v>
      </c>
      <c r="Z84" s="37">
        <v>1.6408677847389336E-3</v>
      </c>
      <c r="AA84" s="38">
        <v>1.6502800336241411E-3</v>
      </c>
      <c r="AB84" s="38">
        <v>9.4122488852074575E-6</v>
      </c>
      <c r="AC84" s="39">
        <v>0.18007761486464194</v>
      </c>
      <c r="AD84" s="40">
        <v>1365.3621568325268</v>
      </c>
      <c r="AE84" s="37">
        <v>0</v>
      </c>
      <c r="AF84" s="38">
        <v>0</v>
      </c>
      <c r="AG84" s="38">
        <v>0</v>
      </c>
      <c r="AH84" s="39">
        <v>0</v>
      </c>
      <c r="AI84" s="40">
        <v>0</v>
      </c>
      <c r="AJ84" s="39">
        <v>11.685480088566257</v>
      </c>
      <c r="AK84" s="28">
        <v>88600.197805491393</v>
      </c>
      <c r="AL84" s="41">
        <f t="shared" ref="AL84:AL147" si="1">+$AL$6*W84/H84*10^6</f>
        <v>20.233246656655805</v>
      </c>
      <c r="AM84" s="28">
        <v>478348.9375</v>
      </c>
      <c r="AN84" s="42">
        <v>0.18522085210127887</v>
      </c>
      <c r="AP84" s="30"/>
      <c r="AR84" s="30"/>
    </row>
    <row r="85" spans="1:44" x14ac:dyDescent="0.2">
      <c r="A85" s="3" t="s">
        <v>773</v>
      </c>
      <c r="B85" s="3" t="s">
        <v>1047</v>
      </c>
      <c r="C85" s="3" t="s">
        <v>1621</v>
      </c>
      <c r="D85" s="27"/>
      <c r="E85" s="3" t="s">
        <v>971</v>
      </c>
      <c r="F85" s="133" t="s">
        <v>1064</v>
      </c>
      <c r="G85" s="3" t="s">
        <v>879</v>
      </c>
      <c r="H85" s="29">
        <v>87.84</v>
      </c>
      <c r="I85" s="30">
        <v>4146.6109999999999</v>
      </c>
      <c r="J85" s="30">
        <v>4146.6499999999996</v>
      </c>
      <c r="K85" s="31">
        <v>1</v>
      </c>
      <c r="L85" s="31">
        <v>1</v>
      </c>
      <c r="M85" s="4">
        <v>0</v>
      </c>
      <c r="N85" s="4">
        <v>0</v>
      </c>
      <c r="O85" s="4">
        <v>1</v>
      </c>
      <c r="P85" s="4">
        <v>1</v>
      </c>
      <c r="Q85" s="32">
        <v>4146.6109999999999</v>
      </c>
      <c r="R85" s="32">
        <v>4146.6499999999996</v>
      </c>
      <c r="S85" s="32">
        <v>364238.31024000002</v>
      </c>
      <c r="T85" s="32">
        <v>364241.73599999998</v>
      </c>
      <c r="U85" s="33">
        <v>1.9261765808629976E-2</v>
      </c>
      <c r="V85" s="34">
        <v>1.9333648489981016E-2</v>
      </c>
      <c r="W85" s="34">
        <v>7.1882681351040367E-5</v>
      </c>
      <c r="X85" s="35">
        <v>154.95965625418199</v>
      </c>
      <c r="Y85" s="36">
        <v>1764112.6622743851</v>
      </c>
      <c r="Z85" s="37">
        <v>0</v>
      </c>
      <c r="AA85" s="38">
        <v>0</v>
      </c>
      <c r="AB85" s="38">
        <v>0</v>
      </c>
      <c r="AC85" s="39">
        <v>0</v>
      </c>
      <c r="AD85" s="40">
        <v>0</v>
      </c>
      <c r="AE85" s="37">
        <v>3.898189489191909E-2</v>
      </c>
      <c r="AF85" s="38">
        <v>3.9155012620111798E-2</v>
      </c>
      <c r="AG85" s="38">
        <v>1.7311772819270793E-4</v>
      </c>
      <c r="AH85" s="39">
        <v>2.4263613517632394</v>
      </c>
      <c r="AI85" s="40">
        <v>27622.510835191704</v>
      </c>
      <c r="AJ85" s="39">
        <v>157.38601760594523</v>
      </c>
      <c r="AK85" s="28">
        <v>1791735.1731095768</v>
      </c>
      <c r="AL85" s="41">
        <f t="shared" si="1"/>
        <v>409.16826816393649</v>
      </c>
      <c r="AM85" s="28">
        <v>9678566</v>
      </c>
      <c r="AN85" s="42">
        <v>0.18512403315838077</v>
      </c>
      <c r="AP85" s="30"/>
      <c r="AR85" s="30"/>
    </row>
    <row r="86" spans="1:44" x14ac:dyDescent="0.2">
      <c r="A86" s="3" t="s">
        <v>910</v>
      </c>
      <c r="B86" s="3" t="s">
        <v>992</v>
      </c>
      <c r="C86" s="3" t="s">
        <v>1622</v>
      </c>
      <c r="D86" s="27"/>
      <c r="E86" s="3" t="s">
        <v>797</v>
      </c>
      <c r="F86" s="133" t="s">
        <v>1064</v>
      </c>
      <c r="G86" s="3" t="s">
        <v>879</v>
      </c>
      <c r="H86" s="29">
        <v>102.05</v>
      </c>
      <c r="I86" s="30">
        <v>1884.702</v>
      </c>
      <c r="J86" s="30">
        <v>1886.52</v>
      </c>
      <c r="K86" s="31">
        <v>1</v>
      </c>
      <c r="L86" s="31">
        <v>1</v>
      </c>
      <c r="M86" s="4">
        <v>0</v>
      </c>
      <c r="N86" s="4">
        <v>0</v>
      </c>
      <c r="O86" s="4">
        <v>1</v>
      </c>
      <c r="P86" s="4">
        <v>1</v>
      </c>
      <c r="Q86" s="32">
        <v>1884.702</v>
      </c>
      <c r="R86" s="32">
        <v>1886.52</v>
      </c>
      <c r="S86" s="32">
        <v>192333.83909999998</v>
      </c>
      <c r="T86" s="32">
        <v>192519.36599999998</v>
      </c>
      <c r="U86" s="33">
        <v>1.0171059061244448E-2</v>
      </c>
      <c r="V86" s="34">
        <v>1.0218767872767886E-2</v>
      </c>
      <c r="W86" s="34">
        <v>4.7708811523437464E-5</v>
      </c>
      <c r="X86" s="35">
        <v>102.8473186449997</v>
      </c>
      <c r="Y86" s="36">
        <v>1007813.0195492377</v>
      </c>
      <c r="Z86" s="37">
        <v>0</v>
      </c>
      <c r="AA86" s="38">
        <v>0</v>
      </c>
      <c r="AB86" s="38">
        <v>0</v>
      </c>
      <c r="AC86" s="39">
        <v>0</v>
      </c>
      <c r="AD86" s="40">
        <v>0</v>
      </c>
      <c r="AE86" s="37">
        <v>2.0584154080374686E-2</v>
      </c>
      <c r="AF86" s="38">
        <v>2.0695317038973045E-2</v>
      </c>
      <c r="AG86" s="38">
        <v>1.111629585983584E-4</v>
      </c>
      <c r="AH86" s="39">
        <v>1.5580236022417671</v>
      </c>
      <c r="AI86" s="40">
        <v>15267.257248816924</v>
      </c>
      <c r="AJ86" s="39">
        <v>104.40534224724146</v>
      </c>
      <c r="AK86" s="28">
        <v>1023080.2767980546</v>
      </c>
      <c r="AL86" s="41">
        <f t="shared" si="1"/>
        <v>233.75213877235407</v>
      </c>
      <c r="AM86" s="28">
        <v>5558222.5</v>
      </c>
      <c r="AN86" s="42">
        <v>0.18406608889767451</v>
      </c>
      <c r="AP86" s="30"/>
      <c r="AR86" s="30"/>
    </row>
    <row r="87" spans="1:44" x14ac:dyDescent="0.2">
      <c r="A87" s="3" t="s">
        <v>930</v>
      </c>
      <c r="B87" s="3" t="s">
        <v>441</v>
      </c>
      <c r="C87" s="3" t="s">
        <v>1623</v>
      </c>
      <c r="D87" s="27"/>
      <c r="E87" s="3" t="s">
        <v>814</v>
      </c>
      <c r="F87" s="133" t="s">
        <v>1056</v>
      </c>
      <c r="G87" s="3" t="s">
        <v>879</v>
      </c>
      <c r="H87" s="29">
        <v>35.549999999999997</v>
      </c>
      <c r="I87" s="30">
        <v>4722</v>
      </c>
      <c r="J87" s="30">
        <v>4731</v>
      </c>
      <c r="K87" s="31">
        <v>1</v>
      </c>
      <c r="L87" s="31">
        <v>1</v>
      </c>
      <c r="M87" s="4">
        <v>0.41</v>
      </c>
      <c r="N87" s="4">
        <v>0.41</v>
      </c>
      <c r="O87" s="4">
        <v>0.59</v>
      </c>
      <c r="P87" s="4">
        <v>0.59</v>
      </c>
      <c r="Q87" s="32">
        <v>4722</v>
      </c>
      <c r="R87" s="32">
        <v>4731</v>
      </c>
      <c r="S87" s="32">
        <v>167867.09999999998</v>
      </c>
      <c r="T87" s="32">
        <v>168187.05</v>
      </c>
      <c r="U87" s="33">
        <v>8.87720120665874E-3</v>
      </c>
      <c r="V87" s="34">
        <v>8.9272287711336332E-3</v>
      </c>
      <c r="W87" s="34">
        <v>5.0027564474893274E-5</v>
      </c>
      <c r="X87" s="35">
        <v>107.84592406069434</v>
      </c>
      <c r="Y87" s="36">
        <v>3033640.6205539899</v>
      </c>
      <c r="Z87" s="37">
        <v>7.1947070119794095E-3</v>
      </c>
      <c r="AA87" s="38">
        <v>7.2302672353743262E-3</v>
      </c>
      <c r="AB87" s="38">
        <v>3.5560223394916733E-5</v>
      </c>
      <c r="AC87" s="39">
        <v>0.68034752279813959</v>
      </c>
      <c r="AD87" s="40">
        <v>19137.76435437805</v>
      </c>
      <c r="AE87" s="37">
        <v>1.0599732932493326E-2</v>
      </c>
      <c r="AF87" s="38">
        <v>1.0666998299504949E-2</v>
      </c>
      <c r="AG87" s="38">
        <v>6.7265367011622862E-5</v>
      </c>
      <c r="AH87" s="39">
        <v>0.94276934276478341</v>
      </c>
      <c r="AI87" s="40">
        <v>26519.531442047355</v>
      </c>
      <c r="AJ87" s="39">
        <v>109.46904092625726</v>
      </c>
      <c r="AK87" s="28">
        <v>3079297.9163504154</v>
      </c>
      <c r="AL87" s="41">
        <f t="shared" si="1"/>
        <v>703.62256645419518</v>
      </c>
      <c r="AM87" s="28">
        <v>16816114</v>
      </c>
      <c r="AN87" s="42">
        <v>0.18311590396868238</v>
      </c>
      <c r="AP87" s="30"/>
      <c r="AR87" s="30"/>
    </row>
    <row r="88" spans="1:44" x14ac:dyDescent="0.2">
      <c r="A88" s="3" t="s">
        <v>1529</v>
      </c>
      <c r="B88" s="3" t="s">
        <v>1489</v>
      </c>
      <c r="C88" s="3" t="s">
        <v>1624</v>
      </c>
      <c r="D88" s="27"/>
      <c r="E88" s="3" t="s">
        <v>2071</v>
      </c>
      <c r="F88" s="133" t="s">
        <v>1066</v>
      </c>
      <c r="G88" s="3" t="s">
        <v>879</v>
      </c>
      <c r="H88" s="29">
        <v>100</v>
      </c>
      <c r="I88" s="30">
        <v>128.33000000000001</v>
      </c>
      <c r="J88" s="30">
        <v>128.79900000000001</v>
      </c>
      <c r="K88" s="31">
        <v>1</v>
      </c>
      <c r="L88" s="31">
        <v>1</v>
      </c>
      <c r="M88" s="4">
        <v>1</v>
      </c>
      <c r="N88" s="4">
        <v>1</v>
      </c>
      <c r="O88" s="4">
        <v>0</v>
      </c>
      <c r="P88" s="4">
        <v>0</v>
      </c>
      <c r="Q88" s="32">
        <v>128.33000000000001</v>
      </c>
      <c r="R88" s="32">
        <v>128.79900000000001</v>
      </c>
      <c r="S88" s="32">
        <v>12833.000000000002</v>
      </c>
      <c r="T88" s="32">
        <v>12879.900000000001</v>
      </c>
      <c r="U88" s="33">
        <v>6.7863877487042809E-4</v>
      </c>
      <c r="V88" s="34">
        <v>6.8365438272045386E-4</v>
      </c>
      <c r="W88" s="34">
        <v>5.0156078500257712E-6</v>
      </c>
      <c r="X88" s="35">
        <v>10.812296560700313</v>
      </c>
      <c r="Y88" s="36">
        <v>108122.96560700313</v>
      </c>
      <c r="Z88" s="37">
        <v>1.3415036625697089E-3</v>
      </c>
      <c r="AA88" s="38">
        <v>1.3504870707926129E-3</v>
      </c>
      <c r="AB88" s="38">
        <v>8.9834082229039991E-6</v>
      </c>
      <c r="AC88" s="39">
        <v>0.17187292281214547</v>
      </c>
      <c r="AD88" s="40">
        <v>1718.7292281214548</v>
      </c>
      <c r="AE88" s="37">
        <v>0</v>
      </c>
      <c r="AF88" s="38">
        <v>0</v>
      </c>
      <c r="AG88" s="38">
        <v>0</v>
      </c>
      <c r="AH88" s="39">
        <v>0</v>
      </c>
      <c r="AI88" s="40">
        <v>0</v>
      </c>
      <c r="AJ88" s="39">
        <v>10.984169483512458</v>
      </c>
      <c r="AK88" s="28">
        <v>109841.6948351246</v>
      </c>
      <c r="AL88" s="41">
        <f t="shared" si="1"/>
        <v>25.078039250128857</v>
      </c>
      <c r="AM88" s="28">
        <v>601934.75</v>
      </c>
      <c r="AN88" s="42">
        <v>0.18248106598784103</v>
      </c>
      <c r="AP88" s="30"/>
      <c r="AR88" s="30"/>
    </row>
    <row r="89" spans="1:44" x14ac:dyDescent="0.2">
      <c r="A89" s="3" t="s">
        <v>251</v>
      </c>
      <c r="B89" s="3" t="s">
        <v>531</v>
      </c>
      <c r="C89" s="3" t="s">
        <v>1625</v>
      </c>
      <c r="D89" s="27"/>
      <c r="E89" s="3" t="s">
        <v>97</v>
      </c>
      <c r="F89" s="133" t="s">
        <v>1052</v>
      </c>
      <c r="G89" s="3" t="s">
        <v>877</v>
      </c>
      <c r="H89" s="29">
        <v>286.68</v>
      </c>
      <c r="I89" s="30">
        <v>92.495000000000005</v>
      </c>
      <c r="J89" s="30">
        <v>92.221999999999994</v>
      </c>
      <c r="K89" s="31">
        <v>0.85</v>
      </c>
      <c r="L89" s="31">
        <v>0.86</v>
      </c>
      <c r="M89" s="4">
        <v>1</v>
      </c>
      <c r="N89" s="4">
        <v>1</v>
      </c>
      <c r="O89" s="4">
        <v>0</v>
      </c>
      <c r="P89" s="4">
        <v>0</v>
      </c>
      <c r="Q89" s="32">
        <v>78.620750000000001</v>
      </c>
      <c r="R89" s="32">
        <v>79.310919999999996</v>
      </c>
      <c r="S89" s="32">
        <v>22538.996610000002</v>
      </c>
      <c r="T89" s="32">
        <v>22736.854545599999</v>
      </c>
      <c r="U89" s="33">
        <v>1.1919143650135689E-3</v>
      </c>
      <c r="V89" s="34">
        <v>1.2068533342166408E-3</v>
      </c>
      <c r="W89" s="34">
        <v>1.4938969203071896E-5</v>
      </c>
      <c r="X89" s="35">
        <v>32.204384825251481</v>
      </c>
      <c r="Y89" s="36">
        <v>112335.65238332454</v>
      </c>
      <c r="Z89" s="37">
        <v>2.3561245619076799E-3</v>
      </c>
      <c r="AA89" s="38">
        <v>2.3840113738713069E-3</v>
      </c>
      <c r="AB89" s="38">
        <v>2.7886811963626947E-5</v>
      </c>
      <c r="AC89" s="39">
        <v>0.53353780226541636</v>
      </c>
      <c r="AD89" s="40">
        <v>1861.0918175855181</v>
      </c>
      <c r="AE89" s="37">
        <v>0</v>
      </c>
      <c r="AF89" s="38">
        <v>0</v>
      </c>
      <c r="AG89" s="38">
        <v>0</v>
      </c>
      <c r="AH89" s="39">
        <v>0</v>
      </c>
      <c r="AI89" s="40">
        <v>0</v>
      </c>
      <c r="AJ89" s="39">
        <v>32.737922627516895</v>
      </c>
      <c r="AK89" s="28">
        <v>114196.74420091006</v>
      </c>
      <c r="AL89" s="41">
        <f t="shared" si="1"/>
        <v>26.055129766764153</v>
      </c>
      <c r="AM89" s="28">
        <v>627054.625</v>
      </c>
      <c r="AN89" s="42">
        <v>0.18211610224692953</v>
      </c>
      <c r="AP89" s="30"/>
      <c r="AR89" s="30"/>
    </row>
    <row r="90" spans="1:44" x14ac:dyDescent="0.2">
      <c r="A90" s="3" t="s">
        <v>1530</v>
      </c>
      <c r="B90" s="3" t="s">
        <v>1490</v>
      </c>
      <c r="C90" s="3" t="s">
        <v>1626</v>
      </c>
      <c r="D90" s="27"/>
      <c r="E90" s="3" t="s">
        <v>2072</v>
      </c>
      <c r="F90" s="133" t="s">
        <v>1068</v>
      </c>
      <c r="G90" s="3" t="s">
        <v>879</v>
      </c>
      <c r="H90" s="29">
        <v>289.17</v>
      </c>
      <c r="I90" s="30">
        <v>52.978999999999999</v>
      </c>
      <c r="J90" s="30">
        <v>53.265000000000001</v>
      </c>
      <c r="K90" s="31">
        <v>1</v>
      </c>
      <c r="L90" s="31">
        <v>1</v>
      </c>
      <c r="M90" s="4">
        <v>1</v>
      </c>
      <c r="N90" s="4">
        <v>1</v>
      </c>
      <c r="O90" s="4">
        <v>0</v>
      </c>
      <c r="P90" s="4">
        <v>0</v>
      </c>
      <c r="Q90" s="32">
        <v>52.978999999999999</v>
      </c>
      <c r="R90" s="32">
        <v>53.265000000000001</v>
      </c>
      <c r="S90" s="32">
        <v>15319.93743</v>
      </c>
      <c r="T90" s="32">
        <v>15402.640050000002</v>
      </c>
      <c r="U90" s="33">
        <v>8.1015378855971425E-4</v>
      </c>
      <c r="V90" s="34">
        <v>8.1755932698608614E-4</v>
      </c>
      <c r="W90" s="34">
        <v>7.4055384263718889E-6</v>
      </c>
      <c r="X90" s="35">
        <v>15.964341721249871</v>
      </c>
      <c r="Y90" s="36">
        <v>55207.461774215415</v>
      </c>
      <c r="Z90" s="37">
        <v>1.6014768310359054E-3</v>
      </c>
      <c r="AA90" s="38">
        <v>1.6150021540227398E-3</v>
      </c>
      <c r="AB90" s="38">
        <v>1.3525322986834452E-5</v>
      </c>
      <c r="AC90" s="39">
        <v>0.25877002759361045</v>
      </c>
      <c r="AD90" s="40">
        <v>894.87162428194642</v>
      </c>
      <c r="AE90" s="37">
        <v>0</v>
      </c>
      <c r="AF90" s="38">
        <v>0</v>
      </c>
      <c r="AG90" s="38">
        <v>0</v>
      </c>
      <c r="AH90" s="39">
        <v>0</v>
      </c>
      <c r="AI90" s="40">
        <v>0</v>
      </c>
      <c r="AJ90" s="39">
        <v>16.223111748843483</v>
      </c>
      <c r="AK90" s="28">
        <v>56102.333398497358</v>
      </c>
      <c r="AL90" s="41">
        <f t="shared" si="1"/>
        <v>12.804817972770149</v>
      </c>
      <c r="AM90" s="28">
        <v>313144.0625</v>
      </c>
      <c r="AN90" s="42">
        <v>0.17915822178010277</v>
      </c>
      <c r="AP90" s="30"/>
      <c r="AR90" s="30"/>
    </row>
    <row r="91" spans="1:44" x14ac:dyDescent="0.2">
      <c r="A91" s="3" t="s">
        <v>756</v>
      </c>
      <c r="B91" s="3" t="s">
        <v>518</v>
      </c>
      <c r="C91" s="3" t="s">
        <v>1627</v>
      </c>
      <c r="D91" s="27"/>
      <c r="E91" s="3" t="s">
        <v>955</v>
      </c>
      <c r="F91" s="133" t="s">
        <v>1056</v>
      </c>
      <c r="G91" s="3" t="s">
        <v>879</v>
      </c>
      <c r="H91" s="29">
        <v>62.98</v>
      </c>
      <c r="I91" s="30">
        <v>1468.915</v>
      </c>
      <c r="J91" s="30">
        <v>1473.6479999999999</v>
      </c>
      <c r="K91" s="31">
        <v>1</v>
      </c>
      <c r="L91" s="31">
        <v>1</v>
      </c>
      <c r="M91" s="4">
        <v>0</v>
      </c>
      <c r="N91" s="4">
        <v>0</v>
      </c>
      <c r="O91" s="4">
        <v>1</v>
      </c>
      <c r="P91" s="4">
        <v>1</v>
      </c>
      <c r="Q91" s="32">
        <v>1468.915</v>
      </c>
      <c r="R91" s="32">
        <v>1473.6479999999999</v>
      </c>
      <c r="S91" s="32">
        <v>92512.266699999993</v>
      </c>
      <c r="T91" s="32">
        <v>92810.351039999994</v>
      </c>
      <c r="U91" s="33">
        <v>4.8922630198530576E-3</v>
      </c>
      <c r="V91" s="34">
        <v>4.9262962639709798E-3</v>
      </c>
      <c r="W91" s="34">
        <v>3.4033244117922211E-5</v>
      </c>
      <c r="X91" s="35">
        <v>73.366487039809897</v>
      </c>
      <c r="Y91" s="36">
        <v>1164917.2283234342</v>
      </c>
      <c r="Z91" s="37">
        <v>0</v>
      </c>
      <c r="AA91" s="38">
        <v>0</v>
      </c>
      <c r="AB91" s="38">
        <v>0</v>
      </c>
      <c r="AC91" s="39">
        <v>0</v>
      </c>
      <c r="AD91" s="40">
        <v>0</v>
      </c>
      <c r="AE91" s="37">
        <v>9.9009449454571623E-3</v>
      </c>
      <c r="AF91" s="38">
        <v>9.9768645574657769E-3</v>
      </c>
      <c r="AG91" s="38">
        <v>7.5919612008614606E-5</v>
      </c>
      <c r="AH91" s="39">
        <v>1.064064404851184</v>
      </c>
      <c r="AI91" s="40">
        <v>16895.274767405273</v>
      </c>
      <c r="AJ91" s="39">
        <v>74.430551444661077</v>
      </c>
      <c r="AK91" s="28">
        <v>1181812.5030908396</v>
      </c>
      <c r="AL91" s="41">
        <f t="shared" si="1"/>
        <v>270.19088693174194</v>
      </c>
      <c r="AM91" s="28">
        <v>6715867</v>
      </c>
      <c r="AN91" s="42">
        <v>0.17597318456289257</v>
      </c>
      <c r="AP91" s="30"/>
      <c r="AR91" s="30"/>
    </row>
    <row r="92" spans="1:44" x14ac:dyDescent="0.2">
      <c r="A92" s="3" t="s">
        <v>1111</v>
      </c>
      <c r="B92" s="3" t="s">
        <v>345</v>
      </c>
      <c r="C92" s="3" t="s">
        <v>1628</v>
      </c>
      <c r="D92" s="27"/>
      <c r="E92" s="3" t="s">
        <v>652</v>
      </c>
      <c r="F92" s="133" t="s">
        <v>1053</v>
      </c>
      <c r="G92" s="3" t="s">
        <v>879</v>
      </c>
      <c r="H92" s="29">
        <v>24.3</v>
      </c>
      <c r="I92" s="30">
        <v>1356.867</v>
      </c>
      <c r="J92" s="30">
        <v>1360.7429999999999</v>
      </c>
      <c r="K92" s="31">
        <v>1</v>
      </c>
      <c r="L92" s="31">
        <v>1</v>
      </c>
      <c r="M92" s="4">
        <v>1</v>
      </c>
      <c r="N92" s="4">
        <v>1</v>
      </c>
      <c r="O92" s="4">
        <v>0</v>
      </c>
      <c r="P92" s="4">
        <v>0</v>
      </c>
      <c r="Q92" s="32">
        <v>1356.867</v>
      </c>
      <c r="R92" s="32">
        <v>1360.7429999999999</v>
      </c>
      <c r="S92" s="32">
        <v>32971.8681</v>
      </c>
      <c r="T92" s="32">
        <v>33066.054900000003</v>
      </c>
      <c r="U92" s="33">
        <v>1.7436287830260536E-3</v>
      </c>
      <c r="V92" s="34">
        <v>1.7551187005846426E-3</v>
      </c>
      <c r="W92" s="34">
        <v>1.1489917558588948E-5</v>
      </c>
      <c r="X92" s="35">
        <v>24.769160551661368</v>
      </c>
      <c r="Y92" s="36">
        <v>1019307.0185868875</v>
      </c>
      <c r="Z92" s="37">
        <v>3.4467296671016399E-3</v>
      </c>
      <c r="AA92" s="38">
        <v>3.4670517336756286E-3</v>
      </c>
      <c r="AB92" s="38">
        <v>2.0322066573988645E-5</v>
      </c>
      <c r="AC92" s="39">
        <v>0.38880710894882797</v>
      </c>
      <c r="AD92" s="40">
        <v>16000.292549334483</v>
      </c>
      <c r="AE92" s="37">
        <v>0</v>
      </c>
      <c r="AF92" s="38">
        <v>0</v>
      </c>
      <c r="AG92" s="38">
        <v>0</v>
      </c>
      <c r="AH92" s="39">
        <v>0</v>
      </c>
      <c r="AI92" s="40">
        <v>0</v>
      </c>
      <c r="AJ92" s="39">
        <v>25.157967660610197</v>
      </c>
      <c r="AK92" s="28">
        <v>1035307.311136222</v>
      </c>
      <c r="AL92" s="41">
        <f t="shared" si="1"/>
        <v>236.41805676108947</v>
      </c>
      <c r="AM92" s="28">
        <v>5977073</v>
      </c>
      <c r="AN92" s="42">
        <v>0.17321309462611917</v>
      </c>
      <c r="AP92" s="30"/>
      <c r="AR92" s="30"/>
    </row>
    <row r="93" spans="1:44" x14ac:dyDescent="0.2">
      <c r="A93" s="3" t="s">
        <v>1170</v>
      </c>
      <c r="B93" s="3" t="s">
        <v>406</v>
      </c>
      <c r="C93" s="3" t="s">
        <v>1629</v>
      </c>
      <c r="D93" s="27"/>
      <c r="E93" s="3" t="s">
        <v>700</v>
      </c>
      <c r="F93" s="133" t="s">
        <v>1063</v>
      </c>
      <c r="G93" s="3" t="s">
        <v>877</v>
      </c>
      <c r="H93" s="29">
        <v>109.8</v>
      </c>
      <c r="I93" s="30">
        <v>136.304</v>
      </c>
      <c r="J93" s="30">
        <v>137.08500000000001</v>
      </c>
      <c r="K93" s="31">
        <v>0.86</v>
      </c>
      <c r="L93" s="31">
        <v>0.87</v>
      </c>
      <c r="M93" s="4">
        <v>1</v>
      </c>
      <c r="N93" s="4">
        <v>1</v>
      </c>
      <c r="O93" s="4">
        <v>0</v>
      </c>
      <c r="P93" s="4">
        <v>0</v>
      </c>
      <c r="Q93" s="32">
        <v>117.22144</v>
      </c>
      <c r="R93" s="32">
        <v>119.26395000000001</v>
      </c>
      <c r="S93" s="32">
        <v>12870.914112</v>
      </c>
      <c r="T93" s="32">
        <v>13095.181710000001</v>
      </c>
      <c r="U93" s="33">
        <v>6.8064376096237686E-4</v>
      </c>
      <c r="V93" s="34">
        <v>6.9508135688648408E-4</v>
      </c>
      <c r="W93" s="34">
        <v>1.4437595924107218E-5</v>
      </c>
      <c r="X93" s="35">
        <v>31.123559381581885</v>
      </c>
      <c r="Y93" s="36">
        <v>283456.82496886962</v>
      </c>
      <c r="Z93" s="37">
        <v>1.3454670320165317E-3</v>
      </c>
      <c r="AA93" s="38">
        <v>1.3730598520978346E-3</v>
      </c>
      <c r="AB93" s="38">
        <v>2.759282008130289E-5</v>
      </c>
      <c r="AC93" s="39">
        <v>0.52791307244747809</v>
      </c>
      <c r="AD93" s="40">
        <v>4807.9514794852284</v>
      </c>
      <c r="AE93" s="37">
        <v>0</v>
      </c>
      <c r="AF93" s="38">
        <v>0</v>
      </c>
      <c r="AG93" s="38">
        <v>0</v>
      </c>
      <c r="AH93" s="39">
        <v>0</v>
      </c>
      <c r="AI93" s="40">
        <v>0</v>
      </c>
      <c r="AJ93" s="39">
        <v>31.651472454029363</v>
      </c>
      <c r="AK93" s="28">
        <v>288264.77644835482</v>
      </c>
      <c r="AL93" s="41">
        <f t="shared" si="1"/>
        <v>65.744972332000088</v>
      </c>
      <c r="AM93" s="28">
        <v>1671159.375</v>
      </c>
      <c r="AN93" s="42">
        <v>0.17249388703477478</v>
      </c>
      <c r="AP93" s="30"/>
      <c r="AR93" s="30"/>
    </row>
    <row r="94" spans="1:44" x14ac:dyDescent="0.2">
      <c r="A94" s="3" t="s">
        <v>1248</v>
      </c>
      <c r="B94" s="3" t="s">
        <v>481</v>
      </c>
      <c r="C94" s="3" t="s">
        <v>1630</v>
      </c>
      <c r="D94" s="27"/>
      <c r="E94" s="3" t="s">
        <v>1468</v>
      </c>
      <c r="F94" s="133" t="s">
        <v>1054</v>
      </c>
      <c r="G94" s="3" t="s">
        <v>877</v>
      </c>
      <c r="H94" s="29">
        <v>43.22</v>
      </c>
      <c r="I94" s="30">
        <v>536.58205199999998</v>
      </c>
      <c r="J94" s="30">
        <v>534.91200000000003</v>
      </c>
      <c r="K94" s="31">
        <v>0.84</v>
      </c>
      <c r="L94" s="31">
        <v>0.86</v>
      </c>
      <c r="M94" s="4">
        <v>0.5</v>
      </c>
      <c r="N94" s="4">
        <v>0.5</v>
      </c>
      <c r="O94" s="4">
        <v>0.5</v>
      </c>
      <c r="P94" s="4">
        <v>0.5</v>
      </c>
      <c r="Q94" s="32">
        <v>450.72892367999998</v>
      </c>
      <c r="R94" s="32">
        <v>460.02432000000005</v>
      </c>
      <c r="S94" s="32">
        <v>19480.504081449599</v>
      </c>
      <c r="T94" s="32">
        <v>19882.2511104</v>
      </c>
      <c r="U94" s="33">
        <v>1.0301741933837238E-3</v>
      </c>
      <c r="V94" s="34">
        <v>1.0553333573997911E-3</v>
      </c>
      <c r="W94" s="34">
        <v>2.5159164016067296E-5</v>
      </c>
      <c r="X94" s="35">
        <v>54.23636589922431</v>
      </c>
      <c r="Y94" s="36">
        <v>1254890.4650445236</v>
      </c>
      <c r="Z94" s="37">
        <v>1.0182018068249357E-3</v>
      </c>
      <c r="AA94" s="38">
        <v>1.0423498265843395E-3</v>
      </c>
      <c r="AB94" s="38">
        <v>2.4148019759403843E-5</v>
      </c>
      <c r="AC94" s="39">
        <v>0.46200624898603515</v>
      </c>
      <c r="AD94" s="40">
        <v>10689.640189403868</v>
      </c>
      <c r="AE94" s="37">
        <v>1.0424314812523454E-3</v>
      </c>
      <c r="AF94" s="38">
        <v>1.0686444141370223E-3</v>
      </c>
      <c r="AG94" s="38">
        <v>2.6212932884676909E-5</v>
      </c>
      <c r="AH94" s="39">
        <v>0.3673918779533914</v>
      </c>
      <c r="AI94" s="40">
        <v>8500.5061997545436</v>
      </c>
      <c r="AJ94" s="39">
        <v>55.065764026163741</v>
      </c>
      <c r="AK94" s="28">
        <v>1274080.611433682</v>
      </c>
      <c r="AL94" s="41">
        <f t="shared" si="1"/>
        <v>291.05927829786327</v>
      </c>
      <c r="AM94" s="28">
        <v>7528468</v>
      </c>
      <c r="AN94" s="42">
        <v>0.16923504376105231</v>
      </c>
      <c r="AP94" s="30"/>
      <c r="AR94" s="30"/>
    </row>
    <row r="95" spans="1:44" x14ac:dyDescent="0.2">
      <c r="A95" s="3" t="s">
        <v>736</v>
      </c>
      <c r="B95" s="3" t="s">
        <v>164</v>
      </c>
      <c r="C95" s="3" t="s">
        <v>1631</v>
      </c>
      <c r="D95" s="27"/>
      <c r="E95" s="3" t="s">
        <v>605</v>
      </c>
      <c r="F95" s="133" t="s">
        <v>1060</v>
      </c>
      <c r="G95" s="3" t="s">
        <v>879</v>
      </c>
      <c r="H95" s="29">
        <v>66.38</v>
      </c>
      <c r="I95" s="30">
        <v>257.63099999999997</v>
      </c>
      <c r="J95" s="30">
        <v>258.56900000000002</v>
      </c>
      <c r="K95" s="31">
        <v>1</v>
      </c>
      <c r="L95" s="31">
        <v>1</v>
      </c>
      <c r="M95" s="4">
        <v>0.72</v>
      </c>
      <c r="N95" s="4">
        <v>0.72</v>
      </c>
      <c r="O95" s="4">
        <v>0.28000000000000003</v>
      </c>
      <c r="P95" s="4">
        <v>0.28000000000000003</v>
      </c>
      <c r="Q95" s="32">
        <v>257.63099999999997</v>
      </c>
      <c r="R95" s="32">
        <v>258.56900000000002</v>
      </c>
      <c r="S95" s="32">
        <v>17101.545779999997</v>
      </c>
      <c r="T95" s="32">
        <v>17163.810219999999</v>
      </c>
      <c r="U95" s="33">
        <v>9.0436936620663406E-4</v>
      </c>
      <c r="V95" s="34">
        <v>9.1104077524554658E-4</v>
      </c>
      <c r="W95" s="34">
        <v>6.6714090389125274E-6</v>
      </c>
      <c r="X95" s="35">
        <v>14.381756940205815</v>
      </c>
      <c r="Y95" s="36">
        <v>216657.98343184416</v>
      </c>
      <c r="Z95" s="37">
        <v>1.2871570276335191E-3</v>
      </c>
      <c r="AA95" s="38">
        <v>1.2957587191753538E-3</v>
      </c>
      <c r="AB95" s="38">
        <v>8.6016915418346551E-6</v>
      </c>
      <c r="AC95" s="39">
        <v>0.16456981913104266</v>
      </c>
      <c r="AD95" s="40">
        <v>2479.2078808533092</v>
      </c>
      <c r="AE95" s="37">
        <v>5.1247268498717563E-4</v>
      </c>
      <c r="AF95" s="38">
        <v>5.1661783650329711E-4</v>
      </c>
      <c r="AG95" s="38">
        <v>4.145151516121476E-6</v>
      </c>
      <c r="AH95" s="39">
        <v>5.8097085381828582E-2</v>
      </c>
      <c r="AI95" s="40">
        <v>875.21972554728211</v>
      </c>
      <c r="AJ95" s="39">
        <v>14.604423844718685</v>
      </c>
      <c r="AK95" s="28">
        <v>220012.41103824473</v>
      </c>
      <c r="AL95" s="41">
        <f t="shared" si="1"/>
        <v>50.251649886355288</v>
      </c>
      <c r="AM95" s="28">
        <v>1303883.25</v>
      </c>
      <c r="AN95" s="42">
        <v>0.1687362814410299</v>
      </c>
      <c r="AP95" s="30"/>
      <c r="AR95" s="30"/>
    </row>
    <row r="96" spans="1:44" x14ac:dyDescent="0.2">
      <c r="A96" s="3" t="s">
        <v>203</v>
      </c>
      <c r="B96" s="3" t="s">
        <v>483</v>
      </c>
      <c r="C96" s="3" t="s">
        <v>1632</v>
      </c>
      <c r="D96" s="27"/>
      <c r="E96" s="3" t="s">
        <v>2073</v>
      </c>
      <c r="F96" s="133" t="s">
        <v>1061</v>
      </c>
      <c r="G96" s="3" t="s">
        <v>879</v>
      </c>
      <c r="H96" s="29">
        <v>71.099999999999994</v>
      </c>
      <c r="I96" s="30">
        <v>164.51499999999999</v>
      </c>
      <c r="J96" s="30">
        <v>165.45400000000001</v>
      </c>
      <c r="K96" s="31">
        <v>0.7</v>
      </c>
      <c r="L96" s="31">
        <v>0.7</v>
      </c>
      <c r="M96" s="4">
        <v>0.62</v>
      </c>
      <c r="N96" s="4">
        <v>0.62</v>
      </c>
      <c r="O96" s="4">
        <v>0.38</v>
      </c>
      <c r="P96" s="4">
        <v>0.38</v>
      </c>
      <c r="Q96" s="32">
        <v>115.16049999999998</v>
      </c>
      <c r="R96" s="32">
        <v>115.81779999999999</v>
      </c>
      <c r="S96" s="32">
        <v>8187.911549999998</v>
      </c>
      <c r="T96" s="32">
        <v>8234.6455799999985</v>
      </c>
      <c r="U96" s="33">
        <v>4.3299573467150515E-4</v>
      </c>
      <c r="V96" s="34">
        <v>4.3708814050703903E-4</v>
      </c>
      <c r="W96" s="34">
        <v>4.0924058355338807E-6</v>
      </c>
      <c r="X96" s="35">
        <v>8.8221222359530191</v>
      </c>
      <c r="Y96" s="36">
        <v>124080.48151832659</v>
      </c>
      <c r="Z96" s="37">
        <v>5.3067484349220975E-4</v>
      </c>
      <c r="AA96" s="38">
        <v>5.3532132087801237E-4</v>
      </c>
      <c r="AB96" s="38">
        <v>4.6464773858026238E-6</v>
      </c>
      <c r="AC96" s="39">
        <v>8.8897624293898025E-2</v>
      </c>
      <c r="AD96" s="40">
        <v>1250.318203852293</v>
      </c>
      <c r="AE96" s="37">
        <v>3.3299220156749945E-4</v>
      </c>
      <c r="AF96" s="38">
        <v>3.3637690440471149E-4</v>
      </c>
      <c r="AG96" s="38">
        <v>3.3847028372120344E-6</v>
      </c>
      <c r="AH96" s="39">
        <v>4.7438885879283341E-2</v>
      </c>
      <c r="AI96" s="40">
        <v>667.2135848000471</v>
      </c>
      <c r="AJ96" s="39">
        <v>8.9584587461261993</v>
      </c>
      <c r="AK96" s="28">
        <v>125998.01330697893</v>
      </c>
      <c r="AL96" s="41">
        <f t="shared" si="1"/>
        <v>28.779225285048387</v>
      </c>
      <c r="AM96" s="28">
        <v>750290.25</v>
      </c>
      <c r="AN96" s="42">
        <v>0.16793236125216732</v>
      </c>
      <c r="AP96" s="30"/>
      <c r="AR96" s="30"/>
    </row>
    <row r="97" spans="1:44" x14ac:dyDescent="0.2">
      <c r="A97" s="3" t="s">
        <v>772</v>
      </c>
      <c r="B97" s="3" t="s">
        <v>1046</v>
      </c>
      <c r="C97" s="3" t="s">
        <v>1633</v>
      </c>
      <c r="D97" s="27"/>
      <c r="E97" s="3" t="s">
        <v>970</v>
      </c>
      <c r="F97" s="133" t="s">
        <v>1060</v>
      </c>
      <c r="G97" s="3" t="s">
        <v>879</v>
      </c>
      <c r="H97" s="29">
        <v>31.64</v>
      </c>
      <c r="I97" s="30">
        <v>747.07399999999996</v>
      </c>
      <c r="J97" s="30">
        <v>748.73199999999997</v>
      </c>
      <c r="K97" s="31">
        <v>1</v>
      </c>
      <c r="L97" s="31">
        <v>1</v>
      </c>
      <c r="M97" s="4">
        <v>0.5</v>
      </c>
      <c r="N97" s="4">
        <v>0.5</v>
      </c>
      <c r="O97" s="4">
        <v>0.5</v>
      </c>
      <c r="P97" s="4">
        <v>0.5</v>
      </c>
      <c r="Q97" s="32">
        <v>747.07399999999996</v>
      </c>
      <c r="R97" s="32">
        <v>748.73199999999997</v>
      </c>
      <c r="S97" s="32">
        <v>23637.42136</v>
      </c>
      <c r="T97" s="32">
        <v>23689.88048</v>
      </c>
      <c r="U97" s="33">
        <v>1.2500016109129966E-3</v>
      </c>
      <c r="V97" s="34">
        <v>1.2574391583999665E-3</v>
      </c>
      <c r="W97" s="34">
        <v>7.4375474869699341E-6</v>
      </c>
      <c r="X97" s="35">
        <v>16.033344615049415</v>
      </c>
      <c r="Y97" s="36">
        <v>506742.87658183993</v>
      </c>
      <c r="Z97" s="37">
        <v>1.2354744536797113E-3</v>
      </c>
      <c r="AA97" s="38">
        <v>1.2419691650114634E-3</v>
      </c>
      <c r="AB97" s="38">
        <v>6.4947113317520826E-6</v>
      </c>
      <c r="AC97" s="39">
        <v>0.12425852101025257</v>
      </c>
      <c r="AD97" s="40">
        <v>3927.2604617652519</v>
      </c>
      <c r="AE97" s="37">
        <v>1.2648744641446193E-3</v>
      </c>
      <c r="AF97" s="38">
        <v>1.2732994018611588E-3</v>
      </c>
      <c r="AG97" s="38">
        <v>8.4249377165395486E-6</v>
      </c>
      <c r="AH97" s="39">
        <v>0.11808116638215597</v>
      </c>
      <c r="AI97" s="40">
        <v>3732.0216934941836</v>
      </c>
      <c r="AJ97" s="39">
        <v>16.275684302441821</v>
      </c>
      <c r="AK97" s="28">
        <v>514402.15873709932</v>
      </c>
      <c r="AL97" s="41">
        <f t="shared" si="1"/>
        <v>117.53393626690793</v>
      </c>
      <c r="AM97" s="28">
        <v>3094857</v>
      </c>
      <c r="AN97" s="42">
        <v>0.16621193119329886</v>
      </c>
      <c r="AP97" s="30"/>
      <c r="AR97" s="30"/>
    </row>
    <row r="98" spans="1:44" x14ac:dyDescent="0.2">
      <c r="A98" s="3" t="s">
        <v>768</v>
      </c>
      <c r="B98" s="3" t="s">
        <v>1042</v>
      </c>
      <c r="C98" s="3" t="s">
        <v>1634</v>
      </c>
      <c r="D98" s="27"/>
      <c r="E98" s="3" t="s">
        <v>967</v>
      </c>
      <c r="F98" s="133" t="s">
        <v>1062</v>
      </c>
      <c r="G98" s="3" t="s">
        <v>879</v>
      </c>
      <c r="H98" s="29">
        <v>52.5</v>
      </c>
      <c r="I98" s="30">
        <v>4076.288</v>
      </c>
      <c r="J98" s="30">
        <v>4076.3020000000001</v>
      </c>
      <c r="K98" s="31">
        <v>1</v>
      </c>
      <c r="L98" s="31">
        <v>1</v>
      </c>
      <c r="M98" s="4">
        <v>0.4</v>
      </c>
      <c r="N98" s="4">
        <v>0.4</v>
      </c>
      <c r="O98" s="4">
        <v>0.6</v>
      </c>
      <c r="P98" s="4">
        <v>0.6</v>
      </c>
      <c r="Q98" s="32">
        <v>4076.288</v>
      </c>
      <c r="R98" s="32">
        <v>4076.3020000000001</v>
      </c>
      <c r="S98" s="32">
        <v>214005.12</v>
      </c>
      <c r="T98" s="32">
        <v>214005.85500000001</v>
      </c>
      <c r="U98" s="33">
        <v>1.1317086608961188E-2</v>
      </c>
      <c r="V98" s="34">
        <v>1.1359252843468346E-2</v>
      </c>
      <c r="W98" s="34">
        <v>4.2166234507158215E-5</v>
      </c>
      <c r="X98" s="35">
        <v>90.899018817248063</v>
      </c>
      <c r="Y98" s="36">
        <v>1731409.8822332963</v>
      </c>
      <c r="Z98" s="37">
        <v>8.9484501609497415E-3</v>
      </c>
      <c r="AA98" s="38">
        <v>8.975601992295551E-3</v>
      </c>
      <c r="AB98" s="38">
        <v>2.7151831345809466E-5</v>
      </c>
      <c r="AC98" s="39">
        <v>0.51947596027180709</v>
      </c>
      <c r="AD98" s="40">
        <v>9894.7801956534677</v>
      </c>
      <c r="AE98" s="37">
        <v>1.3742088395933468E-2</v>
      </c>
      <c r="AF98" s="38">
        <v>1.3803034290341978E-2</v>
      </c>
      <c r="AG98" s="38">
        <v>6.0945894408510545E-5</v>
      </c>
      <c r="AH98" s="39">
        <v>0.85419768550129449</v>
      </c>
      <c r="AI98" s="40">
        <v>16270.432104786563</v>
      </c>
      <c r="AJ98" s="39">
        <v>92.272692463021158</v>
      </c>
      <c r="AK98" s="28">
        <v>1757575.0945337364</v>
      </c>
      <c r="AL98" s="41">
        <f t="shared" si="1"/>
        <v>401.58318578245917</v>
      </c>
      <c r="AM98" s="28">
        <v>10731752</v>
      </c>
      <c r="AN98" s="42">
        <v>0.16377336100701323</v>
      </c>
      <c r="AP98" s="30"/>
      <c r="AR98" s="30"/>
    </row>
    <row r="99" spans="1:44" x14ac:dyDescent="0.2">
      <c r="A99" s="3" t="s">
        <v>1128</v>
      </c>
      <c r="B99" s="3" t="s">
        <v>363</v>
      </c>
      <c r="C99" s="3" t="s">
        <v>1635</v>
      </c>
      <c r="D99" s="27"/>
      <c r="E99" s="3" t="s">
        <v>2074</v>
      </c>
      <c r="F99" s="133" t="s">
        <v>1061</v>
      </c>
      <c r="G99" s="3" t="s">
        <v>879</v>
      </c>
      <c r="H99" s="29">
        <v>107.35</v>
      </c>
      <c r="I99" s="30">
        <v>338.64</v>
      </c>
      <c r="J99" s="30">
        <v>338.85199999999998</v>
      </c>
      <c r="K99" s="31">
        <v>1</v>
      </c>
      <c r="L99" s="31">
        <v>1</v>
      </c>
      <c r="M99" s="4">
        <v>0.51</v>
      </c>
      <c r="N99" s="4">
        <v>0.51</v>
      </c>
      <c r="O99" s="4">
        <v>0.49</v>
      </c>
      <c r="P99" s="4">
        <v>0.49</v>
      </c>
      <c r="Q99" s="32">
        <v>338.64</v>
      </c>
      <c r="R99" s="32">
        <v>338.85199999999998</v>
      </c>
      <c r="S99" s="32">
        <v>36353.003999999994</v>
      </c>
      <c r="T99" s="32">
        <v>36375.762199999997</v>
      </c>
      <c r="U99" s="33">
        <v>1.9224310837231951E-3</v>
      </c>
      <c r="V99" s="34">
        <v>1.9307952121388377E-3</v>
      </c>
      <c r="W99" s="34">
        <v>8.364128415642557E-6</v>
      </c>
      <c r="X99" s="35">
        <v>18.03080296663207</v>
      </c>
      <c r="Y99" s="36">
        <v>167962.76634030807</v>
      </c>
      <c r="Z99" s="37">
        <v>1.9380909285295527E-3</v>
      </c>
      <c r="AA99" s="38">
        <v>1.9451818908591365E-3</v>
      </c>
      <c r="AB99" s="38">
        <v>7.0909623295838196E-6</v>
      </c>
      <c r="AC99" s="39">
        <v>0.13566615152020964</v>
      </c>
      <c r="AD99" s="40">
        <v>1263.774117561338</v>
      </c>
      <c r="AE99" s="37">
        <v>1.9063985888795884E-3</v>
      </c>
      <c r="AF99" s="38">
        <v>1.9160456113231378E-3</v>
      </c>
      <c r="AG99" s="38">
        <v>9.6470224435494037E-6</v>
      </c>
      <c r="AH99" s="39">
        <v>0.13520950546766011</v>
      </c>
      <c r="AI99" s="40">
        <v>1259.5203117620879</v>
      </c>
      <c r="AJ99" s="39">
        <v>18.301678623619939</v>
      </c>
      <c r="AK99" s="28">
        <v>170486.0607696315</v>
      </c>
      <c r="AL99" s="41">
        <f t="shared" si="1"/>
        <v>38.957281861399892</v>
      </c>
      <c r="AM99" s="28">
        <v>1042132</v>
      </c>
      <c r="AN99" s="42">
        <v>0.16359353783362521</v>
      </c>
      <c r="AP99" s="30"/>
      <c r="AR99" s="30"/>
    </row>
    <row r="100" spans="1:44" x14ac:dyDescent="0.2">
      <c r="A100" s="3" t="s">
        <v>770</v>
      </c>
      <c r="B100" s="3" t="s">
        <v>1044</v>
      </c>
      <c r="C100" s="3" t="s">
        <v>1636</v>
      </c>
      <c r="D100" s="27"/>
      <c r="E100" s="3" t="s">
        <v>1313</v>
      </c>
      <c r="F100" s="133" t="s">
        <v>1064</v>
      </c>
      <c r="G100" s="3" t="s">
        <v>877</v>
      </c>
      <c r="H100" s="29">
        <v>28.06</v>
      </c>
      <c r="I100" s="30">
        <v>750.57</v>
      </c>
      <c r="J100" s="30">
        <v>750.65800000000002</v>
      </c>
      <c r="K100" s="31">
        <v>0.91</v>
      </c>
      <c r="L100" s="31">
        <v>0.93</v>
      </c>
      <c r="M100" s="4">
        <v>0.37</v>
      </c>
      <c r="N100" s="4">
        <v>0.37</v>
      </c>
      <c r="O100" s="4">
        <v>0.63</v>
      </c>
      <c r="P100" s="4">
        <v>0.63</v>
      </c>
      <c r="Q100" s="32">
        <v>683.01870000000008</v>
      </c>
      <c r="R100" s="32">
        <v>698.11194</v>
      </c>
      <c r="S100" s="32">
        <v>19165.504722000001</v>
      </c>
      <c r="T100" s="32">
        <v>19589.021036399998</v>
      </c>
      <c r="U100" s="33">
        <v>1.0135162973826451E-3</v>
      </c>
      <c r="V100" s="34">
        <v>1.0397689488845429E-3</v>
      </c>
      <c r="W100" s="34">
        <v>2.6252651501897832E-5</v>
      </c>
      <c r="X100" s="35">
        <v>56.593629731593822</v>
      </c>
      <c r="Y100" s="36">
        <v>2016879.1778900151</v>
      </c>
      <c r="Z100" s="37">
        <v>7.4128575301466674E-4</v>
      </c>
      <c r="AA100" s="38">
        <v>7.5996290860043956E-4</v>
      </c>
      <c r="AB100" s="38">
        <v>1.8677155585772819E-5</v>
      </c>
      <c r="AC100" s="39">
        <v>0.35733624039922118</v>
      </c>
      <c r="AD100" s="40">
        <v>12734.719900186074</v>
      </c>
      <c r="AE100" s="37">
        <v>1.2922249852925225E-3</v>
      </c>
      <c r="AF100" s="38">
        <v>1.3266334490411138E-3</v>
      </c>
      <c r="AG100" s="38">
        <v>3.4408463748591273E-5</v>
      </c>
      <c r="AH100" s="39">
        <v>0.48225775306035351</v>
      </c>
      <c r="AI100" s="40">
        <v>17186.662617974111</v>
      </c>
      <c r="AJ100" s="39">
        <v>57.433223725053395</v>
      </c>
      <c r="AK100" s="28">
        <v>2046800.5604081755</v>
      </c>
      <c r="AL100" s="41">
        <f t="shared" si="1"/>
        <v>467.79493053987585</v>
      </c>
      <c r="AM100" s="28">
        <v>12660135</v>
      </c>
      <c r="AN100" s="42">
        <v>0.16167288582690276</v>
      </c>
      <c r="AP100" s="30"/>
      <c r="AR100" s="30"/>
    </row>
    <row r="101" spans="1:44" x14ac:dyDescent="0.2">
      <c r="A101" s="3" t="s">
        <v>1240</v>
      </c>
      <c r="B101" s="3" t="s">
        <v>473</v>
      </c>
      <c r="C101" s="3" t="s">
        <v>1637</v>
      </c>
      <c r="D101" s="27"/>
      <c r="E101" s="3" t="s">
        <v>47</v>
      </c>
      <c r="F101" s="133" t="s">
        <v>1053</v>
      </c>
      <c r="G101" s="3" t="s">
        <v>879</v>
      </c>
      <c r="H101" s="29">
        <v>183.9</v>
      </c>
      <c r="I101" s="30">
        <v>225.02099999999999</v>
      </c>
      <c r="J101" s="30">
        <v>225.702</v>
      </c>
      <c r="K101" s="31">
        <v>1</v>
      </c>
      <c r="L101" s="31">
        <v>1</v>
      </c>
      <c r="M101" s="4">
        <v>0</v>
      </c>
      <c r="N101" s="4">
        <v>0</v>
      </c>
      <c r="O101" s="4">
        <v>1</v>
      </c>
      <c r="P101" s="4">
        <v>1</v>
      </c>
      <c r="Q101" s="32">
        <v>225.02099999999999</v>
      </c>
      <c r="R101" s="32">
        <v>225.702</v>
      </c>
      <c r="S101" s="32">
        <v>41381.361899999996</v>
      </c>
      <c r="T101" s="32">
        <v>41506.597800000003</v>
      </c>
      <c r="U101" s="33">
        <v>2.1883423004976079E-3</v>
      </c>
      <c r="V101" s="34">
        <v>2.2031356996393718E-3</v>
      </c>
      <c r="W101" s="34">
        <v>1.4793399141763836E-5</v>
      </c>
      <c r="X101" s="35">
        <v>31.890575069727237</v>
      </c>
      <c r="Y101" s="36">
        <v>173412.58874239933</v>
      </c>
      <c r="Z101" s="37">
        <v>0</v>
      </c>
      <c r="AA101" s="38">
        <v>0</v>
      </c>
      <c r="AB101" s="38">
        <v>0</v>
      </c>
      <c r="AC101" s="39">
        <v>0</v>
      </c>
      <c r="AD101" s="40">
        <v>0</v>
      </c>
      <c r="AE101" s="37">
        <v>4.4287595640539919E-3</v>
      </c>
      <c r="AF101" s="38">
        <v>4.4618482728648783E-3</v>
      </c>
      <c r="AG101" s="38">
        <v>3.3088708810886415E-5</v>
      </c>
      <c r="AH101" s="39">
        <v>0.46376050030596666</v>
      </c>
      <c r="AI101" s="40">
        <v>2521.8080495158601</v>
      </c>
      <c r="AJ101" s="39">
        <v>32.354335570033207</v>
      </c>
      <c r="AK101" s="28">
        <v>175934.39679191518</v>
      </c>
      <c r="AL101" s="41">
        <f t="shared" si="1"/>
        <v>40.221313599140387</v>
      </c>
      <c r="AM101" s="28">
        <v>1102248.5</v>
      </c>
      <c r="AN101" s="42">
        <v>0.1596140949993719</v>
      </c>
      <c r="AP101" s="30"/>
      <c r="AR101" s="30"/>
    </row>
    <row r="102" spans="1:44" x14ac:dyDescent="0.2">
      <c r="A102" s="3" t="s">
        <v>1446</v>
      </c>
      <c r="B102" s="3" t="s">
        <v>1434</v>
      </c>
      <c r="C102" s="3" t="s">
        <v>1638</v>
      </c>
      <c r="D102" s="27"/>
      <c r="E102" s="3" t="s">
        <v>1464</v>
      </c>
      <c r="F102" s="133" t="s">
        <v>1057</v>
      </c>
      <c r="G102" s="3" t="s">
        <v>879</v>
      </c>
      <c r="H102" s="29">
        <v>88.57</v>
      </c>
      <c r="I102" s="30">
        <v>1215.9549999999999</v>
      </c>
      <c r="J102" s="30">
        <v>1217.6510000000001</v>
      </c>
      <c r="K102" s="31">
        <v>0.49</v>
      </c>
      <c r="L102" s="31">
        <v>0.49</v>
      </c>
      <c r="M102" s="4">
        <v>0</v>
      </c>
      <c r="N102" s="4">
        <v>0</v>
      </c>
      <c r="O102" s="4">
        <v>1</v>
      </c>
      <c r="P102" s="4">
        <v>1</v>
      </c>
      <c r="Q102" s="32">
        <v>595.81795</v>
      </c>
      <c r="R102" s="32">
        <v>596.64899000000003</v>
      </c>
      <c r="S102" s="32">
        <v>52771.595831499995</v>
      </c>
      <c r="T102" s="32">
        <v>52845.201044299996</v>
      </c>
      <c r="U102" s="33">
        <v>2.790684262685774E-3</v>
      </c>
      <c r="V102" s="34">
        <v>2.8049793321127644E-3</v>
      </c>
      <c r="W102" s="34">
        <v>1.4295069426990305E-5</v>
      </c>
      <c r="X102" s="35">
        <v>30.816310728843224</v>
      </c>
      <c r="Y102" s="36">
        <v>347931.70067566022</v>
      </c>
      <c r="Z102" s="37">
        <v>0</v>
      </c>
      <c r="AA102" s="38">
        <v>0</v>
      </c>
      <c r="AB102" s="38">
        <v>0</v>
      </c>
      <c r="AC102" s="39">
        <v>0</v>
      </c>
      <c r="AD102" s="40">
        <v>0</v>
      </c>
      <c r="AE102" s="37">
        <v>5.6477771397163076E-3</v>
      </c>
      <c r="AF102" s="38">
        <v>5.6807178016577203E-3</v>
      </c>
      <c r="AG102" s="38">
        <v>3.2940661941412673E-5</v>
      </c>
      <c r="AH102" s="39">
        <v>0.46168552389488088</v>
      </c>
      <c r="AI102" s="40">
        <v>5212.6625707901203</v>
      </c>
      <c r="AJ102" s="39">
        <v>31.277996252738106</v>
      </c>
      <c r="AK102" s="28">
        <v>353144.36324645032</v>
      </c>
      <c r="AL102" s="41">
        <f t="shared" si="1"/>
        <v>80.699274172915807</v>
      </c>
      <c r="AM102" s="28">
        <v>2262351</v>
      </c>
      <c r="AN102" s="42">
        <v>0.15609618633291222</v>
      </c>
      <c r="AP102" s="30"/>
      <c r="AR102" s="30"/>
    </row>
    <row r="103" spans="1:44" x14ac:dyDescent="0.2">
      <c r="A103" s="3" t="s">
        <v>1531</v>
      </c>
      <c r="B103" s="3" t="s">
        <v>1491</v>
      </c>
      <c r="C103" s="3" t="s">
        <v>1639</v>
      </c>
      <c r="D103" s="27"/>
      <c r="E103" s="3" t="s">
        <v>2075</v>
      </c>
      <c r="F103" s="133" t="s">
        <v>1070</v>
      </c>
      <c r="G103" s="3" t="s">
        <v>879</v>
      </c>
      <c r="H103" s="29">
        <v>37.9</v>
      </c>
      <c r="I103" s="30">
        <v>219.136</v>
      </c>
      <c r="J103" s="30">
        <v>219.45400000000001</v>
      </c>
      <c r="K103" s="31">
        <v>0.84</v>
      </c>
      <c r="L103" s="31">
        <v>0.84</v>
      </c>
      <c r="M103" s="4">
        <v>1</v>
      </c>
      <c r="N103" s="4">
        <v>1</v>
      </c>
      <c r="O103" s="4">
        <v>0</v>
      </c>
      <c r="P103" s="4">
        <v>0</v>
      </c>
      <c r="Q103" s="32">
        <v>184.07424</v>
      </c>
      <c r="R103" s="32">
        <v>184.34136000000001</v>
      </c>
      <c r="S103" s="32">
        <v>6976.4136959999996</v>
      </c>
      <c r="T103" s="32">
        <v>6986.5375439999998</v>
      </c>
      <c r="U103" s="33">
        <v>3.6892892103504356E-4</v>
      </c>
      <c r="V103" s="34">
        <v>3.7083960372336701E-4</v>
      </c>
      <c r="W103" s="34">
        <v>1.9106826883234481E-6</v>
      </c>
      <c r="X103" s="35">
        <v>4.1189160869989259</v>
      </c>
      <c r="Y103" s="36">
        <v>108678.52472292681</v>
      </c>
      <c r="Z103" s="37">
        <v>7.2928267161111811E-4</v>
      </c>
      <c r="AA103" s="38">
        <v>7.3255449365128419E-4</v>
      </c>
      <c r="AB103" s="38">
        <v>3.2718220401660838E-6</v>
      </c>
      <c r="AC103" s="39">
        <v>6.2597357596509071E-2</v>
      </c>
      <c r="AD103" s="40">
        <v>1651.6453191691048</v>
      </c>
      <c r="AE103" s="37">
        <v>0</v>
      </c>
      <c r="AF103" s="38">
        <v>0</v>
      </c>
      <c r="AG103" s="38">
        <v>0</v>
      </c>
      <c r="AH103" s="39">
        <v>0</v>
      </c>
      <c r="AI103" s="40">
        <v>0</v>
      </c>
      <c r="AJ103" s="39">
        <v>4.1815134445954349</v>
      </c>
      <c r="AK103" s="28">
        <v>110330.17004209592</v>
      </c>
      <c r="AL103" s="41">
        <f t="shared" si="1"/>
        <v>25.206895624319895</v>
      </c>
      <c r="AM103" s="28">
        <v>707576.625</v>
      </c>
      <c r="AN103" s="42">
        <v>0.15592681575948883</v>
      </c>
      <c r="AP103" s="30"/>
      <c r="AR103" s="30"/>
    </row>
    <row r="104" spans="1:44" x14ac:dyDescent="0.2">
      <c r="A104" s="3" t="s">
        <v>1192</v>
      </c>
      <c r="B104" s="3" t="s">
        <v>427</v>
      </c>
      <c r="C104" s="3" t="s">
        <v>1640</v>
      </c>
      <c r="D104" s="27"/>
      <c r="E104" s="3" t="s">
        <v>2076</v>
      </c>
      <c r="F104" s="133" t="s">
        <v>1060</v>
      </c>
      <c r="G104" s="3" t="s">
        <v>879</v>
      </c>
      <c r="H104" s="29">
        <v>76.959999999999994</v>
      </c>
      <c r="I104" s="30">
        <v>356.995</v>
      </c>
      <c r="J104" s="30">
        <v>357.91500000000002</v>
      </c>
      <c r="K104" s="31">
        <v>1</v>
      </c>
      <c r="L104" s="31">
        <v>1</v>
      </c>
      <c r="M104" s="4">
        <v>0.6</v>
      </c>
      <c r="N104" s="4">
        <v>0.6</v>
      </c>
      <c r="O104" s="4">
        <v>0.4</v>
      </c>
      <c r="P104" s="4">
        <v>0.4</v>
      </c>
      <c r="Q104" s="32">
        <v>356.995</v>
      </c>
      <c r="R104" s="32">
        <v>357.91500000000002</v>
      </c>
      <c r="S104" s="32">
        <v>27474.335199999998</v>
      </c>
      <c r="T104" s="32">
        <v>27545.1384</v>
      </c>
      <c r="U104" s="33">
        <v>1.4529065051435731E-3</v>
      </c>
      <c r="V104" s="34">
        <v>1.4620730432535554E-3</v>
      </c>
      <c r="W104" s="34">
        <v>9.1665381099822595E-6</v>
      </c>
      <c r="X104" s="35">
        <v>19.760581657032912</v>
      </c>
      <c r="Y104" s="36">
        <v>256764.31467038608</v>
      </c>
      <c r="Z104" s="37">
        <v>1.7232254950892796E-3</v>
      </c>
      <c r="AA104" s="38">
        <v>1.7329025818085442E-3</v>
      </c>
      <c r="AB104" s="38">
        <v>9.677086719264618E-6</v>
      </c>
      <c r="AC104" s="39">
        <v>0.18514456178291608</v>
      </c>
      <c r="AD104" s="40">
        <v>2405.7245553913212</v>
      </c>
      <c r="AE104" s="37">
        <v>1.1761548600267334E-3</v>
      </c>
      <c r="AF104" s="38">
        <v>1.1844114883910243E-3</v>
      </c>
      <c r="AG104" s="38">
        <v>8.2566283642908269E-6</v>
      </c>
      <c r="AH104" s="39">
        <v>0.11572219765203255</v>
      </c>
      <c r="AI104" s="40">
        <v>1503.6668094079075</v>
      </c>
      <c r="AJ104" s="39">
        <v>20.061448416467861</v>
      </c>
      <c r="AK104" s="28">
        <v>260673.70603518531</v>
      </c>
      <c r="AL104" s="41">
        <f t="shared" si="1"/>
        <v>59.553911837202833</v>
      </c>
      <c r="AM104" s="28">
        <v>1720209.625</v>
      </c>
      <c r="AN104" s="42">
        <v>0.15153601180157639</v>
      </c>
      <c r="AP104" s="30"/>
      <c r="AR104" s="30"/>
    </row>
    <row r="105" spans="1:44" x14ac:dyDescent="0.2">
      <c r="A105" s="3" t="s">
        <v>949</v>
      </c>
      <c r="B105" s="3" t="s">
        <v>1049</v>
      </c>
      <c r="C105" s="3" t="s">
        <v>1641</v>
      </c>
      <c r="D105" s="27"/>
      <c r="E105" s="3" t="s">
        <v>950</v>
      </c>
      <c r="F105" s="133" t="s">
        <v>1064</v>
      </c>
      <c r="G105" s="3" t="s">
        <v>879</v>
      </c>
      <c r="H105" s="29">
        <v>81.14</v>
      </c>
      <c r="I105" s="30">
        <v>1389.519</v>
      </c>
      <c r="J105" s="30">
        <v>1390.694</v>
      </c>
      <c r="K105" s="31">
        <v>1</v>
      </c>
      <c r="L105" s="31">
        <v>1</v>
      </c>
      <c r="M105" s="4">
        <v>0</v>
      </c>
      <c r="N105" s="4">
        <v>0</v>
      </c>
      <c r="O105" s="4">
        <v>1</v>
      </c>
      <c r="P105" s="4">
        <v>1</v>
      </c>
      <c r="Q105" s="32">
        <v>1389.519</v>
      </c>
      <c r="R105" s="32">
        <v>1390.694</v>
      </c>
      <c r="S105" s="32">
        <v>112745.57166</v>
      </c>
      <c r="T105" s="32">
        <v>112840.91116</v>
      </c>
      <c r="U105" s="33">
        <v>5.962247067981645E-3</v>
      </c>
      <c r="V105" s="34">
        <v>5.9895017402855121E-3</v>
      </c>
      <c r="W105" s="34">
        <v>2.7254672303867085E-5</v>
      </c>
      <c r="X105" s="35">
        <v>58.753716085000946</v>
      </c>
      <c r="Y105" s="36">
        <v>724102.98354696762</v>
      </c>
      <c r="Z105" s="37">
        <v>0</v>
      </c>
      <c r="AA105" s="38">
        <v>0</v>
      </c>
      <c r="AB105" s="38">
        <v>0</v>
      </c>
      <c r="AC105" s="39">
        <v>0</v>
      </c>
      <c r="AD105" s="40">
        <v>0</v>
      </c>
      <c r="AE105" s="37">
        <v>1.2066374954033588E-2</v>
      </c>
      <c r="AF105" s="38">
        <v>1.2130096207686411E-2</v>
      </c>
      <c r="AG105" s="38">
        <v>6.3721253652823662E-5</v>
      </c>
      <c r="AH105" s="39">
        <v>0.89309621124999261</v>
      </c>
      <c r="AI105" s="40">
        <v>11006.854957480806</v>
      </c>
      <c r="AJ105" s="39">
        <v>59.646812296250936</v>
      </c>
      <c r="AK105" s="28">
        <v>735109.83850444842</v>
      </c>
      <c r="AL105" s="41">
        <f t="shared" si="1"/>
        <v>167.94843667652876</v>
      </c>
      <c r="AM105" s="28">
        <v>4872133</v>
      </c>
      <c r="AN105" s="42">
        <v>0.15088049495045566</v>
      </c>
      <c r="AP105" s="30"/>
      <c r="AR105" s="30"/>
    </row>
    <row r="106" spans="1:44" x14ac:dyDescent="0.2">
      <c r="A106" s="3" t="s">
        <v>767</v>
      </c>
      <c r="B106" s="3" t="s">
        <v>1041</v>
      </c>
      <c r="C106" s="3" t="s">
        <v>1642</v>
      </c>
      <c r="D106" s="27"/>
      <c r="E106" s="3" t="s">
        <v>966</v>
      </c>
      <c r="F106" s="133" t="s">
        <v>1068</v>
      </c>
      <c r="G106" s="3" t="s">
        <v>879</v>
      </c>
      <c r="H106" s="29">
        <v>107.97</v>
      </c>
      <c r="I106" s="30">
        <v>836.86599999999999</v>
      </c>
      <c r="J106" s="30">
        <v>836.92700000000002</v>
      </c>
      <c r="K106" s="31">
        <v>0.93</v>
      </c>
      <c r="L106" s="31">
        <v>0.93</v>
      </c>
      <c r="M106" s="4">
        <v>0</v>
      </c>
      <c r="N106" s="4">
        <v>0</v>
      </c>
      <c r="O106" s="4">
        <v>1</v>
      </c>
      <c r="P106" s="4">
        <v>1</v>
      </c>
      <c r="Q106" s="32">
        <v>778.28538000000003</v>
      </c>
      <c r="R106" s="32">
        <v>778.34211000000005</v>
      </c>
      <c r="S106" s="32">
        <v>84031.472478600001</v>
      </c>
      <c r="T106" s="32">
        <v>84037.597616700004</v>
      </c>
      <c r="U106" s="33">
        <v>4.4437789708902976E-3</v>
      </c>
      <c r="V106" s="34">
        <v>4.4606458065633214E-3</v>
      </c>
      <c r="W106" s="34">
        <v>1.6866835673023765E-5</v>
      </c>
      <c r="X106" s="35">
        <v>36.360344506677322</v>
      </c>
      <c r="Y106" s="36">
        <v>336763.4019327343</v>
      </c>
      <c r="Z106" s="37">
        <v>0</v>
      </c>
      <c r="AA106" s="38">
        <v>0</v>
      </c>
      <c r="AB106" s="38">
        <v>0</v>
      </c>
      <c r="AC106" s="39">
        <v>0</v>
      </c>
      <c r="AD106" s="40">
        <v>0</v>
      </c>
      <c r="AE106" s="37">
        <v>8.9933044813863307E-3</v>
      </c>
      <c r="AF106" s="38">
        <v>9.0338170232248348E-3</v>
      </c>
      <c r="AG106" s="38">
        <v>4.0512541838504113E-5</v>
      </c>
      <c r="AH106" s="39">
        <v>0.56781051140652705</v>
      </c>
      <c r="AI106" s="40">
        <v>5258.9655590120128</v>
      </c>
      <c r="AJ106" s="39">
        <v>36.928155018083849</v>
      </c>
      <c r="AK106" s="28">
        <v>342022.36749174632</v>
      </c>
      <c r="AL106" s="41">
        <f t="shared" si="1"/>
        <v>78.108899106343273</v>
      </c>
      <c r="AM106" s="28">
        <v>2284379.75</v>
      </c>
      <c r="AN106" s="42">
        <v>0.14972220248920798</v>
      </c>
      <c r="AP106" s="30"/>
      <c r="AR106" s="30"/>
    </row>
    <row r="107" spans="1:44" x14ac:dyDescent="0.2">
      <c r="A107" s="3" t="s">
        <v>1412</v>
      </c>
      <c r="B107" s="3" t="s">
        <v>1394</v>
      </c>
      <c r="C107" s="3" t="s">
        <v>1643</v>
      </c>
      <c r="D107" s="27"/>
      <c r="E107" s="3" t="s">
        <v>2077</v>
      </c>
      <c r="F107" s="133" t="s">
        <v>1055</v>
      </c>
      <c r="G107" s="3" t="s">
        <v>879</v>
      </c>
      <c r="H107" s="29">
        <v>126.54</v>
      </c>
      <c r="I107" s="30">
        <v>2311.8649999999998</v>
      </c>
      <c r="J107" s="30">
        <v>2322.9589999999998</v>
      </c>
      <c r="K107" s="31">
        <v>1</v>
      </c>
      <c r="L107" s="31">
        <v>1</v>
      </c>
      <c r="M107" s="4">
        <v>1</v>
      </c>
      <c r="N107" s="4">
        <v>1</v>
      </c>
      <c r="O107" s="4">
        <v>0</v>
      </c>
      <c r="P107" s="4">
        <v>0</v>
      </c>
      <c r="Q107" s="32">
        <v>2311.8649999999998</v>
      </c>
      <c r="R107" s="32">
        <v>2322.9589999999998</v>
      </c>
      <c r="S107" s="32">
        <v>292543.3971</v>
      </c>
      <c r="T107" s="32">
        <v>293947.23186</v>
      </c>
      <c r="U107" s="33">
        <v>1.5470372680150947E-2</v>
      </c>
      <c r="V107" s="34">
        <v>1.5602474658159955E-2</v>
      </c>
      <c r="W107" s="34">
        <v>1.321019780090079E-4</v>
      </c>
      <c r="X107" s="35">
        <v>284.77620364222963</v>
      </c>
      <c r="Y107" s="36">
        <v>2250483.6703195008</v>
      </c>
      <c r="Z107" s="37">
        <v>3.0581160965497914E-2</v>
      </c>
      <c r="AA107" s="38">
        <v>3.082104178776298E-2</v>
      </c>
      <c r="AB107" s="38">
        <v>2.3988082226506641E-4</v>
      </c>
      <c r="AC107" s="39">
        <v>4.5894628214891418</v>
      </c>
      <c r="AD107" s="40">
        <v>36268.870092375073</v>
      </c>
      <c r="AE107" s="37">
        <v>0</v>
      </c>
      <c r="AF107" s="38">
        <v>0</v>
      </c>
      <c r="AG107" s="38">
        <v>0</v>
      </c>
      <c r="AH107" s="39">
        <v>0</v>
      </c>
      <c r="AI107" s="40">
        <v>0</v>
      </c>
      <c r="AJ107" s="39">
        <v>289.36566646371875</v>
      </c>
      <c r="AK107" s="28">
        <v>2286752.540411876</v>
      </c>
      <c r="AL107" s="41">
        <f t="shared" si="1"/>
        <v>521.9771535048518</v>
      </c>
      <c r="AM107" s="28">
        <v>15432957</v>
      </c>
      <c r="AN107" s="42">
        <v>0.1481733241667087</v>
      </c>
      <c r="AP107" s="30"/>
      <c r="AR107" s="30"/>
    </row>
    <row r="108" spans="1:44" x14ac:dyDescent="0.2">
      <c r="A108" s="3" t="s">
        <v>1323</v>
      </c>
      <c r="B108" s="3" t="s">
        <v>1318</v>
      </c>
      <c r="C108" s="3" t="s">
        <v>1644</v>
      </c>
      <c r="D108" s="27"/>
      <c r="E108" s="3" t="s">
        <v>1328</v>
      </c>
      <c r="F108" s="133" t="s">
        <v>1060</v>
      </c>
      <c r="G108" s="3" t="s">
        <v>879</v>
      </c>
      <c r="H108" s="29">
        <v>93.73</v>
      </c>
      <c r="I108" s="30">
        <v>336.89699999999999</v>
      </c>
      <c r="J108" s="30">
        <v>337.56400000000002</v>
      </c>
      <c r="K108" s="31">
        <v>1</v>
      </c>
      <c r="L108" s="31">
        <v>1</v>
      </c>
      <c r="M108" s="4">
        <v>1</v>
      </c>
      <c r="N108" s="4">
        <v>1</v>
      </c>
      <c r="O108" s="4">
        <v>0</v>
      </c>
      <c r="P108" s="4">
        <v>0</v>
      </c>
      <c r="Q108" s="32">
        <v>336.89699999999999</v>
      </c>
      <c r="R108" s="32">
        <v>337.56400000000002</v>
      </c>
      <c r="S108" s="32">
        <v>31577.355810000001</v>
      </c>
      <c r="T108" s="32">
        <v>31639.873720000003</v>
      </c>
      <c r="U108" s="33">
        <v>1.6698837419579203E-3</v>
      </c>
      <c r="V108" s="34">
        <v>1.6794181893803298E-3</v>
      </c>
      <c r="W108" s="34">
        <v>9.5344474224095133E-6</v>
      </c>
      <c r="X108" s="35">
        <v>20.553694817461988</v>
      </c>
      <c r="Y108" s="36">
        <v>219286.19244064853</v>
      </c>
      <c r="Z108" s="37">
        <v>3.3009536720472123E-3</v>
      </c>
      <c r="AA108" s="38">
        <v>3.3175133642629967E-3</v>
      </c>
      <c r="AB108" s="38">
        <v>1.655969221578445E-5</v>
      </c>
      <c r="AC108" s="39">
        <v>0.31682437571297961</v>
      </c>
      <c r="AD108" s="40">
        <v>3380.181112909203</v>
      </c>
      <c r="AE108" s="37">
        <v>0</v>
      </c>
      <c r="AF108" s="38">
        <v>0</v>
      </c>
      <c r="AG108" s="38">
        <v>0</v>
      </c>
      <c r="AH108" s="39">
        <v>0</v>
      </c>
      <c r="AI108" s="40">
        <v>0</v>
      </c>
      <c r="AJ108" s="39">
        <v>20.870519193174967</v>
      </c>
      <c r="AK108" s="28">
        <v>222666.37355355773</v>
      </c>
      <c r="AL108" s="41">
        <f t="shared" si="1"/>
        <v>50.861236650002738</v>
      </c>
      <c r="AM108" s="28">
        <v>1524360</v>
      </c>
      <c r="AN108" s="42">
        <v>0.14607203912039002</v>
      </c>
      <c r="AP108" s="30"/>
      <c r="AR108" s="30"/>
    </row>
    <row r="109" spans="1:44" x14ac:dyDescent="0.2">
      <c r="A109" s="3" t="s">
        <v>1452</v>
      </c>
      <c r="B109" s="3" t="s">
        <v>1439</v>
      </c>
      <c r="C109" s="3" t="s">
        <v>1645</v>
      </c>
      <c r="D109" s="27"/>
      <c r="E109" s="3" t="s">
        <v>1472</v>
      </c>
      <c r="F109" s="133" t="s">
        <v>1073</v>
      </c>
      <c r="G109" s="3" t="s">
        <v>879</v>
      </c>
      <c r="H109" s="29">
        <v>80.349999999999994</v>
      </c>
      <c r="I109" s="30">
        <v>1080.2460000000001</v>
      </c>
      <c r="J109" s="30">
        <v>1082.317</v>
      </c>
      <c r="K109" s="31">
        <v>0.8</v>
      </c>
      <c r="L109" s="31">
        <v>0.8</v>
      </c>
      <c r="M109" s="4">
        <v>0.56999999999999995</v>
      </c>
      <c r="N109" s="4">
        <v>0.56999999999999995</v>
      </c>
      <c r="O109" s="4">
        <v>0.43</v>
      </c>
      <c r="P109" s="4">
        <v>0.43</v>
      </c>
      <c r="Q109" s="32">
        <v>864.19680000000017</v>
      </c>
      <c r="R109" s="32">
        <v>865.85360000000003</v>
      </c>
      <c r="S109" s="32">
        <v>69438.212880000006</v>
      </c>
      <c r="T109" s="32">
        <v>69571.336759999991</v>
      </c>
      <c r="U109" s="33">
        <v>3.6720535898133854E-3</v>
      </c>
      <c r="V109" s="34">
        <v>3.6927887085842753E-3</v>
      </c>
      <c r="W109" s="34">
        <v>2.0735118770889849E-5</v>
      </c>
      <c r="X109" s="35">
        <v>44.699318622179135</v>
      </c>
      <c r="Y109" s="36">
        <v>556307.63686595066</v>
      </c>
      <c r="Z109" s="37">
        <v>4.1374909712042877E-3</v>
      </c>
      <c r="AA109" s="38">
        <v>4.1579871545213178E-3</v>
      </c>
      <c r="AB109" s="38">
        <v>2.0496183317030015E-5</v>
      </c>
      <c r="AC109" s="39">
        <v>0.39213835615417619</v>
      </c>
      <c r="AD109" s="40">
        <v>4880.3777990563312</v>
      </c>
      <c r="AE109" s="37">
        <v>3.1955404117171011E-3</v>
      </c>
      <c r="AF109" s="38">
        <v>3.2158550457804056E-3</v>
      </c>
      <c r="AG109" s="38">
        <v>2.0314634063304474E-5</v>
      </c>
      <c r="AH109" s="39">
        <v>0.28472325440608004</v>
      </c>
      <c r="AI109" s="40">
        <v>3543.5377026270075</v>
      </c>
      <c r="AJ109" s="39">
        <v>45.376180232739394</v>
      </c>
      <c r="AK109" s="28">
        <v>564731.55236763402</v>
      </c>
      <c r="AL109" s="41">
        <f t="shared" si="1"/>
        <v>129.02998612874828</v>
      </c>
      <c r="AM109" s="28">
        <v>3929613</v>
      </c>
      <c r="AN109" s="42">
        <v>0.14371174778982918</v>
      </c>
      <c r="AP109" s="30"/>
      <c r="AR109" s="30"/>
    </row>
    <row r="110" spans="1:44" x14ac:dyDescent="0.2">
      <c r="A110" s="3" t="s">
        <v>748</v>
      </c>
      <c r="B110" s="3" t="s">
        <v>1407</v>
      </c>
      <c r="C110" s="3" t="s">
        <v>1646</v>
      </c>
      <c r="D110" s="27"/>
      <c r="E110" s="3" t="s">
        <v>618</v>
      </c>
      <c r="F110" s="133" t="s">
        <v>1054</v>
      </c>
      <c r="G110" s="3" t="s">
        <v>879</v>
      </c>
      <c r="H110" s="29">
        <v>96.94</v>
      </c>
      <c r="I110" s="30">
        <v>247.35</v>
      </c>
      <c r="J110" s="30">
        <v>247.779</v>
      </c>
      <c r="K110" s="31">
        <v>1</v>
      </c>
      <c r="L110" s="31">
        <v>1</v>
      </c>
      <c r="M110" s="4">
        <v>0.5</v>
      </c>
      <c r="N110" s="4">
        <v>0.5</v>
      </c>
      <c r="O110" s="4">
        <v>0.5</v>
      </c>
      <c r="P110" s="4">
        <v>0.5</v>
      </c>
      <c r="Q110" s="32">
        <v>247.35</v>
      </c>
      <c r="R110" s="32">
        <v>247.779</v>
      </c>
      <c r="S110" s="32">
        <v>23978.109</v>
      </c>
      <c r="T110" s="32">
        <v>24019.696260000001</v>
      </c>
      <c r="U110" s="33">
        <v>1.268017962710947E-3</v>
      </c>
      <c r="V110" s="34">
        <v>1.2749455057696948E-3</v>
      </c>
      <c r="W110" s="34">
        <v>6.9275430587478152E-6</v>
      </c>
      <c r="X110" s="35">
        <v>14.933912743560576</v>
      </c>
      <c r="Y110" s="36">
        <v>154053.1539463645</v>
      </c>
      <c r="Z110" s="37">
        <v>1.2532814246472258E-3</v>
      </c>
      <c r="AA110" s="38">
        <v>1.2592601356957616E-3</v>
      </c>
      <c r="AB110" s="38">
        <v>5.9787110485358223E-6</v>
      </c>
      <c r="AC110" s="39">
        <v>0.11438626822515043</v>
      </c>
      <c r="AD110" s="40">
        <v>1179.9697568098868</v>
      </c>
      <c r="AE110" s="37">
        <v>1.2831051793111613E-3</v>
      </c>
      <c r="AF110" s="38">
        <v>1.2910265590645442E-3</v>
      </c>
      <c r="AG110" s="38">
        <v>7.9213797533829629E-6</v>
      </c>
      <c r="AH110" s="39">
        <v>0.11102346297459</v>
      </c>
      <c r="AI110" s="40">
        <v>1145.2802039879307</v>
      </c>
      <c r="AJ110" s="39">
        <v>15.159322474760316</v>
      </c>
      <c r="AK110" s="28">
        <v>156378.40390716231</v>
      </c>
      <c r="AL110" s="41">
        <f t="shared" si="1"/>
        <v>35.731086541921883</v>
      </c>
      <c r="AM110" s="28">
        <v>1099726.75</v>
      </c>
      <c r="AN110" s="42">
        <v>0.14219750852396953</v>
      </c>
      <c r="AP110" s="30"/>
      <c r="AR110" s="30"/>
    </row>
    <row r="111" spans="1:44" x14ac:dyDescent="0.2">
      <c r="A111" s="3" t="s">
        <v>1532</v>
      </c>
      <c r="B111" s="3" t="s">
        <v>1492</v>
      </c>
      <c r="C111" s="3" t="s">
        <v>1647</v>
      </c>
      <c r="D111" s="27"/>
      <c r="E111" s="3" t="s">
        <v>2078</v>
      </c>
      <c r="F111" s="133" t="s">
        <v>1064</v>
      </c>
      <c r="G111" s="3" t="s">
        <v>879</v>
      </c>
      <c r="H111" s="29">
        <v>132.97</v>
      </c>
      <c r="I111" s="30">
        <v>139.34899999999999</v>
      </c>
      <c r="J111" s="30">
        <v>140.78800000000001</v>
      </c>
      <c r="K111" s="31">
        <v>1</v>
      </c>
      <c r="L111" s="31">
        <v>1</v>
      </c>
      <c r="M111" s="4">
        <v>0.64</v>
      </c>
      <c r="N111" s="4">
        <v>0.64</v>
      </c>
      <c r="O111" s="4">
        <v>0.36</v>
      </c>
      <c r="P111" s="4">
        <v>0.36</v>
      </c>
      <c r="Q111" s="32">
        <v>139.34899999999999</v>
      </c>
      <c r="R111" s="32">
        <v>140.78800000000001</v>
      </c>
      <c r="S111" s="32">
        <v>18529.236529999998</v>
      </c>
      <c r="T111" s="32">
        <v>18720.58036</v>
      </c>
      <c r="U111" s="33">
        <v>9.79868961116152E-4</v>
      </c>
      <c r="V111" s="34">
        <v>9.9367283986556178E-4</v>
      </c>
      <c r="W111" s="34">
        <v>1.3803878749409776E-5</v>
      </c>
      <c r="X111" s="35">
        <v>29.757436224963357</v>
      </c>
      <c r="Y111" s="36">
        <v>223790.60107515496</v>
      </c>
      <c r="Z111" s="37">
        <v>1.2396559454962894E-3</v>
      </c>
      <c r="AA111" s="38">
        <v>1.2562533179376419E-3</v>
      </c>
      <c r="AB111" s="38">
        <v>1.6597372441352421E-5</v>
      </c>
      <c r="AC111" s="39">
        <v>0.31754528367351026</v>
      </c>
      <c r="AD111" s="40">
        <v>2388.0971924006185</v>
      </c>
      <c r="AE111" s="37">
        <v>7.1389994679871077E-4</v>
      </c>
      <c r="AF111" s="38">
        <v>7.2446843842898369E-4</v>
      </c>
      <c r="AG111" s="38">
        <v>1.0568491630272921E-5</v>
      </c>
      <c r="AH111" s="39">
        <v>0.14812451564511475</v>
      </c>
      <c r="AI111" s="40">
        <v>1113.9694340461363</v>
      </c>
      <c r="AJ111" s="39">
        <v>30.223106024281982</v>
      </c>
      <c r="AK111" s="28">
        <v>227292.66770160172</v>
      </c>
      <c r="AL111" s="41">
        <f t="shared" si="1"/>
        <v>51.905989130667734</v>
      </c>
      <c r="AM111" s="28">
        <v>1649784.75</v>
      </c>
      <c r="AN111" s="42">
        <v>0.13777110480721907</v>
      </c>
      <c r="AP111" s="30"/>
      <c r="AR111" s="30"/>
    </row>
    <row r="112" spans="1:44" x14ac:dyDescent="0.2">
      <c r="A112" s="3" t="s">
        <v>1273</v>
      </c>
      <c r="B112" s="3" t="s">
        <v>1257</v>
      </c>
      <c r="C112" s="3" t="s">
        <v>1648</v>
      </c>
      <c r="D112" s="27"/>
      <c r="E112" s="3" t="s">
        <v>1264</v>
      </c>
      <c r="F112" s="133" t="s">
        <v>1058</v>
      </c>
      <c r="G112" s="3" t="s">
        <v>879</v>
      </c>
      <c r="H112" s="29">
        <v>122.34</v>
      </c>
      <c r="I112" s="30">
        <v>461.44600000000003</v>
      </c>
      <c r="J112" s="30">
        <v>461.97300000000001</v>
      </c>
      <c r="K112" s="31">
        <v>1</v>
      </c>
      <c r="L112" s="31">
        <v>1</v>
      </c>
      <c r="M112" s="4">
        <v>0</v>
      </c>
      <c r="N112" s="4">
        <v>0</v>
      </c>
      <c r="O112" s="4">
        <v>1</v>
      </c>
      <c r="P112" s="4">
        <v>1</v>
      </c>
      <c r="Q112" s="32">
        <v>461.44600000000003</v>
      </c>
      <c r="R112" s="32">
        <v>461.97300000000001</v>
      </c>
      <c r="S112" s="32">
        <v>56453.303640000006</v>
      </c>
      <c r="T112" s="32">
        <v>56517.776820000006</v>
      </c>
      <c r="U112" s="33">
        <v>2.9853815023484671E-3</v>
      </c>
      <c r="V112" s="34">
        <v>2.9999166006420448E-3</v>
      </c>
      <c r="W112" s="34">
        <v>1.4535098293577686E-5</v>
      </c>
      <c r="X112" s="35">
        <v>31.333748169383597</v>
      </c>
      <c r="Y112" s="36">
        <v>256120.22371573973</v>
      </c>
      <c r="Z112" s="37">
        <v>0</v>
      </c>
      <c r="AA112" s="38">
        <v>0</v>
      </c>
      <c r="AB112" s="38">
        <v>0</v>
      </c>
      <c r="AC112" s="39">
        <v>0</v>
      </c>
      <c r="AD112" s="40">
        <v>0</v>
      </c>
      <c r="AE112" s="37">
        <v>6.0418047386230191E-3</v>
      </c>
      <c r="AF112" s="38">
        <v>6.0755098769015381E-3</v>
      </c>
      <c r="AG112" s="38">
        <v>3.3705138278519037E-5</v>
      </c>
      <c r="AH112" s="39">
        <v>0.47240017373494586</v>
      </c>
      <c r="AI112" s="40">
        <v>3861.3713726904189</v>
      </c>
      <c r="AJ112" s="39">
        <v>31.806148343118544</v>
      </c>
      <c r="AK112" s="28">
        <v>259981.59508843016</v>
      </c>
      <c r="AL112" s="41">
        <f t="shared" si="1"/>
        <v>59.404521389478859</v>
      </c>
      <c r="AM112" s="28">
        <v>1890549</v>
      </c>
      <c r="AN112" s="42">
        <v>0.1375164542619261</v>
      </c>
      <c r="AP112" s="30"/>
      <c r="AR112" s="30"/>
    </row>
    <row r="113" spans="1:44" x14ac:dyDescent="0.2">
      <c r="A113" s="3" t="s">
        <v>923</v>
      </c>
      <c r="B113" s="3" t="s">
        <v>421</v>
      </c>
      <c r="C113" s="3" t="s">
        <v>1649</v>
      </c>
      <c r="D113" s="27"/>
      <c r="E113" s="3" t="s">
        <v>2079</v>
      </c>
      <c r="F113" s="133" t="s">
        <v>1055</v>
      </c>
      <c r="G113" s="3" t="s">
        <v>879</v>
      </c>
      <c r="H113" s="29">
        <v>772.15</v>
      </c>
      <c r="I113" s="30">
        <v>343.44</v>
      </c>
      <c r="J113" s="30">
        <v>343.60399999999998</v>
      </c>
      <c r="K113" s="31">
        <v>0.86</v>
      </c>
      <c r="L113" s="31">
        <v>0.86</v>
      </c>
      <c r="M113" s="4">
        <v>1</v>
      </c>
      <c r="N113" s="4">
        <v>1</v>
      </c>
      <c r="O113" s="4">
        <v>0</v>
      </c>
      <c r="P113" s="4">
        <v>0</v>
      </c>
      <c r="Q113" s="32">
        <v>295.35840000000002</v>
      </c>
      <c r="R113" s="32">
        <v>295.49943999999999</v>
      </c>
      <c r="S113" s="32">
        <v>228060.98856</v>
      </c>
      <c r="T113" s="32">
        <v>228169.89259599999</v>
      </c>
      <c r="U113" s="33">
        <v>1.2060393506748E-2</v>
      </c>
      <c r="V113" s="34">
        <v>1.2111068182059691E-2</v>
      </c>
      <c r="W113" s="34">
        <v>5.0674675311690801E-5</v>
      </c>
      <c r="X113" s="35">
        <v>109.24092033717992</v>
      </c>
      <c r="Y113" s="36">
        <v>141476.29390297213</v>
      </c>
      <c r="Z113" s="37">
        <v>2.384046220233059E-2</v>
      </c>
      <c r="AA113" s="38">
        <v>2.3924136825211152E-2</v>
      </c>
      <c r="AB113" s="38">
        <v>8.3674622880561961E-5</v>
      </c>
      <c r="AC113" s="39">
        <v>1.6008848360046184</v>
      </c>
      <c r="AD113" s="40">
        <v>2073.2821809293769</v>
      </c>
      <c r="AE113" s="37">
        <v>0</v>
      </c>
      <c r="AF113" s="38">
        <v>0</v>
      </c>
      <c r="AG113" s="38">
        <v>0</v>
      </c>
      <c r="AH113" s="39">
        <v>0</v>
      </c>
      <c r="AI113" s="40">
        <v>0</v>
      </c>
      <c r="AJ113" s="39">
        <v>110.84180517318454</v>
      </c>
      <c r="AK113" s="28">
        <v>143549.57608390151</v>
      </c>
      <c r="AL113" s="41">
        <f t="shared" si="1"/>
        <v>32.814009785463185</v>
      </c>
      <c r="AM113" s="28">
        <v>1065314.25</v>
      </c>
      <c r="AN113" s="42">
        <v>0.13474857403240548</v>
      </c>
      <c r="AP113" s="30"/>
      <c r="AR113" s="30"/>
    </row>
    <row r="114" spans="1:44" x14ac:dyDescent="0.2">
      <c r="A114" s="3" t="s">
        <v>1230</v>
      </c>
      <c r="B114" s="3" t="s">
        <v>465</v>
      </c>
      <c r="C114" s="3" t="s">
        <v>1650</v>
      </c>
      <c r="D114" s="27"/>
      <c r="E114" s="3" t="s">
        <v>1356</v>
      </c>
      <c r="F114" s="133" t="s">
        <v>1054</v>
      </c>
      <c r="G114" s="3" t="s">
        <v>879</v>
      </c>
      <c r="H114" s="29">
        <v>78.599999999999994</v>
      </c>
      <c r="I114" s="30">
        <v>1103.837</v>
      </c>
      <c r="J114" s="30">
        <v>1103.8430000000001</v>
      </c>
      <c r="K114" s="31">
        <v>0.88</v>
      </c>
      <c r="L114" s="31">
        <v>0.88</v>
      </c>
      <c r="M114" s="4">
        <v>0.62</v>
      </c>
      <c r="N114" s="4">
        <v>0.62</v>
      </c>
      <c r="O114" s="4">
        <v>0.38</v>
      </c>
      <c r="P114" s="4">
        <v>0.38</v>
      </c>
      <c r="Q114" s="32">
        <v>971.37656000000004</v>
      </c>
      <c r="R114" s="32">
        <v>971.38184000000012</v>
      </c>
      <c r="S114" s="32">
        <v>76350.19761599999</v>
      </c>
      <c r="T114" s="32">
        <v>76350.612624000001</v>
      </c>
      <c r="U114" s="33">
        <v>4.037575358157664E-3</v>
      </c>
      <c r="V114" s="34">
        <v>4.0526270346655799E-3</v>
      </c>
      <c r="W114" s="34">
        <v>1.5051676507915959E-5</v>
      </c>
      <c r="X114" s="35">
        <v>32.447351349144498</v>
      </c>
      <c r="Y114" s="36">
        <v>412816.17492550256</v>
      </c>
      <c r="Z114" s="37">
        <v>4.9484082629678737E-3</v>
      </c>
      <c r="AA114" s="38">
        <v>4.9634329009852944E-3</v>
      </c>
      <c r="AB114" s="38">
        <v>1.502463801742078E-5</v>
      </c>
      <c r="AC114" s="39">
        <v>0.28745531608646169</v>
      </c>
      <c r="AD114" s="40">
        <v>3657.1923166216502</v>
      </c>
      <c r="AE114" s="37">
        <v>3.1050677867014197E-3</v>
      </c>
      <c r="AF114" s="38">
        <v>3.1188449429130636E-3</v>
      </c>
      <c r="AG114" s="38">
        <v>1.3777156211643854E-5</v>
      </c>
      <c r="AH114" s="39">
        <v>0.19309610701410282</v>
      </c>
      <c r="AI114" s="40">
        <v>2456.6934734618681</v>
      </c>
      <c r="AJ114" s="39">
        <v>32.927902772245062</v>
      </c>
      <c r="AK114" s="28">
        <v>418930.06071558606</v>
      </c>
      <c r="AL114" s="41">
        <f t="shared" si="1"/>
        <v>95.748578294630789</v>
      </c>
      <c r="AM114" s="28">
        <v>3122893.5</v>
      </c>
      <c r="AN114" s="42">
        <v>0.13414804594379734</v>
      </c>
      <c r="AP114" s="30"/>
      <c r="AR114" s="30"/>
    </row>
    <row r="115" spans="1:44" x14ac:dyDescent="0.2">
      <c r="A115" s="3" t="s">
        <v>263</v>
      </c>
      <c r="B115" s="3" t="s">
        <v>542</v>
      </c>
      <c r="C115" s="3" t="s">
        <v>1651</v>
      </c>
      <c r="D115" s="27"/>
      <c r="E115" s="3" t="s">
        <v>1266</v>
      </c>
      <c r="F115" s="133" t="s">
        <v>1068</v>
      </c>
      <c r="G115" s="3" t="s">
        <v>879</v>
      </c>
      <c r="H115" s="29">
        <v>123.61</v>
      </c>
      <c r="I115" s="30">
        <v>150.11699999999999</v>
      </c>
      <c r="J115" s="30">
        <v>150.42599999999999</v>
      </c>
      <c r="K115" s="31">
        <v>1</v>
      </c>
      <c r="L115" s="31">
        <v>1</v>
      </c>
      <c r="M115" s="4">
        <v>1</v>
      </c>
      <c r="N115" s="4">
        <v>1</v>
      </c>
      <c r="O115" s="4">
        <v>0</v>
      </c>
      <c r="P115" s="4">
        <v>0</v>
      </c>
      <c r="Q115" s="32">
        <v>150.11699999999999</v>
      </c>
      <c r="R115" s="32">
        <v>150.42599999999999</v>
      </c>
      <c r="S115" s="32">
        <v>18555.962369999997</v>
      </c>
      <c r="T115" s="32">
        <v>18594.157859999999</v>
      </c>
      <c r="U115" s="33">
        <v>9.8128228546080906E-4</v>
      </c>
      <c r="V115" s="34">
        <v>9.8696243868236352E-4</v>
      </c>
      <c r="W115" s="34">
        <v>5.6801532215544626E-6</v>
      </c>
      <c r="X115" s="35">
        <v>12.244876987611493</v>
      </c>
      <c r="Y115" s="36">
        <v>99060.569432986755</v>
      </c>
      <c r="Z115" s="37">
        <v>1.9397562130336391E-3</v>
      </c>
      <c r="AA115" s="38">
        <v>1.9496401200480467E-3</v>
      </c>
      <c r="AB115" s="38">
        <v>9.8839070144076183E-6</v>
      </c>
      <c r="AC115" s="39">
        <v>0.18910150192646519</v>
      </c>
      <c r="AD115" s="40">
        <v>1529.8236544491965</v>
      </c>
      <c r="AE115" s="37">
        <v>0</v>
      </c>
      <c r="AF115" s="38">
        <v>0</v>
      </c>
      <c r="AG115" s="38">
        <v>0</v>
      </c>
      <c r="AH115" s="39">
        <v>0</v>
      </c>
      <c r="AI115" s="40">
        <v>0</v>
      </c>
      <c r="AJ115" s="39">
        <v>12.433978489537958</v>
      </c>
      <c r="AK115" s="28">
        <v>100590.39308743595</v>
      </c>
      <c r="AL115" s="41">
        <f t="shared" si="1"/>
        <v>22.976107198262529</v>
      </c>
      <c r="AM115" s="28">
        <v>750497.4375</v>
      </c>
      <c r="AN115" s="42">
        <v>0.13403162763954934</v>
      </c>
      <c r="AP115" s="30"/>
      <c r="AR115" s="30"/>
    </row>
    <row r="116" spans="1:44" x14ac:dyDescent="0.2">
      <c r="A116" s="3" t="s">
        <v>1112</v>
      </c>
      <c r="B116" s="3" t="s">
        <v>346</v>
      </c>
      <c r="C116" s="3" t="s">
        <v>1652</v>
      </c>
      <c r="D116" s="27"/>
      <c r="E116" s="3" t="s">
        <v>653</v>
      </c>
      <c r="F116" s="133" t="s">
        <v>1060</v>
      </c>
      <c r="G116" s="3" t="s">
        <v>879</v>
      </c>
      <c r="H116" s="29">
        <v>140.46</v>
      </c>
      <c r="I116" s="30">
        <v>153.61099999999999</v>
      </c>
      <c r="J116" s="30">
        <v>153.69399999999999</v>
      </c>
      <c r="K116" s="31">
        <v>1</v>
      </c>
      <c r="L116" s="31">
        <v>1</v>
      </c>
      <c r="M116" s="4">
        <v>0.64</v>
      </c>
      <c r="N116" s="4">
        <v>0.64</v>
      </c>
      <c r="O116" s="4">
        <v>0.36</v>
      </c>
      <c r="P116" s="4">
        <v>0.36</v>
      </c>
      <c r="Q116" s="32">
        <v>153.61099999999999</v>
      </c>
      <c r="R116" s="32">
        <v>153.69399999999999</v>
      </c>
      <c r="S116" s="32">
        <v>21576.201059999999</v>
      </c>
      <c r="T116" s="32">
        <v>21587.859239999998</v>
      </c>
      <c r="U116" s="33">
        <v>1.1409995054715522E-3</v>
      </c>
      <c r="V116" s="34">
        <v>1.1458656187531148E-3</v>
      </c>
      <c r="W116" s="34">
        <v>4.8661132815625875E-6</v>
      </c>
      <c r="X116" s="35">
        <v>10.49002662717081</v>
      </c>
      <c r="Y116" s="36">
        <v>74683.373395776798</v>
      </c>
      <c r="Z116" s="37">
        <v>1.4435060981572102E-3</v>
      </c>
      <c r="AA116" s="38">
        <v>1.4486634108506228E-3</v>
      </c>
      <c r="AB116" s="38">
        <v>5.1573126934126041E-6</v>
      </c>
      <c r="AC116" s="39">
        <v>9.8671059410730191E-2</v>
      </c>
      <c r="AD116" s="40">
        <v>702.48511612366644</v>
      </c>
      <c r="AE116" s="37">
        <v>8.3129430421558155E-4</v>
      </c>
      <c r="AF116" s="38">
        <v>8.3542937087808882E-4</v>
      </c>
      <c r="AG116" s="38">
        <v>4.1350666625072745E-6</v>
      </c>
      <c r="AH116" s="39">
        <v>5.7955739378139984E-2</v>
      </c>
      <c r="AI116" s="40">
        <v>412.61383581190364</v>
      </c>
      <c r="AJ116" s="39">
        <v>10.646653425959681</v>
      </c>
      <c r="AK116" s="28">
        <v>75798.472347712377</v>
      </c>
      <c r="AL116" s="41">
        <f t="shared" si="1"/>
        <v>17.322060663400922</v>
      </c>
      <c r="AM116" s="28">
        <v>568260.375</v>
      </c>
      <c r="AN116" s="42">
        <v>0.13338686926342941</v>
      </c>
      <c r="AP116" s="30"/>
      <c r="AR116" s="30"/>
    </row>
    <row r="117" spans="1:44" x14ac:dyDescent="0.2">
      <c r="A117" s="3" t="s">
        <v>1454</v>
      </c>
      <c r="B117" s="3" t="s">
        <v>1441</v>
      </c>
      <c r="C117" s="3" t="s">
        <v>1653</v>
      </c>
      <c r="D117" s="27"/>
      <c r="E117" s="3" t="s">
        <v>1475</v>
      </c>
      <c r="F117" s="133" t="s">
        <v>1053</v>
      </c>
      <c r="G117" s="3" t="s">
        <v>879</v>
      </c>
      <c r="H117" s="29">
        <v>130.59</v>
      </c>
      <c r="I117" s="30">
        <v>199.239</v>
      </c>
      <c r="J117" s="30">
        <v>200.01300000000001</v>
      </c>
      <c r="K117" s="31">
        <v>1</v>
      </c>
      <c r="L117" s="31">
        <v>1</v>
      </c>
      <c r="M117" s="4">
        <v>0.44</v>
      </c>
      <c r="N117" s="4">
        <v>0.44</v>
      </c>
      <c r="O117" s="4">
        <v>0.56000000000000005</v>
      </c>
      <c r="P117" s="4">
        <v>0.56000000000000005</v>
      </c>
      <c r="Q117" s="32">
        <v>199.239</v>
      </c>
      <c r="R117" s="32">
        <v>200.01300000000001</v>
      </c>
      <c r="S117" s="32">
        <v>26018.621010000003</v>
      </c>
      <c r="T117" s="32">
        <v>26119.697670000001</v>
      </c>
      <c r="U117" s="33">
        <v>1.3759249657947774E-3</v>
      </c>
      <c r="V117" s="34">
        <v>1.386411834519579E-3</v>
      </c>
      <c r="W117" s="34">
        <v>1.0486868724801602E-5</v>
      </c>
      <c r="X117" s="35">
        <v>22.606858039171751</v>
      </c>
      <c r="Y117" s="36">
        <v>173113.24021113216</v>
      </c>
      <c r="Z117" s="37">
        <v>1.1967422400972804E-3</v>
      </c>
      <c r="AA117" s="38">
        <v>1.2050325047859574E-3</v>
      </c>
      <c r="AB117" s="38">
        <v>8.2902646886769994E-6</v>
      </c>
      <c r="AC117" s="39">
        <v>0.1586115188772563</v>
      </c>
      <c r="AD117" s="40">
        <v>1214.5762989299051</v>
      </c>
      <c r="AE117" s="37">
        <v>1.5593716194067274E-3</v>
      </c>
      <c r="AF117" s="38">
        <v>1.5723666863517222E-3</v>
      </c>
      <c r="AG117" s="38">
        <v>1.2995066944994707E-5</v>
      </c>
      <c r="AH117" s="39">
        <v>0.1821346001249067</v>
      </c>
      <c r="AI117" s="40">
        <v>1394.7055679983666</v>
      </c>
      <c r="AJ117" s="39">
        <v>22.947604158173913</v>
      </c>
      <c r="AK117" s="28">
        <v>175722.52207806043</v>
      </c>
      <c r="AL117" s="41">
        <f t="shared" si="1"/>
        <v>40.151882704654263</v>
      </c>
      <c r="AM117" s="28">
        <v>1319312</v>
      </c>
      <c r="AN117" s="42">
        <v>0.13319254435498232</v>
      </c>
      <c r="AP117" s="30"/>
      <c r="AR117" s="30"/>
    </row>
    <row r="118" spans="1:44" x14ac:dyDescent="0.2">
      <c r="A118" s="3" t="s">
        <v>1213</v>
      </c>
      <c r="B118" s="3" t="s">
        <v>449</v>
      </c>
      <c r="C118" s="3" t="s">
        <v>1654</v>
      </c>
      <c r="D118" s="27"/>
      <c r="E118" s="3" t="s">
        <v>2080</v>
      </c>
      <c r="F118" s="133" t="s">
        <v>1074</v>
      </c>
      <c r="G118" s="3" t="s">
        <v>881</v>
      </c>
      <c r="H118" s="29">
        <v>44.470465979999993</v>
      </c>
      <c r="I118" s="30">
        <v>943.94299999999998</v>
      </c>
      <c r="J118" s="30">
        <v>943.94299999999998</v>
      </c>
      <c r="K118" s="31">
        <v>1</v>
      </c>
      <c r="L118" s="31">
        <v>1</v>
      </c>
      <c r="M118" s="4">
        <v>0</v>
      </c>
      <c r="N118" s="4">
        <v>0</v>
      </c>
      <c r="O118" s="4">
        <v>1</v>
      </c>
      <c r="P118" s="4">
        <v>1</v>
      </c>
      <c r="Q118" s="32">
        <v>943.94299999999998</v>
      </c>
      <c r="R118" s="32">
        <v>943.94299999999998</v>
      </c>
      <c r="S118" s="32">
        <v>41977.585068559136</v>
      </c>
      <c r="T118" s="32">
        <v>41977.585068559136</v>
      </c>
      <c r="U118" s="33">
        <v>2.2198719631377028E-3</v>
      </c>
      <c r="V118" s="34">
        <v>2.2281353122416427E-3</v>
      </c>
      <c r="W118" s="34">
        <v>8.2633491039398738E-6</v>
      </c>
      <c r="X118" s="35">
        <v>17.813549975988661</v>
      </c>
      <c r="Y118" s="36">
        <v>400570.34671055776</v>
      </c>
      <c r="Z118" s="37">
        <v>0</v>
      </c>
      <c r="AA118" s="38">
        <v>0</v>
      </c>
      <c r="AB118" s="38">
        <v>0</v>
      </c>
      <c r="AC118" s="39">
        <v>0</v>
      </c>
      <c r="AD118" s="40">
        <v>0</v>
      </c>
      <c r="AE118" s="37">
        <v>4.4925691860390731E-3</v>
      </c>
      <c r="AF118" s="38">
        <v>4.512478144792418E-3</v>
      </c>
      <c r="AG118" s="38">
        <v>1.9908958753344849E-5</v>
      </c>
      <c r="AH118" s="39">
        <v>0.27903744219189186</v>
      </c>
      <c r="AI118" s="40">
        <v>6274.6687277211195</v>
      </c>
      <c r="AJ118" s="39">
        <v>18.092587418180553</v>
      </c>
      <c r="AK118" s="28">
        <v>406845.0154382789</v>
      </c>
      <c r="AL118" s="41">
        <f t="shared" si="1"/>
        <v>92.908281056198135</v>
      </c>
      <c r="AM118" s="28">
        <v>3061286.25</v>
      </c>
      <c r="AN118" s="42">
        <v>0.13290002378519125</v>
      </c>
      <c r="AP118" s="30"/>
      <c r="AR118" s="30"/>
    </row>
    <row r="119" spans="1:44" x14ac:dyDescent="0.2">
      <c r="A119" s="3" t="s">
        <v>753</v>
      </c>
      <c r="B119" s="3" t="s">
        <v>1029</v>
      </c>
      <c r="C119" s="3" t="s">
        <v>1655</v>
      </c>
      <c r="D119" s="27"/>
      <c r="E119" s="3" t="s">
        <v>952</v>
      </c>
      <c r="F119" s="133" t="s">
        <v>1054</v>
      </c>
      <c r="G119" s="3" t="s">
        <v>879</v>
      </c>
      <c r="H119" s="29">
        <v>35.11</v>
      </c>
      <c r="I119" s="30">
        <v>6064.8490000000002</v>
      </c>
      <c r="J119" s="30">
        <v>6065.652</v>
      </c>
      <c r="K119" s="31">
        <v>1</v>
      </c>
      <c r="L119" s="31">
        <v>1</v>
      </c>
      <c r="M119" s="4">
        <v>0.52</v>
      </c>
      <c r="N119" s="4">
        <v>0.52</v>
      </c>
      <c r="O119" s="4">
        <v>0.48</v>
      </c>
      <c r="P119" s="4">
        <v>0.48</v>
      </c>
      <c r="Q119" s="32">
        <v>6064.8490000000002</v>
      </c>
      <c r="R119" s="32">
        <v>6065.652</v>
      </c>
      <c r="S119" s="32">
        <v>212936.84839</v>
      </c>
      <c r="T119" s="32">
        <v>212965.04172000001</v>
      </c>
      <c r="U119" s="33">
        <v>1.1260593930971688E-2</v>
      </c>
      <c r="V119" s="34">
        <v>1.1304007339973315E-2</v>
      </c>
      <c r="W119" s="34">
        <v>4.3413409001626796E-5</v>
      </c>
      <c r="X119" s="35">
        <v>93.587590352414324</v>
      </c>
      <c r="Y119" s="36">
        <v>2665553.6984452954</v>
      </c>
      <c r="Z119" s="37">
        <v>1.1574915627354682E-2</v>
      </c>
      <c r="AA119" s="38">
        <v>1.1611534126375831E-2</v>
      </c>
      <c r="AB119" s="38">
        <v>3.661849902114947E-5</v>
      </c>
      <c r="AC119" s="39">
        <v>0.70059472970539471</v>
      </c>
      <c r="AD119" s="40">
        <v>19954.278829546987</v>
      </c>
      <c r="AE119" s="37">
        <v>1.0938792467495594E-2</v>
      </c>
      <c r="AF119" s="38">
        <v>1.0988722802954227E-2</v>
      </c>
      <c r="AG119" s="38">
        <v>4.9930335458633207E-5</v>
      </c>
      <c r="AH119" s="39">
        <v>0.69980722079799285</v>
      </c>
      <c r="AI119" s="40">
        <v>19931.849068584244</v>
      </c>
      <c r="AJ119" s="39">
        <v>94.987992302917718</v>
      </c>
      <c r="AK119" s="28">
        <v>2705439.8263434269</v>
      </c>
      <c r="AL119" s="41">
        <f t="shared" si="1"/>
        <v>618.24849048172598</v>
      </c>
      <c r="AM119" s="28">
        <v>20802834</v>
      </c>
      <c r="AN119" s="42">
        <v>0.13005150290308651</v>
      </c>
      <c r="AP119" s="30"/>
      <c r="AR119" s="30"/>
    </row>
    <row r="120" spans="1:44" x14ac:dyDescent="0.2">
      <c r="A120" s="3" t="s">
        <v>941</v>
      </c>
      <c r="B120" s="3" t="s">
        <v>1020</v>
      </c>
      <c r="C120" s="3" t="s">
        <v>1656</v>
      </c>
      <c r="D120" s="27"/>
      <c r="E120" s="3" t="s">
        <v>824</v>
      </c>
      <c r="F120" s="133" t="s">
        <v>1057</v>
      </c>
      <c r="G120" s="3" t="s">
        <v>881</v>
      </c>
      <c r="H120" s="29">
        <v>66.099999999999994</v>
      </c>
      <c r="I120" s="30">
        <v>1956.425</v>
      </c>
      <c r="J120" s="30">
        <v>1953.855</v>
      </c>
      <c r="K120" s="31">
        <v>1</v>
      </c>
      <c r="L120" s="31">
        <v>1</v>
      </c>
      <c r="M120" s="4">
        <v>1</v>
      </c>
      <c r="N120" s="4">
        <v>1</v>
      </c>
      <c r="O120" s="4">
        <v>0</v>
      </c>
      <c r="P120" s="4">
        <v>0</v>
      </c>
      <c r="Q120" s="32">
        <v>1956.425</v>
      </c>
      <c r="R120" s="32">
        <v>1953.855</v>
      </c>
      <c r="S120" s="32">
        <v>129319.69249999999</v>
      </c>
      <c r="T120" s="32">
        <v>129149.8155</v>
      </c>
      <c r="U120" s="33">
        <v>6.8387249812842258E-3</v>
      </c>
      <c r="V120" s="34">
        <v>6.8551648222511816E-3</v>
      </c>
      <c r="W120" s="34">
        <v>1.6439840966955832E-5</v>
      </c>
      <c r="X120" s="35">
        <v>35.439859187668219</v>
      </c>
      <c r="Y120" s="36">
        <v>536155.20707516221</v>
      </c>
      <c r="Z120" s="37">
        <v>1.3518494594493766E-2</v>
      </c>
      <c r="AA120" s="38">
        <v>1.3541654518125248E-2</v>
      </c>
      <c r="AB120" s="38">
        <v>2.3159923631482088E-5</v>
      </c>
      <c r="AC120" s="39">
        <v>0.44310173465123215</v>
      </c>
      <c r="AD120" s="40">
        <v>6703.5058192319539</v>
      </c>
      <c r="AE120" s="37">
        <v>0</v>
      </c>
      <c r="AF120" s="38">
        <v>0</v>
      </c>
      <c r="AG120" s="38">
        <v>0</v>
      </c>
      <c r="AH120" s="39">
        <v>0</v>
      </c>
      <c r="AI120" s="40">
        <v>0</v>
      </c>
      <c r="AJ120" s="39">
        <v>35.882960922319448</v>
      </c>
      <c r="AK120" s="28">
        <v>542858.71289439418</v>
      </c>
      <c r="AL120" s="41">
        <f t="shared" si="1"/>
        <v>124.35583182266139</v>
      </c>
      <c r="AM120" s="28">
        <v>4194537.5</v>
      </c>
      <c r="AN120" s="42">
        <v>0.12942039805208422</v>
      </c>
      <c r="AP120" s="30"/>
      <c r="AR120" s="30"/>
    </row>
    <row r="121" spans="1:44" x14ac:dyDescent="0.2">
      <c r="A121" s="3" t="s">
        <v>906</v>
      </c>
      <c r="B121" s="3" t="s">
        <v>370</v>
      </c>
      <c r="C121" s="3" t="s">
        <v>1657</v>
      </c>
      <c r="D121" s="27"/>
      <c r="E121" s="3" t="s">
        <v>794</v>
      </c>
      <c r="F121" s="133" t="s">
        <v>1073</v>
      </c>
      <c r="G121" s="3" t="s">
        <v>881</v>
      </c>
      <c r="H121" s="29">
        <v>163.98</v>
      </c>
      <c r="I121" s="30">
        <v>438.06599999999997</v>
      </c>
      <c r="J121" s="30">
        <v>438.06599999999997</v>
      </c>
      <c r="K121" s="31">
        <v>1</v>
      </c>
      <c r="L121" s="31">
        <v>1</v>
      </c>
      <c r="M121" s="4">
        <v>0.44</v>
      </c>
      <c r="N121" s="4">
        <v>0.44</v>
      </c>
      <c r="O121" s="4">
        <v>0.56000000000000005</v>
      </c>
      <c r="P121" s="4">
        <v>0.56000000000000005</v>
      </c>
      <c r="Q121" s="32">
        <v>438.06599999999997</v>
      </c>
      <c r="R121" s="32">
        <v>438.06599999999997</v>
      </c>
      <c r="S121" s="32">
        <v>71834.062679999988</v>
      </c>
      <c r="T121" s="32">
        <v>71834.062679999988</v>
      </c>
      <c r="U121" s="33">
        <v>3.7987516785724868E-3</v>
      </c>
      <c r="V121" s="34">
        <v>3.8128923190240433E-3</v>
      </c>
      <c r="W121" s="34">
        <v>1.4140640451556531E-5</v>
      </c>
      <c r="X121" s="35">
        <v>30.483403545928898</v>
      </c>
      <c r="Y121" s="36">
        <v>185897.08224130323</v>
      </c>
      <c r="Z121" s="37">
        <v>3.3040512429121866E-3</v>
      </c>
      <c r="AA121" s="38">
        <v>3.3140651769355584E-3</v>
      </c>
      <c r="AB121" s="38">
        <v>1.0013934023371789E-5</v>
      </c>
      <c r="AC121" s="39">
        <v>0.19158921277302504</v>
      </c>
      <c r="AD121" s="40">
        <v>1168.3693912246924</v>
      </c>
      <c r="AE121" s="37">
        <v>4.3052242702187674E-3</v>
      </c>
      <c r="AF121" s="38">
        <v>4.3243030042060017E-3</v>
      </c>
      <c r="AG121" s="38">
        <v>1.9078733987234336E-5</v>
      </c>
      <c r="AH121" s="39">
        <v>0.26740128391511014</v>
      </c>
      <c r="AI121" s="40">
        <v>1630.6944988115024</v>
      </c>
      <c r="AJ121" s="39">
        <v>30.942394042617032</v>
      </c>
      <c r="AK121" s="28">
        <v>188696.14613133942</v>
      </c>
      <c r="AL121" s="41">
        <f t="shared" si="1"/>
        <v>43.116966860460217</v>
      </c>
      <c r="AM121" s="28">
        <v>1455252.375</v>
      </c>
      <c r="AN121" s="42">
        <v>0.12966558197944147</v>
      </c>
      <c r="AP121" s="30"/>
      <c r="AR121" s="30"/>
    </row>
    <row r="122" spans="1:44" x14ac:dyDescent="0.2">
      <c r="A122" s="3" t="s">
        <v>721</v>
      </c>
      <c r="B122" s="3" t="s">
        <v>1393</v>
      </c>
      <c r="C122" s="3" t="s">
        <v>1658</v>
      </c>
      <c r="D122" s="27"/>
      <c r="E122" s="3" t="s">
        <v>592</v>
      </c>
      <c r="F122" s="133" t="s">
        <v>1060</v>
      </c>
      <c r="G122" s="3" t="s">
        <v>879</v>
      </c>
      <c r="H122" s="29">
        <v>225.4</v>
      </c>
      <c r="I122" s="30">
        <v>65.430000000000007</v>
      </c>
      <c r="J122" s="30">
        <v>65.495000000000005</v>
      </c>
      <c r="K122" s="31">
        <v>1</v>
      </c>
      <c r="L122" s="31">
        <v>1</v>
      </c>
      <c r="M122" s="4">
        <v>1</v>
      </c>
      <c r="N122" s="4">
        <v>1</v>
      </c>
      <c r="O122" s="4">
        <v>0</v>
      </c>
      <c r="P122" s="4">
        <v>0</v>
      </c>
      <c r="Q122" s="32">
        <v>65.430000000000007</v>
      </c>
      <c r="R122" s="32">
        <v>65.495000000000005</v>
      </c>
      <c r="S122" s="32">
        <v>14747.922000000002</v>
      </c>
      <c r="T122" s="32">
        <v>14762.573000000002</v>
      </c>
      <c r="U122" s="33">
        <v>7.7990428722548384E-4</v>
      </c>
      <c r="V122" s="34">
        <v>7.8358510017008203E-4</v>
      </c>
      <c r="W122" s="34">
        <v>3.6808129445981864E-6</v>
      </c>
      <c r="X122" s="35">
        <v>7.9348390726471321</v>
      </c>
      <c r="Y122" s="36">
        <v>35203.367669241932</v>
      </c>
      <c r="Z122" s="37">
        <v>1.5416809302807128E-3</v>
      </c>
      <c r="AA122" s="38">
        <v>1.5478896550541632E-3</v>
      </c>
      <c r="AB122" s="38">
        <v>6.2087247734504084E-6</v>
      </c>
      <c r="AC122" s="39">
        <v>0.11878695115161318</v>
      </c>
      <c r="AD122" s="40">
        <v>527.00510715001406</v>
      </c>
      <c r="AE122" s="37">
        <v>0</v>
      </c>
      <c r="AF122" s="38">
        <v>0</v>
      </c>
      <c r="AG122" s="38">
        <v>0</v>
      </c>
      <c r="AH122" s="39">
        <v>0</v>
      </c>
      <c r="AI122" s="40">
        <v>0</v>
      </c>
      <c r="AJ122" s="39">
        <v>8.0536260237987456</v>
      </c>
      <c r="AK122" s="28">
        <v>35730.372776391945</v>
      </c>
      <c r="AL122" s="41">
        <f t="shared" si="1"/>
        <v>8.1650686437404296</v>
      </c>
      <c r="AM122" s="28">
        <v>275731.75</v>
      </c>
      <c r="AN122" s="42">
        <v>0.12958381751971598</v>
      </c>
      <c r="AP122" s="30"/>
      <c r="AR122" s="30"/>
    </row>
    <row r="123" spans="1:44" x14ac:dyDescent="0.2">
      <c r="A123" s="3" t="s">
        <v>742</v>
      </c>
      <c r="B123" s="3" t="s">
        <v>1493</v>
      </c>
      <c r="C123" s="3" t="s">
        <v>1659</v>
      </c>
      <c r="D123" s="27"/>
      <c r="E123" s="3" t="s">
        <v>2081</v>
      </c>
      <c r="F123" s="133" t="s">
        <v>1068</v>
      </c>
      <c r="G123" s="3" t="s">
        <v>879</v>
      </c>
      <c r="H123" s="29">
        <v>178.57</v>
      </c>
      <c r="I123" s="30">
        <v>101.20099999999999</v>
      </c>
      <c r="J123" s="30">
        <v>101.34</v>
      </c>
      <c r="K123" s="31">
        <v>1</v>
      </c>
      <c r="L123" s="31">
        <v>1</v>
      </c>
      <c r="M123" s="4">
        <v>1</v>
      </c>
      <c r="N123" s="4">
        <v>1</v>
      </c>
      <c r="O123" s="4">
        <v>0</v>
      </c>
      <c r="P123" s="4">
        <v>0</v>
      </c>
      <c r="Q123" s="32">
        <v>101.20099999999999</v>
      </c>
      <c r="R123" s="32">
        <v>101.34</v>
      </c>
      <c r="S123" s="32">
        <v>18071.46257</v>
      </c>
      <c r="T123" s="32">
        <v>18096.283800000001</v>
      </c>
      <c r="U123" s="33">
        <v>9.5566081342021313E-4</v>
      </c>
      <c r="V123" s="34">
        <v>9.6053569754603286E-4</v>
      </c>
      <c r="W123" s="34">
        <v>4.8748841258197369E-6</v>
      </c>
      <c r="X123" s="35">
        <v>10.508934199698739</v>
      </c>
      <c r="Y123" s="36">
        <v>58850.502322331522</v>
      </c>
      <c r="Z123" s="37">
        <v>1.8891087996295802E-3</v>
      </c>
      <c r="AA123" s="38">
        <v>1.8974368823743829E-3</v>
      </c>
      <c r="AB123" s="38">
        <v>8.328082744802701E-6</v>
      </c>
      <c r="AC123" s="39">
        <v>0.1593350638481757</v>
      </c>
      <c r="AD123" s="40">
        <v>892.28349581775046</v>
      </c>
      <c r="AE123" s="37">
        <v>0</v>
      </c>
      <c r="AF123" s="38">
        <v>0</v>
      </c>
      <c r="AG123" s="38">
        <v>0</v>
      </c>
      <c r="AH123" s="39">
        <v>0</v>
      </c>
      <c r="AI123" s="40">
        <v>0</v>
      </c>
      <c r="AJ123" s="39">
        <v>10.668269263546915</v>
      </c>
      <c r="AK123" s="28">
        <v>59742.78581814927</v>
      </c>
      <c r="AL123" s="41">
        <f t="shared" si="1"/>
        <v>13.649784750573268</v>
      </c>
      <c r="AM123" s="28">
        <v>463228.09375</v>
      </c>
      <c r="AN123" s="42">
        <v>0.12897055818551434</v>
      </c>
      <c r="AP123" s="30"/>
      <c r="AR123" s="30"/>
    </row>
    <row r="124" spans="1:44" x14ac:dyDescent="0.2">
      <c r="A124" s="3" t="s">
        <v>1533</v>
      </c>
      <c r="B124" s="3" t="s">
        <v>1494</v>
      </c>
      <c r="C124" s="3" t="s">
        <v>1660</v>
      </c>
      <c r="D124" s="27"/>
      <c r="E124" s="3" t="s">
        <v>2082</v>
      </c>
      <c r="F124" s="133" t="s">
        <v>1068</v>
      </c>
      <c r="G124" s="3" t="s">
        <v>879</v>
      </c>
      <c r="H124" s="29">
        <v>274.77</v>
      </c>
      <c r="I124" s="30">
        <v>43.83</v>
      </c>
      <c r="J124" s="30">
        <v>43.887</v>
      </c>
      <c r="K124" s="31">
        <v>1</v>
      </c>
      <c r="L124" s="31">
        <v>1</v>
      </c>
      <c r="M124" s="4">
        <v>1</v>
      </c>
      <c r="N124" s="4">
        <v>1</v>
      </c>
      <c r="O124" s="4">
        <v>0</v>
      </c>
      <c r="P124" s="4">
        <v>0</v>
      </c>
      <c r="Q124" s="32">
        <v>43.83</v>
      </c>
      <c r="R124" s="32">
        <v>43.887</v>
      </c>
      <c r="S124" s="32">
        <v>12043.169099999999</v>
      </c>
      <c r="T124" s="32">
        <v>12058.830989999999</v>
      </c>
      <c r="U124" s="33">
        <v>6.368706867904149E-4</v>
      </c>
      <c r="V124" s="34">
        <v>6.4007272236575813E-4</v>
      </c>
      <c r="W124" s="34">
        <v>3.2020355753432364E-6</v>
      </c>
      <c r="X124" s="35">
        <v>6.9027243105431042</v>
      </c>
      <c r="Y124" s="36">
        <v>25121.826656997142</v>
      </c>
      <c r="Z124" s="37">
        <v>1.2589383196911356E-3</v>
      </c>
      <c r="AA124" s="38">
        <v>1.2643961009688183E-3</v>
      </c>
      <c r="AB124" s="38">
        <v>5.4577812776826842E-6</v>
      </c>
      <c r="AC124" s="39">
        <v>0.1044197031893864</v>
      </c>
      <c r="AD124" s="40">
        <v>380.02585140075848</v>
      </c>
      <c r="AE124" s="37">
        <v>0</v>
      </c>
      <c r="AF124" s="38">
        <v>0</v>
      </c>
      <c r="AG124" s="38">
        <v>0</v>
      </c>
      <c r="AH124" s="39">
        <v>0</v>
      </c>
      <c r="AI124" s="40">
        <v>0</v>
      </c>
      <c r="AJ124" s="39">
        <v>7.007144013732491</v>
      </c>
      <c r="AK124" s="28">
        <v>25501.8525083979</v>
      </c>
      <c r="AL124" s="41">
        <f t="shared" si="1"/>
        <v>5.8267561512232717</v>
      </c>
      <c r="AM124" s="28">
        <v>200928.453125</v>
      </c>
      <c r="AN124" s="42">
        <v>0.12692006588301802</v>
      </c>
      <c r="AP124" s="30"/>
      <c r="AR124" s="30"/>
    </row>
    <row r="125" spans="1:44" x14ac:dyDescent="0.2">
      <c r="A125" s="3" t="s">
        <v>216</v>
      </c>
      <c r="B125" s="3" t="s">
        <v>496</v>
      </c>
      <c r="C125" s="3" t="s">
        <v>1661</v>
      </c>
      <c r="D125" s="27"/>
      <c r="E125" s="3" t="s">
        <v>66</v>
      </c>
      <c r="F125" s="133" t="s">
        <v>1055</v>
      </c>
      <c r="G125" s="3" t="s">
        <v>879</v>
      </c>
      <c r="H125" s="29">
        <v>60.65</v>
      </c>
      <c r="I125" s="30">
        <v>360.12099999999998</v>
      </c>
      <c r="J125" s="30">
        <v>360.53199999999998</v>
      </c>
      <c r="K125" s="31">
        <v>0.89</v>
      </c>
      <c r="L125" s="31">
        <v>0.89</v>
      </c>
      <c r="M125" s="4">
        <v>1</v>
      </c>
      <c r="N125" s="4">
        <v>1</v>
      </c>
      <c r="O125" s="4">
        <v>0</v>
      </c>
      <c r="P125" s="4">
        <v>0</v>
      </c>
      <c r="Q125" s="32">
        <v>320.50768999999997</v>
      </c>
      <c r="R125" s="32">
        <v>320.87347999999997</v>
      </c>
      <c r="S125" s="32">
        <v>19438.791398499998</v>
      </c>
      <c r="T125" s="32">
        <v>19460.976561999996</v>
      </c>
      <c r="U125" s="33">
        <v>1.0279683300584315E-3</v>
      </c>
      <c r="V125" s="34">
        <v>1.0329724546488191E-3</v>
      </c>
      <c r="W125" s="34">
        <v>5.0041245903875622E-6</v>
      </c>
      <c r="X125" s="35">
        <v>10.787541752827686</v>
      </c>
      <c r="Y125" s="36">
        <v>177865.48644398493</v>
      </c>
      <c r="Z125" s="37">
        <v>2.03204315881059E-3</v>
      </c>
      <c r="AA125" s="38">
        <v>2.0405280500608754E-3</v>
      </c>
      <c r="AB125" s="38">
        <v>8.4848912502853875E-6</v>
      </c>
      <c r="AC125" s="39">
        <v>0.16233516531193856</v>
      </c>
      <c r="AD125" s="40">
        <v>2676.5897001144035</v>
      </c>
      <c r="AE125" s="37">
        <v>0</v>
      </c>
      <c r="AF125" s="38">
        <v>0</v>
      </c>
      <c r="AG125" s="38">
        <v>0</v>
      </c>
      <c r="AH125" s="39">
        <v>0</v>
      </c>
      <c r="AI125" s="40">
        <v>0</v>
      </c>
      <c r="AJ125" s="39">
        <v>10.949876918139624</v>
      </c>
      <c r="AK125" s="28">
        <v>180542.07614409932</v>
      </c>
      <c r="AL125" s="41">
        <f t="shared" si="1"/>
        <v>41.254118634687238</v>
      </c>
      <c r="AM125" s="28">
        <v>1451390.25</v>
      </c>
      <c r="AN125" s="42">
        <v>0.12439250997042271</v>
      </c>
      <c r="AP125" s="30"/>
      <c r="AR125" s="30"/>
    </row>
    <row r="126" spans="1:44" x14ac:dyDescent="0.2">
      <c r="A126" s="3" t="s">
        <v>1447</v>
      </c>
      <c r="B126" s="3" t="s">
        <v>1435</v>
      </c>
      <c r="C126" s="3" t="s">
        <v>1662</v>
      </c>
      <c r="D126" s="27"/>
      <c r="E126" s="3" t="s">
        <v>1465</v>
      </c>
      <c r="F126" s="133" t="s">
        <v>1062</v>
      </c>
      <c r="G126" s="3" t="s">
        <v>879</v>
      </c>
      <c r="H126" s="29">
        <v>49.63</v>
      </c>
      <c r="I126" s="30">
        <v>357.93</v>
      </c>
      <c r="J126" s="30">
        <v>359.52499999999998</v>
      </c>
      <c r="K126" s="31">
        <v>0.81</v>
      </c>
      <c r="L126" s="31">
        <v>0.81</v>
      </c>
      <c r="M126" s="4">
        <v>0.41</v>
      </c>
      <c r="N126" s="4">
        <v>0.41</v>
      </c>
      <c r="O126" s="4">
        <v>0.59</v>
      </c>
      <c r="P126" s="4">
        <v>0.59</v>
      </c>
      <c r="Q126" s="32">
        <v>289.92330000000004</v>
      </c>
      <c r="R126" s="32">
        <v>291.21525000000003</v>
      </c>
      <c r="S126" s="32">
        <v>14388.893379000003</v>
      </c>
      <c r="T126" s="32">
        <v>14453.012857500002</v>
      </c>
      <c r="U126" s="33">
        <v>7.6091802185504357E-4</v>
      </c>
      <c r="V126" s="34">
        <v>7.6715390519685293E-4</v>
      </c>
      <c r="W126" s="34">
        <v>6.235883341809364E-6</v>
      </c>
      <c r="X126" s="35">
        <v>13.44288110746683</v>
      </c>
      <c r="Y126" s="36">
        <v>270862.00095641403</v>
      </c>
      <c r="Z126" s="37">
        <v>6.1670137917742924E-4</v>
      </c>
      <c r="AA126" s="38">
        <v>6.2132694114098639E-4</v>
      </c>
      <c r="AB126" s="38">
        <v>4.6255619635571406E-6</v>
      </c>
      <c r="AC126" s="39">
        <v>8.849746494858228E-2</v>
      </c>
      <c r="AD126" s="40">
        <v>1783.1445687806222</v>
      </c>
      <c r="AE126" s="37">
        <v>9.0856652084608303E-4</v>
      </c>
      <c r="AF126" s="38">
        <v>9.1665953813730426E-4</v>
      </c>
      <c r="AG126" s="38">
        <v>8.0930172912212217E-6</v>
      </c>
      <c r="AH126" s="39">
        <v>0.11342907846336865</v>
      </c>
      <c r="AI126" s="40">
        <v>2285.4942265437971</v>
      </c>
      <c r="AJ126" s="39">
        <v>13.644807650878782</v>
      </c>
      <c r="AK126" s="28">
        <v>274930.63975173846</v>
      </c>
      <c r="AL126" s="41">
        <f t="shared" si="1"/>
        <v>62.823729012788263</v>
      </c>
      <c r="AM126" s="28">
        <v>2233505.25</v>
      </c>
      <c r="AN126" s="42">
        <v>0.12309379606416347</v>
      </c>
      <c r="AP126" s="30"/>
      <c r="AR126" s="30"/>
    </row>
    <row r="127" spans="1:44" x14ac:dyDescent="0.2">
      <c r="A127" s="3" t="s">
        <v>1099</v>
      </c>
      <c r="B127" s="3" t="s">
        <v>333</v>
      </c>
      <c r="C127" s="3" t="s">
        <v>1663</v>
      </c>
      <c r="D127" s="27"/>
      <c r="E127" s="3" t="s">
        <v>643</v>
      </c>
      <c r="F127" s="133" t="s">
        <v>1060</v>
      </c>
      <c r="G127" s="3" t="s">
        <v>879</v>
      </c>
      <c r="H127" s="29">
        <v>175.55</v>
      </c>
      <c r="I127" s="30">
        <v>137.16300000000001</v>
      </c>
      <c r="J127" s="30">
        <v>137.31399999999999</v>
      </c>
      <c r="K127" s="31">
        <v>1</v>
      </c>
      <c r="L127" s="31">
        <v>1</v>
      </c>
      <c r="M127" s="4">
        <v>1</v>
      </c>
      <c r="N127" s="4">
        <v>1</v>
      </c>
      <c r="O127" s="4">
        <v>0</v>
      </c>
      <c r="P127" s="4">
        <v>0</v>
      </c>
      <c r="Q127" s="32">
        <v>137.16300000000001</v>
      </c>
      <c r="R127" s="32">
        <v>137.31399999999999</v>
      </c>
      <c r="S127" s="32">
        <v>24078.964650000002</v>
      </c>
      <c r="T127" s="32">
        <v>24105.472700000002</v>
      </c>
      <c r="U127" s="33">
        <v>1.2733514431718495E-3</v>
      </c>
      <c r="V127" s="34">
        <v>1.2794984478841647E-3</v>
      </c>
      <c r="W127" s="34">
        <v>6.1470047123151402E-6</v>
      </c>
      <c r="X127" s="35">
        <v>13.251282775074234</v>
      </c>
      <c r="Y127" s="36">
        <v>75484.379237107554</v>
      </c>
      <c r="Z127" s="37">
        <v>2.5171058418812084E-3</v>
      </c>
      <c r="AA127" s="38">
        <v>2.5275141279586253E-3</v>
      </c>
      <c r="AB127" s="38">
        <v>1.0408286077416909E-5</v>
      </c>
      <c r="AC127" s="39">
        <v>0.19913405972464199</v>
      </c>
      <c r="AD127" s="40">
        <v>1134.3438320970777</v>
      </c>
      <c r="AE127" s="37">
        <v>0</v>
      </c>
      <c r="AF127" s="38">
        <v>0</v>
      </c>
      <c r="AG127" s="38">
        <v>0</v>
      </c>
      <c r="AH127" s="39">
        <v>0</v>
      </c>
      <c r="AI127" s="40">
        <v>0</v>
      </c>
      <c r="AJ127" s="39">
        <v>13.450416834798876</v>
      </c>
      <c r="AK127" s="28">
        <v>76618.723069204629</v>
      </c>
      <c r="AL127" s="41">
        <f t="shared" si="1"/>
        <v>17.507845947921219</v>
      </c>
      <c r="AM127" s="28">
        <v>623512.4375</v>
      </c>
      <c r="AN127" s="42">
        <v>0.12288242938089688</v>
      </c>
      <c r="AP127" s="30"/>
      <c r="AR127" s="30"/>
    </row>
    <row r="128" spans="1:44" x14ac:dyDescent="0.2">
      <c r="A128" s="3" t="s">
        <v>1204</v>
      </c>
      <c r="B128" s="3" t="s">
        <v>439</v>
      </c>
      <c r="C128" s="3" t="s">
        <v>1664</v>
      </c>
      <c r="D128" s="27"/>
      <c r="E128" s="3" t="s">
        <v>1423</v>
      </c>
      <c r="F128" s="133" t="s">
        <v>1061</v>
      </c>
      <c r="G128" s="3" t="s">
        <v>879</v>
      </c>
      <c r="H128" s="29">
        <v>278.56</v>
      </c>
      <c r="I128" s="30">
        <v>119.04600000000001</v>
      </c>
      <c r="J128" s="30">
        <v>119.154</v>
      </c>
      <c r="K128" s="31">
        <v>1</v>
      </c>
      <c r="L128" s="31">
        <v>1</v>
      </c>
      <c r="M128" s="4">
        <v>1</v>
      </c>
      <c r="N128" s="4">
        <v>1</v>
      </c>
      <c r="O128" s="4">
        <v>0</v>
      </c>
      <c r="P128" s="4">
        <v>0</v>
      </c>
      <c r="Q128" s="32">
        <v>119.04600000000001</v>
      </c>
      <c r="R128" s="32">
        <v>119.154</v>
      </c>
      <c r="S128" s="32">
        <v>33161.453760000004</v>
      </c>
      <c r="T128" s="32">
        <v>33191.538240000002</v>
      </c>
      <c r="U128" s="33">
        <v>1.753654512008786E-3</v>
      </c>
      <c r="V128" s="34">
        <v>1.7617792519359263E-3</v>
      </c>
      <c r="W128" s="34">
        <v>8.1247399271403703E-6</v>
      </c>
      <c r="X128" s="35">
        <v>17.514746008373237</v>
      </c>
      <c r="Y128" s="36">
        <v>62876.026738847053</v>
      </c>
      <c r="Z128" s="37">
        <v>3.4665480928213238E-3</v>
      </c>
      <c r="AA128" s="38">
        <v>3.4802089498240357E-3</v>
      </c>
      <c r="AB128" s="38">
        <v>1.3660857002711826E-5</v>
      </c>
      <c r="AC128" s="39">
        <v>0.26136309994113222</v>
      </c>
      <c r="AD128" s="40">
        <v>938.26500553249639</v>
      </c>
      <c r="AE128" s="37">
        <v>0</v>
      </c>
      <c r="AF128" s="38">
        <v>0</v>
      </c>
      <c r="AG128" s="38">
        <v>0</v>
      </c>
      <c r="AH128" s="39">
        <v>0</v>
      </c>
      <c r="AI128" s="40">
        <v>0</v>
      </c>
      <c r="AJ128" s="39">
        <v>17.776109108314369</v>
      </c>
      <c r="AK128" s="28">
        <v>63814.291744379552</v>
      </c>
      <c r="AL128" s="41">
        <f t="shared" si="1"/>
        <v>14.583464831886076</v>
      </c>
      <c r="AM128" s="28">
        <v>521646.75</v>
      </c>
      <c r="AN128" s="42">
        <v>0.12233238632154721</v>
      </c>
      <c r="AP128" s="30"/>
      <c r="AR128" s="30"/>
    </row>
    <row r="129" spans="1:44" x14ac:dyDescent="0.2">
      <c r="A129" s="3" t="s">
        <v>1534</v>
      </c>
      <c r="B129" s="3" t="s">
        <v>1495</v>
      </c>
      <c r="C129" s="3" t="s">
        <v>1665</v>
      </c>
      <c r="D129" s="27"/>
      <c r="E129" s="3" t="s">
        <v>2083</v>
      </c>
      <c r="F129" s="133" t="s">
        <v>1063</v>
      </c>
      <c r="G129" s="3" t="s">
        <v>879</v>
      </c>
      <c r="H129" s="29">
        <v>35.979999999999997</v>
      </c>
      <c r="I129" s="30">
        <v>306.67899999999997</v>
      </c>
      <c r="J129" s="30">
        <v>307.108</v>
      </c>
      <c r="K129" s="31">
        <v>1</v>
      </c>
      <c r="L129" s="31">
        <v>1</v>
      </c>
      <c r="M129" s="4">
        <v>1</v>
      </c>
      <c r="N129" s="4">
        <v>1</v>
      </c>
      <c r="O129" s="4">
        <v>0</v>
      </c>
      <c r="P129" s="4">
        <v>0</v>
      </c>
      <c r="Q129" s="32">
        <v>306.67899999999997</v>
      </c>
      <c r="R129" s="32">
        <v>307.108</v>
      </c>
      <c r="S129" s="32">
        <v>11034.310419999998</v>
      </c>
      <c r="T129" s="32">
        <v>11049.74584</v>
      </c>
      <c r="U129" s="33">
        <v>5.835199022028206E-4</v>
      </c>
      <c r="V129" s="34">
        <v>5.8651132163006715E-4</v>
      </c>
      <c r="W129" s="34">
        <v>2.9914194272465545E-6</v>
      </c>
      <c r="X129" s="35">
        <v>6.44869275110171</v>
      </c>
      <c r="Y129" s="36">
        <v>179229.92637859116</v>
      </c>
      <c r="Z129" s="37">
        <v>1.1534768052958075E-3</v>
      </c>
      <c r="AA129" s="38">
        <v>1.1585912074212113E-3</v>
      </c>
      <c r="AB129" s="38">
        <v>5.1144021254037955E-6</v>
      </c>
      <c r="AC129" s="39">
        <v>9.7850083166502566E-2</v>
      </c>
      <c r="AD129" s="40">
        <v>2719.5687372568809</v>
      </c>
      <c r="AE129" s="37">
        <v>0</v>
      </c>
      <c r="AF129" s="38">
        <v>0</v>
      </c>
      <c r="AG129" s="38">
        <v>0</v>
      </c>
      <c r="AH129" s="39">
        <v>0</v>
      </c>
      <c r="AI129" s="40">
        <v>0</v>
      </c>
      <c r="AJ129" s="39">
        <v>6.5465428342682124</v>
      </c>
      <c r="AK129" s="28">
        <v>181949.49511584805</v>
      </c>
      <c r="AL129" s="41">
        <f t="shared" si="1"/>
        <v>41.570586815544118</v>
      </c>
      <c r="AM129" s="28">
        <v>1487707.125</v>
      </c>
      <c r="AN129" s="42">
        <v>0.12230195853625965</v>
      </c>
      <c r="AP129" s="30"/>
      <c r="AR129" s="30"/>
    </row>
    <row r="130" spans="1:44" x14ac:dyDescent="0.2">
      <c r="A130" s="3" t="s">
        <v>274</v>
      </c>
      <c r="B130" s="3" t="s">
        <v>553</v>
      </c>
      <c r="C130" s="3" t="s">
        <v>1666</v>
      </c>
      <c r="D130" s="27"/>
      <c r="E130" s="3" t="s">
        <v>116</v>
      </c>
      <c r="F130" s="133" t="s">
        <v>1061</v>
      </c>
      <c r="G130" s="3" t="s">
        <v>879</v>
      </c>
      <c r="H130" s="29">
        <v>68.95</v>
      </c>
      <c r="I130" s="30">
        <v>248.2</v>
      </c>
      <c r="J130" s="30">
        <v>248.55199999999999</v>
      </c>
      <c r="K130" s="31">
        <v>1</v>
      </c>
      <c r="L130" s="31">
        <v>1</v>
      </c>
      <c r="M130" s="4">
        <v>0.67</v>
      </c>
      <c r="N130" s="4">
        <v>0.67</v>
      </c>
      <c r="O130" s="4">
        <v>0.33</v>
      </c>
      <c r="P130" s="4">
        <v>0.33</v>
      </c>
      <c r="Q130" s="32">
        <v>248.2</v>
      </c>
      <c r="R130" s="32">
        <v>248.55199999999999</v>
      </c>
      <c r="S130" s="32">
        <v>17113.39</v>
      </c>
      <c r="T130" s="32">
        <v>17137.660400000001</v>
      </c>
      <c r="U130" s="33">
        <v>9.0499571600403906E-4</v>
      </c>
      <c r="V130" s="34">
        <v>9.0965276454279653E-4</v>
      </c>
      <c r="W130" s="34">
        <v>4.6570485387574653E-6</v>
      </c>
      <c r="X130" s="35">
        <v>10.03933947873597</v>
      </c>
      <c r="Y130" s="36">
        <v>145603.1831578821</v>
      </c>
      <c r="Z130" s="37">
        <v>1.1986006774619472E-3</v>
      </c>
      <c r="AA130" s="38">
        <v>1.203938422803683E-3</v>
      </c>
      <c r="AB130" s="38">
        <v>5.3377453417358198E-6</v>
      </c>
      <c r="AC130" s="39">
        <v>0.10212314417283423</v>
      </c>
      <c r="AD130" s="40">
        <v>1481.1188422456016</v>
      </c>
      <c r="AE130" s="37">
        <v>6.0440397395046498E-4</v>
      </c>
      <c r="AF130" s="38">
        <v>6.0794337980421E-4</v>
      </c>
      <c r="AG130" s="38">
        <v>3.5394058537450285E-6</v>
      </c>
      <c r="AH130" s="39">
        <v>4.960715266648958E-2</v>
      </c>
      <c r="AI130" s="40">
        <v>719.46559342261901</v>
      </c>
      <c r="AJ130" s="39">
        <v>10.191069775575293</v>
      </c>
      <c r="AK130" s="28">
        <v>147803.76759355032</v>
      </c>
      <c r="AL130" s="41">
        <f t="shared" si="1"/>
        <v>33.771200426087489</v>
      </c>
      <c r="AM130" s="28">
        <v>1218706.625</v>
      </c>
      <c r="AN130" s="42">
        <v>0.12127920252632607</v>
      </c>
      <c r="AP130" s="30"/>
      <c r="AR130" s="30"/>
    </row>
    <row r="131" spans="1:44" x14ac:dyDescent="0.2">
      <c r="A131" s="3" t="s">
        <v>760</v>
      </c>
      <c r="B131" s="3" t="s">
        <v>1035</v>
      </c>
      <c r="C131" s="3" t="s">
        <v>1667</v>
      </c>
      <c r="D131" s="27"/>
      <c r="E131" s="3" t="s">
        <v>959</v>
      </c>
      <c r="F131" s="133" t="s">
        <v>1062</v>
      </c>
      <c r="G131" s="3" t="s">
        <v>881</v>
      </c>
      <c r="H131" s="29">
        <v>41</v>
      </c>
      <c r="I131" s="30">
        <v>6156</v>
      </c>
      <c r="J131" s="30">
        <v>6152</v>
      </c>
      <c r="K131" s="31">
        <v>1</v>
      </c>
      <c r="L131" s="31">
        <v>1</v>
      </c>
      <c r="M131" s="4">
        <v>0</v>
      </c>
      <c r="N131" s="4">
        <v>0</v>
      </c>
      <c r="O131" s="4">
        <v>1</v>
      </c>
      <c r="P131" s="4">
        <v>1</v>
      </c>
      <c r="Q131" s="32">
        <v>6156</v>
      </c>
      <c r="R131" s="32">
        <v>6152</v>
      </c>
      <c r="S131" s="32">
        <v>252396</v>
      </c>
      <c r="T131" s="32">
        <v>252232</v>
      </c>
      <c r="U131" s="33">
        <v>1.3347285297451612E-2</v>
      </c>
      <c r="V131" s="34">
        <v>1.3388264836089216E-2</v>
      </c>
      <c r="W131" s="34">
        <v>4.0979538637603286E-5</v>
      </c>
      <c r="X131" s="35">
        <v>88.340822871183391</v>
      </c>
      <c r="Y131" s="36">
        <v>2154654.2163703269</v>
      </c>
      <c r="Z131" s="37">
        <v>0</v>
      </c>
      <c r="AA131" s="38">
        <v>0</v>
      </c>
      <c r="AB131" s="38">
        <v>0</v>
      </c>
      <c r="AC131" s="39">
        <v>0</v>
      </c>
      <c r="AD131" s="40">
        <v>0</v>
      </c>
      <c r="AE131" s="37">
        <v>2.7012189730009139E-2</v>
      </c>
      <c r="AF131" s="38">
        <v>2.7114265519523111E-2</v>
      </c>
      <c r="AG131" s="38">
        <v>1.0207578951397164E-4</v>
      </c>
      <c r="AH131" s="39">
        <v>1.4306608180054239</v>
      </c>
      <c r="AI131" s="40">
        <v>34894.166292815215</v>
      </c>
      <c r="AJ131" s="39">
        <v>89.771483689188813</v>
      </c>
      <c r="AK131" s="28">
        <v>2189548.3826631419</v>
      </c>
      <c r="AL131" s="41">
        <f t="shared" si="1"/>
        <v>499.75047119028392</v>
      </c>
      <c r="AM131" s="28">
        <v>18182084</v>
      </c>
      <c r="AN131" s="42">
        <v>0.12042340045635813</v>
      </c>
      <c r="AP131" s="30"/>
      <c r="AR131" s="30"/>
    </row>
    <row r="132" spans="1:44" x14ac:dyDescent="0.2">
      <c r="A132" s="3" t="s">
        <v>890</v>
      </c>
      <c r="B132" s="3" t="s">
        <v>976</v>
      </c>
      <c r="C132" s="3" t="s">
        <v>1668</v>
      </c>
      <c r="D132" s="27"/>
      <c r="E132" s="3" t="s">
        <v>778</v>
      </c>
      <c r="F132" s="133" t="s">
        <v>1058</v>
      </c>
      <c r="G132" s="3" t="s">
        <v>879</v>
      </c>
      <c r="H132" s="29">
        <v>65.180000000000007</v>
      </c>
      <c r="I132" s="30">
        <v>491.31299999999999</v>
      </c>
      <c r="J132" s="30">
        <v>491.71</v>
      </c>
      <c r="K132" s="31">
        <v>1</v>
      </c>
      <c r="L132" s="31">
        <v>1</v>
      </c>
      <c r="M132" s="4">
        <v>0</v>
      </c>
      <c r="N132" s="4">
        <v>0</v>
      </c>
      <c r="O132" s="4">
        <v>1</v>
      </c>
      <c r="P132" s="4">
        <v>1</v>
      </c>
      <c r="Q132" s="32">
        <v>491.31299999999999</v>
      </c>
      <c r="R132" s="32">
        <v>491.71</v>
      </c>
      <c r="S132" s="32">
        <v>32023.781340000001</v>
      </c>
      <c r="T132" s="32">
        <v>32049.657800000001</v>
      </c>
      <c r="U132" s="33">
        <v>1.6934917583804312E-3</v>
      </c>
      <c r="V132" s="34">
        <v>1.7011691876226351E-3</v>
      </c>
      <c r="W132" s="34">
        <v>7.6774292422038346E-6</v>
      </c>
      <c r="X132" s="35">
        <v>16.550464923224411</v>
      </c>
      <c r="Y132" s="36">
        <v>253919.37593164176</v>
      </c>
      <c r="Z132" s="37">
        <v>0</v>
      </c>
      <c r="AA132" s="38">
        <v>0</v>
      </c>
      <c r="AB132" s="38">
        <v>0</v>
      </c>
      <c r="AC132" s="39">
        <v>0</v>
      </c>
      <c r="AD132" s="40">
        <v>0</v>
      </c>
      <c r="AE132" s="37">
        <v>3.4272827518201806E-3</v>
      </c>
      <c r="AF132" s="38">
        <v>3.4452525111764365E-3</v>
      </c>
      <c r="AG132" s="38">
        <v>1.7969759356255884E-5</v>
      </c>
      <c r="AH132" s="39">
        <v>0.25185825887207847</v>
      </c>
      <c r="AI132" s="40">
        <v>3864.0420201300772</v>
      </c>
      <c r="AJ132" s="39">
        <v>16.80232318209649</v>
      </c>
      <c r="AK132" s="28">
        <v>257783.41795177184</v>
      </c>
      <c r="AL132" s="41">
        <f t="shared" si="1"/>
        <v>58.894056782784858</v>
      </c>
      <c r="AM132" s="28">
        <v>2162358</v>
      </c>
      <c r="AN132" s="42">
        <v>0.11921403299165625</v>
      </c>
      <c r="AP132" s="30"/>
      <c r="AR132" s="30"/>
    </row>
    <row r="133" spans="1:44" x14ac:dyDescent="0.2">
      <c r="A133" s="3" t="s">
        <v>1535</v>
      </c>
      <c r="B133" s="3" t="s">
        <v>1496</v>
      </c>
      <c r="C133" s="3" t="s">
        <v>1669</v>
      </c>
      <c r="D133" s="27"/>
      <c r="E133" s="3" t="s">
        <v>2084</v>
      </c>
      <c r="F133" s="133" t="s">
        <v>1068</v>
      </c>
      <c r="G133" s="3" t="s">
        <v>879</v>
      </c>
      <c r="H133" s="29">
        <v>63.83</v>
      </c>
      <c r="I133" s="30">
        <v>153.376</v>
      </c>
      <c r="J133" s="30">
        <v>153.90199999999999</v>
      </c>
      <c r="K133" s="31">
        <v>1</v>
      </c>
      <c r="L133" s="31">
        <v>1</v>
      </c>
      <c r="M133" s="4">
        <v>1</v>
      </c>
      <c r="N133" s="4">
        <v>1</v>
      </c>
      <c r="O133" s="4">
        <v>0</v>
      </c>
      <c r="P133" s="4">
        <v>0</v>
      </c>
      <c r="Q133" s="32">
        <v>153.376</v>
      </c>
      <c r="R133" s="32">
        <v>153.90199999999999</v>
      </c>
      <c r="S133" s="32">
        <v>9789.9900799999996</v>
      </c>
      <c r="T133" s="32">
        <v>9823.5646599999982</v>
      </c>
      <c r="U133" s="33">
        <v>5.1771735945490866E-4</v>
      </c>
      <c r="V133" s="34">
        <v>5.2142664413130251E-4</v>
      </c>
      <c r="W133" s="34">
        <v>3.7092846763938552E-6</v>
      </c>
      <c r="X133" s="35">
        <v>7.9962164404510974</v>
      </c>
      <c r="Y133" s="36">
        <v>125273.63998826724</v>
      </c>
      <c r="Z133" s="37">
        <v>1.0234011960446596E-3</v>
      </c>
      <c r="AA133" s="38">
        <v>1.030023296953022E-3</v>
      </c>
      <c r="AB133" s="38">
        <v>6.6221009083623598E-6</v>
      </c>
      <c r="AC133" s="39">
        <v>0.12669577180911834</v>
      </c>
      <c r="AD133" s="40">
        <v>1984.8938086968249</v>
      </c>
      <c r="AE133" s="37">
        <v>0</v>
      </c>
      <c r="AF133" s="38">
        <v>0</v>
      </c>
      <c r="AG133" s="38">
        <v>0</v>
      </c>
      <c r="AH133" s="39">
        <v>0</v>
      </c>
      <c r="AI133" s="40">
        <v>0</v>
      </c>
      <c r="AJ133" s="39">
        <v>8.122912212260216</v>
      </c>
      <c r="AK133" s="28">
        <v>127258.53379696407</v>
      </c>
      <c r="AL133" s="41">
        <f t="shared" si="1"/>
        <v>29.055966445197051</v>
      </c>
      <c r="AM133" s="28">
        <v>1104617.75</v>
      </c>
      <c r="AN133" s="42">
        <v>0.11520594685081248</v>
      </c>
      <c r="AP133" s="30"/>
      <c r="AR133" s="30"/>
    </row>
    <row r="134" spans="1:44" x14ac:dyDescent="0.2">
      <c r="A134" s="3" t="s">
        <v>1105</v>
      </c>
      <c r="B134" s="3" t="s">
        <v>339</v>
      </c>
      <c r="C134" s="3" t="s">
        <v>1670</v>
      </c>
      <c r="D134" s="27"/>
      <c r="E134" s="3" t="s">
        <v>1351</v>
      </c>
      <c r="F134" s="133" t="s">
        <v>1053</v>
      </c>
      <c r="G134" s="3" t="s">
        <v>879</v>
      </c>
      <c r="H134" s="29">
        <v>220.37</v>
      </c>
      <c r="I134" s="30">
        <v>73.319000000000003</v>
      </c>
      <c r="J134" s="30">
        <v>73.454999999999998</v>
      </c>
      <c r="K134" s="31">
        <v>1</v>
      </c>
      <c r="L134" s="31">
        <v>1</v>
      </c>
      <c r="M134" s="4">
        <v>1</v>
      </c>
      <c r="N134" s="4">
        <v>1</v>
      </c>
      <c r="O134" s="4">
        <v>0</v>
      </c>
      <c r="P134" s="4">
        <v>0</v>
      </c>
      <c r="Q134" s="32">
        <v>73.319000000000003</v>
      </c>
      <c r="R134" s="32">
        <v>73.454999999999998</v>
      </c>
      <c r="S134" s="32">
        <v>16157.30803</v>
      </c>
      <c r="T134" s="32">
        <v>16187.278350000001</v>
      </c>
      <c r="U134" s="33">
        <v>8.544358861282107E-4</v>
      </c>
      <c r="V134" s="34">
        <v>8.5920727554510644E-4</v>
      </c>
      <c r="W134" s="34">
        <v>4.7713894168957419E-6</v>
      </c>
      <c r="X134" s="35">
        <v>10.285827545667994</v>
      </c>
      <c r="Y134" s="36">
        <v>46675.262266497222</v>
      </c>
      <c r="Z134" s="37">
        <v>1.6890117587089509E-3</v>
      </c>
      <c r="AA134" s="38">
        <v>1.6972732803046747E-3</v>
      </c>
      <c r="AB134" s="38">
        <v>8.2615215957237195E-6</v>
      </c>
      <c r="AC134" s="39">
        <v>0.1580615984824616</v>
      </c>
      <c r="AD134" s="40">
        <v>717.25551791288103</v>
      </c>
      <c r="AE134" s="37">
        <v>0</v>
      </c>
      <c r="AF134" s="38">
        <v>0</v>
      </c>
      <c r="AG134" s="38">
        <v>0</v>
      </c>
      <c r="AH134" s="39">
        <v>0</v>
      </c>
      <c r="AI134" s="40">
        <v>0</v>
      </c>
      <c r="AJ134" s="39">
        <v>10.443889144150456</v>
      </c>
      <c r="AK134" s="28">
        <v>47392.517784410105</v>
      </c>
      <c r="AL134" s="41">
        <f t="shared" si="1"/>
        <v>10.825859728855429</v>
      </c>
      <c r="AM134" s="28">
        <v>412852</v>
      </c>
      <c r="AN134" s="42">
        <v>0.11479299551512431</v>
      </c>
      <c r="AP134" s="30"/>
      <c r="AR134" s="30"/>
    </row>
    <row r="135" spans="1:44" x14ac:dyDescent="0.2">
      <c r="A135" s="3" t="s">
        <v>1408</v>
      </c>
      <c r="B135" s="3" t="s">
        <v>1387</v>
      </c>
      <c r="C135" s="3" t="s">
        <v>1671</v>
      </c>
      <c r="D135" s="27"/>
      <c r="E135" s="3" t="s">
        <v>1419</v>
      </c>
      <c r="F135" s="133" t="s">
        <v>1068</v>
      </c>
      <c r="G135" s="3" t="s">
        <v>879</v>
      </c>
      <c r="H135" s="29">
        <v>72.099999999999994</v>
      </c>
      <c r="I135" s="30">
        <v>95.733999999999995</v>
      </c>
      <c r="J135" s="30">
        <v>95.897999999999996</v>
      </c>
      <c r="K135" s="31">
        <v>1</v>
      </c>
      <c r="L135" s="31">
        <v>1</v>
      </c>
      <c r="M135" s="4">
        <v>1</v>
      </c>
      <c r="N135" s="4">
        <v>1</v>
      </c>
      <c r="O135" s="4">
        <v>0</v>
      </c>
      <c r="P135" s="4">
        <v>0</v>
      </c>
      <c r="Q135" s="32">
        <v>95.733999999999995</v>
      </c>
      <c r="R135" s="32">
        <v>95.897999999999996</v>
      </c>
      <c r="S135" s="32">
        <v>6902.4213999999993</v>
      </c>
      <c r="T135" s="32">
        <v>6914.2457999999988</v>
      </c>
      <c r="U135" s="33">
        <v>3.6501603697774673E-4</v>
      </c>
      <c r="V135" s="34">
        <v>3.6700241806042667E-4</v>
      </c>
      <c r="W135" s="34">
        <v>1.9863810826799429E-6</v>
      </c>
      <c r="X135" s="35">
        <v>4.2821013904406735</v>
      </c>
      <c r="Y135" s="36">
        <v>59391.14272455858</v>
      </c>
      <c r="Z135" s="37">
        <v>7.2154785231041344E-4</v>
      </c>
      <c r="AA135" s="38">
        <v>7.2497453840341341E-4</v>
      </c>
      <c r="AB135" s="38">
        <v>3.4266860929999627E-6</v>
      </c>
      <c r="AC135" s="39">
        <v>6.5560257282090653E-2</v>
      </c>
      <c r="AD135" s="40">
        <v>909.29621750472484</v>
      </c>
      <c r="AE135" s="37">
        <v>0</v>
      </c>
      <c r="AF135" s="38">
        <v>0</v>
      </c>
      <c r="AG135" s="38">
        <v>0</v>
      </c>
      <c r="AH135" s="39">
        <v>0</v>
      </c>
      <c r="AI135" s="40">
        <v>0</v>
      </c>
      <c r="AJ135" s="39">
        <v>4.3476616477227639</v>
      </c>
      <c r="AK135" s="28">
        <v>60300.438942063302</v>
      </c>
      <c r="AL135" s="41">
        <f t="shared" si="1"/>
        <v>13.775180878501684</v>
      </c>
      <c r="AM135" s="28">
        <v>525941.5</v>
      </c>
      <c r="AN135" s="42">
        <v>0.11465236902215037</v>
      </c>
      <c r="AP135" s="30"/>
      <c r="AR135" s="30"/>
    </row>
    <row r="136" spans="1:44" x14ac:dyDescent="0.2">
      <c r="A136" s="3" t="s">
        <v>256</v>
      </c>
      <c r="B136" s="3" t="s">
        <v>535</v>
      </c>
      <c r="C136" s="3" t="s">
        <v>1672</v>
      </c>
      <c r="D136" s="27"/>
      <c r="E136" s="3" t="s">
        <v>99</v>
      </c>
      <c r="F136" s="133" t="s">
        <v>1063</v>
      </c>
      <c r="G136" s="3" t="s">
        <v>879</v>
      </c>
      <c r="H136" s="29">
        <v>8.68</v>
      </c>
      <c r="I136" s="30">
        <v>646.29</v>
      </c>
      <c r="J136" s="30">
        <v>650.42399999999998</v>
      </c>
      <c r="K136" s="31">
        <v>1</v>
      </c>
      <c r="L136" s="31">
        <v>1</v>
      </c>
      <c r="M136" s="4">
        <v>0</v>
      </c>
      <c r="N136" s="4">
        <v>0</v>
      </c>
      <c r="O136" s="4">
        <v>1</v>
      </c>
      <c r="P136" s="4">
        <v>1</v>
      </c>
      <c r="Q136" s="32">
        <v>646.29</v>
      </c>
      <c r="R136" s="32">
        <v>650.42399999999998</v>
      </c>
      <c r="S136" s="32">
        <v>5609.7971999999991</v>
      </c>
      <c r="T136" s="32">
        <v>5645.6803199999995</v>
      </c>
      <c r="U136" s="33">
        <v>2.966590741899444E-4</v>
      </c>
      <c r="V136" s="34">
        <v>2.996680171590318E-4</v>
      </c>
      <c r="W136" s="34">
        <v>3.008942969087399E-6</v>
      </c>
      <c r="X136" s="35">
        <v>6.486468776828298</v>
      </c>
      <c r="Y136" s="36">
        <v>747289.02958851366</v>
      </c>
      <c r="Z136" s="37">
        <v>0</v>
      </c>
      <c r="AA136" s="38">
        <v>0</v>
      </c>
      <c r="AB136" s="38">
        <v>0</v>
      </c>
      <c r="AC136" s="39">
        <v>0</v>
      </c>
      <c r="AD136" s="40">
        <v>0</v>
      </c>
      <c r="AE136" s="37">
        <v>6.0037760627456053E-4</v>
      </c>
      <c r="AF136" s="38">
        <v>6.068955375797924E-4</v>
      </c>
      <c r="AG136" s="38">
        <v>6.5179313052318721E-6</v>
      </c>
      <c r="AH136" s="39">
        <v>9.1353189402172935E-2</v>
      </c>
      <c r="AI136" s="40">
        <v>10524.560991033748</v>
      </c>
      <c r="AJ136" s="39">
        <v>6.5778219662304709</v>
      </c>
      <c r="AK136" s="28">
        <v>757813.59057954745</v>
      </c>
      <c r="AL136" s="41">
        <f t="shared" si="1"/>
        <v>173.32620789673959</v>
      </c>
      <c r="AM136" s="28">
        <v>6638488</v>
      </c>
      <c r="AN136" s="42">
        <v>0.1141545470263029</v>
      </c>
      <c r="AP136" s="30"/>
      <c r="AR136" s="30"/>
    </row>
    <row r="137" spans="1:44" x14ac:dyDescent="0.2">
      <c r="A137" s="3" t="s">
        <v>1140</v>
      </c>
      <c r="B137" s="3" t="s">
        <v>376</v>
      </c>
      <c r="C137" s="3" t="s">
        <v>1673</v>
      </c>
      <c r="D137" s="27"/>
      <c r="E137" s="3" t="s">
        <v>675</v>
      </c>
      <c r="F137" s="133" t="s">
        <v>1055</v>
      </c>
      <c r="G137" s="3" t="s">
        <v>879</v>
      </c>
      <c r="H137" s="29">
        <v>88.54</v>
      </c>
      <c r="I137" s="30">
        <v>155.102</v>
      </c>
      <c r="J137" s="30">
        <v>155.727</v>
      </c>
      <c r="K137" s="31">
        <v>1</v>
      </c>
      <c r="L137" s="31">
        <v>1</v>
      </c>
      <c r="M137" s="4">
        <v>1</v>
      </c>
      <c r="N137" s="4">
        <v>1</v>
      </c>
      <c r="O137" s="4">
        <v>0</v>
      </c>
      <c r="P137" s="4">
        <v>0</v>
      </c>
      <c r="Q137" s="32">
        <v>155.102</v>
      </c>
      <c r="R137" s="32">
        <v>155.727</v>
      </c>
      <c r="S137" s="32">
        <v>13732.731080000001</v>
      </c>
      <c r="T137" s="32">
        <v>13788.068580000001</v>
      </c>
      <c r="U137" s="33">
        <v>7.2621863911449E-4</v>
      </c>
      <c r="V137" s="34">
        <v>7.3185921582987325E-4</v>
      </c>
      <c r="W137" s="34">
        <v>5.640576715383247E-6</v>
      </c>
      <c r="X137" s="35">
        <v>12.159560723989054</v>
      </c>
      <c r="Y137" s="36">
        <v>137334.09446565455</v>
      </c>
      <c r="Z137" s="37">
        <v>1.4355574722126451E-3</v>
      </c>
      <c r="AA137" s="38">
        <v>1.4457106304002253E-3</v>
      </c>
      <c r="AB137" s="38">
        <v>1.0153158187580164E-5</v>
      </c>
      <c r="AC137" s="39">
        <v>0.19425288600648255</v>
      </c>
      <c r="AD137" s="40">
        <v>2193.9562458378423</v>
      </c>
      <c r="AE137" s="37">
        <v>0</v>
      </c>
      <c r="AF137" s="38">
        <v>0</v>
      </c>
      <c r="AG137" s="38">
        <v>0</v>
      </c>
      <c r="AH137" s="39">
        <v>0</v>
      </c>
      <c r="AI137" s="40">
        <v>0</v>
      </c>
      <c r="AJ137" s="39">
        <v>12.353813609995537</v>
      </c>
      <c r="AK137" s="28">
        <v>139528.0507114924</v>
      </c>
      <c r="AL137" s="41">
        <f t="shared" si="1"/>
        <v>31.853268101328478</v>
      </c>
      <c r="AM137" s="28">
        <v>1222521.75</v>
      </c>
      <c r="AN137" s="42">
        <v>0.11413134425746814</v>
      </c>
      <c r="AP137" s="30"/>
      <c r="AR137" s="30"/>
    </row>
    <row r="138" spans="1:44" x14ac:dyDescent="0.2">
      <c r="A138" s="3" t="s">
        <v>1130</v>
      </c>
      <c r="B138" s="3" t="s">
        <v>365</v>
      </c>
      <c r="C138" s="3" t="s">
        <v>1674</v>
      </c>
      <c r="D138" s="27"/>
      <c r="E138" s="3" t="s">
        <v>667</v>
      </c>
      <c r="F138" s="133" t="s">
        <v>1058</v>
      </c>
      <c r="G138" s="3" t="s">
        <v>879</v>
      </c>
      <c r="H138" s="29">
        <v>42.33</v>
      </c>
      <c r="I138" s="30">
        <v>279.15600000000001</v>
      </c>
      <c r="J138" s="30">
        <v>279.82900000000001</v>
      </c>
      <c r="K138" s="31">
        <v>1</v>
      </c>
      <c r="L138" s="31">
        <v>1</v>
      </c>
      <c r="M138" s="4">
        <v>0</v>
      </c>
      <c r="N138" s="4">
        <v>0</v>
      </c>
      <c r="O138" s="4">
        <v>1</v>
      </c>
      <c r="P138" s="4">
        <v>1</v>
      </c>
      <c r="Q138" s="32">
        <v>279.15600000000001</v>
      </c>
      <c r="R138" s="32">
        <v>279.82900000000001</v>
      </c>
      <c r="S138" s="32">
        <v>11816.673479999999</v>
      </c>
      <c r="T138" s="32">
        <v>11845.16157</v>
      </c>
      <c r="U138" s="33">
        <v>6.2489307360017734E-4</v>
      </c>
      <c r="V138" s="34">
        <v>6.2873132721235345E-4</v>
      </c>
      <c r="W138" s="34">
        <v>3.8382536121761134E-6</v>
      </c>
      <c r="X138" s="35">
        <v>8.2742386508175887</v>
      </c>
      <c r="Y138" s="36">
        <v>195469.84764511196</v>
      </c>
      <c r="Z138" s="37">
        <v>0</v>
      </c>
      <c r="AA138" s="38">
        <v>0</v>
      </c>
      <c r="AB138" s="38">
        <v>0</v>
      </c>
      <c r="AC138" s="39">
        <v>0</v>
      </c>
      <c r="AD138" s="40">
        <v>0</v>
      </c>
      <c r="AE138" s="37">
        <v>1.2646564367871412E-3</v>
      </c>
      <c r="AF138" s="38">
        <v>1.2733231942443119E-3</v>
      </c>
      <c r="AG138" s="38">
        <v>8.6667574571706093E-6</v>
      </c>
      <c r="AH138" s="39">
        <v>0.12147043262823032</v>
      </c>
      <c r="AI138" s="40">
        <v>2869.606251552807</v>
      </c>
      <c r="AJ138" s="39">
        <v>8.3957090834458192</v>
      </c>
      <c r="AK138" s="28">
        <v>198339.45389666478</v>
      </c>
      <c r="AL138" s="41">
        <f t="shared" si="1"/>
        <v>45.337273944910393</v>
      </c>
      <c r="AM138" s="28">
        <v>1752674.875</v>
      </c>
      <c r="AN138" s="42">
        <v>0.11316385983833127</v>
      </c>
      <c r="AP138" s="30"/>
      <c r="AR138" s="30"/>
    </row>
    <row r="139" spans="1:44" x14ac:dyDescent="0.2">
      <c r="A139" s="3" t="s">
        <v>231</v>
      </c>
      <c r="B139" s="3" t="s">
        <v>511</v>
      </c>
      <c r="C139" s="3" t="s">
        <v>1675</v>
      </c>
      <c r="D139" s="27"/>
      <c r="E139" s="3" t="s">
        <v>79</v>
      </c>
      <c r="F139" s="133" t="s">
        <v>1052</v>
      </c>
      <c r="G139" s="3" t="s">
        <v>879</v>
      </c>
      <c r="H139" s="29">
        <v>107.6</v>
      </c>
      <c r="I139" s="30">
        <v>266.06299999999999</v>
      </c>
      <c r="J139" s="30">
        <v>266.28199999999998</v>
      </c>
      <c r="K139" s="31">
        <v>1</v>
      </c>
      <c r="L139" s="31">
        <v>1</v>
      </c>
      <c r="M139" s="4">
        <v>0.61</v>
      </c>
      <c r="N139" s="4">
        <v>0.61</v>
      </c>
      <c r="O139" s="4">
        <v>0.39</v>
      </c>
      <c r="P139" s="4">
        <v>0.39</v>
      </c>
      <c r="Q139" s="32">
        <v>266.06299999999999</v>
      </c>
      <c r="R139" s="32">
        <v>266.28199999999998</v>
      </c>
      <c r="S139" s="32">
        <v>28628.378799999999</v>
      </c>
      <c r="T139" s="32">
        <v>28651.943199999998</v>
      </c>
      <c r="U139" s="33">
        <v>1.5139350047033845E-3</v>
      </c>
      <c r="V139" s="34">
        <v>1.5208213217600681E-3</v>
      </c>
      <c r="W139" s="34">
        <v>6.8863170566836433E-6</v>
      </c>
      <c r="X139" s="35">
        <v>14.845040612074545</v>
      </c>
      <c r="Y139" s="36">
        <v>137965.06145050694</v>
      </c>
      <c r="Z139" s="37">
        <v>1.8255353976713265E-3</v>
      </c>
      <c r="AA139" s="38">
        <v>1.8325754155899838E-3</v>
      </c>
      <c r="AB139" s="38">
        <v>7.0400179186572674E-6</v>
      </c>
      <c r="AC139" s="39">
        <v>0.13469146968569548</v>
      </c>
      <c r="AD139" s="40">
        <v>1251.779458045497</v>
      </c>
      <c r="AE139" s="37">
        <v>1.1949196022329467E-3</v>
      </c>
      <c r="AF139" s="38">
        <v>1.2012028381580724E-3</v>
      </c>
      <c r="AG139" s="38">
        <v>6.2832359251257294E-6</v>
      </c>
      <c r="AH139" s="39">
        <v>8.8063775858731375E-2</v>
      </c>
      <c r="AI139" s="40">
        <v>818.43657861274517</v>
      </c>
      <c r="AJ139" s="39">
        <v>15.067795857618972</v>
      </c>
      <c r="AK139" s="28">
        <v>140035.27748716518</v>
      </c>
      <c r="AL139" s="41">
        <f t="shared" si="1"/>
        <v>31.999614575667486</v>
      </c>
      <c r="AM139" s="28">
        <v>1240302.5</v>
      </c>
      <c r="AN139" s="42">
        <v>0.11290413224770987</v>
      </c>
      <c r="AP139" s="30"/>
      <c r="AR139" s="30"/>
    </row>
    <row r="140" spans="1:44" x14ac:dyDescent="0.2">
      <c r="A140" s="3" t="s">
        <v>745</v>
      </c>
      <c r="B140" s="3" t="s">
        <v>171</v>
      </c>
      <c r="C140" s="3" t="s">
        <v>1676</v>
      </c>
      <c r="D140" s="27"/>
      <c r="E140" s="3" t="s">
        <v>615</v>
      </c>
      <c r="F140" s="133" t="s">
        <v>1053</v>
      </c>
      <c r="G140" s="3" t="s">
        <v>879</v>
      </c>
      <c r="H140" s="29">
        <v>121.19</v>
      </c>
      <c r="I140" s="30">
        <v>89.76</v>
      </c>
      <c r="J140" s="30">
        <v>90.096999999999994</v>
      </c>
      <c r="K140" s="31">
        <v>1</v>
      </c>
      <c r="L140" s="31">
        <v>1</v>
      </c>
      <c r="M140" s="4">
        <v>0.62</v>
      </c>
      <c r="N140" s="4">
        <v>0.62</v>
      </c>
      <c r="O140" s="4">
        <v>0.38</v>
      </c>
      <c r="P140" s="4">
        <v>0.38</v>
      </c>
      <c r="Q140" s="32">
        <v>89.76</v>
      </c>
      <c r="R140" s="32">
        <v>90.096999999999994</v>
      </c>
      <c r="S140" s="32">
        <v>10878.0144</v>
      </c>
      <c r="T140" s="32">
        <v>10918.85543</v>
      </c>
      <c r="U140" s="33">
        <v>5.7525460651748411E-4</v>
      </c>
      <c r="V140" s="34">
        <v>5.79563767499012E-4</v>
      </c>
      <c r="W140" s="34">
        <v>4.3091609815278879E-6</v>
      </c>
      <c r="X140" s="35">
        <v>9.2893878176378095</v>
      </c>
      <c r="Y140" s="36">
        <v>76651.438383016823</v>
      </c>
      <c r="Z140" s="37">
        <v>7.0502576316008262E-4</v>
      </c>
      <c r="AA140" s="38">
        <v>7.0981756949685967E-4</v>
      </c>
      <c r="AB140" s="38">
        <v>4.7918063367770542E-6</v>
      </c>
      <c r="AC140" s="39">
        <v>9.1678095909282761E-2</v>
      </c>
      <c r="AD140" s="40">
        <v>756.4823492803265</v>
      </c>
      <c r="AE140" s="37">
        <v>4.4239534606831002E-4</v>
      </c>
      <c r="AF140" s="38">
        <v>4.4602414924893168E-4</v>
      </c>
      <c r="AG140" s="38">
        <v>3.6288031806216612E-6</v>
      </c>
      <c r="AH140" s="39">
        <v>5.0860116306602456E-2</v>
      </c>
      <c r="AI140" s="40">
        <v>419.67254976980325</v>
      </c>
      <c r="AJ140" s="39">
        <v>9.4319260298536935</v>
      </c>
      <c r="AK140" s="28">
        <v>77827.593282066955</v>
      </c>
      <c r="AL140" s="41">
        <f t="shared" si="1"/>
        <v>17.778533631190228</v>
      </c>
      <c r="AM140" s="28">
        <v>702049.9375</v>
      </c>
      <c r="AN140" s="42">
        <v>0.11085763152292419</v>
      </c>
      <c r="AP140" s="30"/>
      <c r="AR140" s="30"/>
    </row>
    <row r="141" spans="1:44" x14ac:dyDescent="0.2">
      <c r="A141" s="3" t="s">
        <v>290</v>
      </c>
      <c r="B141" s="3" t="s">
        <v>1321</v>
      </c>
      <c r="C141" s="3" t="s">
        <v>1677</v>
      </c>
      <c r="D141" s="27"/>
      <c r="E141" s="3" t="s">
        <v>132</v>
      </c>
      <c r="F141" s="133" t="s">
        <v>1051</v>
      </c>
      <c r="G141" s="3" t="s">
        <v>879</v>
      </c>
      <c r="H141" s="29">
        <v>47.08</v>
      </c>
      <c r="I141" s="30">
        <v>281.43700000000001</v>
      </c>
      <c r="J141" s="30">
        <v>284.26499999999999</v>
      </c>
      <c r="K141" s="31">
        <v>1</v>
      </c>
      <c r="L141" s="31">
        <v>1</v>
      </c>
      <c r="M141" s="4">
        <v>0</v>
      </c>
      <c r="N141" s="4">
        <v>0</v>
      </c>
      <c r="O141" s="4">
        <v>1</v>
      </c>
      <c r="P141" s="4">
        <v>1</v>
      </c>
      <c r="Q141" s="32">
        <v>281.43700000000001</v>
      </c>
      <c r="R141" s="32">
        <v>284.26499999999999</v>
      </c>
      <c r="S141" s="32">
        <v>13250.053959999999</v>
      </c>
      <c r="T141" s="32">
        <v>13383.196199999998</v>
      </c>
      <c r="U141" s="33">
        <v>7.0069355461555851E-4</v>
      </c>
      <c r="V141" s="34">
        <v>7.1036892653962547E-4</v>
      </c>
      <c r="W141" s="34">
        <v>9.6753719240669613E-6</v>
      </c>
      <c r="X141" s="35">
        <v>20.857490000448909</v>
      </c>
      <c r="Y141" s="36">
        <v>443022.30247342627</v>
      </c>
      <c r="Z141" s="37">
        <v>0</v>
      </c>
      <c r="AA141" s="38">
        <v>0</v>
      </c>
      <c r="AB141" s="38">
        <v>0</v>
      </c>
      <c r="AC141" s="39">
        <v>0</v>
      </c>
      <c r="AD141" s="40">
        <v>0</v>
      </c>
      <c r="AE141" s="37">
        <v>1.4180611875797512E-3</v>
      </c>
      <c r="AF141" s="38">
        <v>1.4386578041908746E-3</v>
      </c>
      <c r="AG141" s="38">
        <v>2.0596616611123384E-5</v>
      </c>
      <c r="AH141" s="39">
        <v>0.28867542939729712</v>
      </c>
      <c r="AI141" s="40">
        <v>6131.5936575466685</v>
      </c>
      <c r="AJ141" s="39">
        <v>21.146165429846207</v>
      </c>
      <c r="AK141" s="28">
        <v>449153.89613097295</v>
      </c>
      <c r="AL141" s="41">
        <f t="shared" si="1"/>
        <v>102.7545871290034</v>
      </c>
      <c r="AM141" s="28">
        <v>4081521.5</v>
      </c>
      <c r="AN141" s="42">
        <v>0.11004570137165097</v>
      </c>
      <c r="AP141" s="30"/>
      <c r="AR141" s="30"/>
    </row>
    <row r="142" spans="1:44" x14ac:dyDescent="0.2">
      <c r="A142" s="3" t="s">
        <v>1228</v>
      </c>
      <c r="B142" s="3" t="s">
        <v>463</v>
      </c>
      <c r="C142" s="3" t="s">
        <v>1678</v>
      </c>
      <c r="D142" s="27"/>
      <c r="E142" s="3" t="s">
        <v>36</v>
      </c>
      <c r="F142" s="133" t="s">
        <v>1068</v>
      </c>
      <c r="G142" s="3" t="s">
        <v>879</v>
      </c>
      <c r="H142" s="29">
        <v>149.13</v>
      </c>
      <c r="I142" s="30">
        <v>76.953000000000003</v>
      </c>
      <c r="J142" s="30">
        <v>77.239999999999995</v>
      </c>
      <c r="K142" s="31">
        <v>1</v>
      </c>
      <c r="L142" s="31">
        <v>1</v>
      </c>
      <c r="M142" s="4">
        <v>0</v>
      </c>
      <c r="N142" s="4">
        <v>0</v>
      </c>
      <c r="O142" s="4">
        <v>1</v>
      </c>
      <c r="P142" s="4">
        <v>1</v>
      </c>
      <c r="Q142" s="32">
        <v>76.953000000000003</v>
      </c>
      <c r="R142" s="32">
        <v>77.239999999999995</v>
      </c>
      <c r="S142" s="32">
        <v>11476.000889999999</v>
      </c>
      <c r="T142" s="32">
        <v>11518.801199999998</v>
      </c>
      <c r="U142" s="33">
        <v>6.0687751768109875E-4</v>
      </c>
      <c r="V142" s="34">
        <v>6.1140839013234735E-4</v>
      </c>
      <c r="W142" s="34">
        <v>4.530872451248601E-6</v>
      </c>
      <c r="X142" s="35">
        <v>9.7673378953171817</v>
      </c>
      <c r="Y142" s="36">
        <v>65495.459634662257</v>
      </c>
      <c r="Z142" s="37">
        <v>0</v>
      </c>
      <c r="AA142" s="38">
        <v>0</v>
      </c>
      <c r="AB142" s="38">
        <v>0</v>
      </c>
      <c r="AC142" s="39">
        <v>0</v>
      </c>
      <c r="AD142" s="40">
        <v>0</v>
      </c>
      <c r="AE142" s="37">
        <v>1.2281966171509601E-3</v>
      </c>
      <c r="AF142" s="38">
        <v>1.2382403271726085E-3</v>
      </c>
      <c r="AG142" s="38">
        <v>1.0043710021648408E-5</v>
      </c>
      <c r="AH142" s="39">
        <v>0.14076934857715703</v>
      </c>
      <c r="AI142" s="40">
        <v>943.93715937207162</v>
      </c>
      <c r="AJ142" s="39">
        <v>9.9081072438943387</v>
      </c>
      <c r="AK142" s="28">
        <v>66439.396794034328</v>
      </c>
      <c r="AL142" s="41">
        <f t="shared" si="1"/>
        <v>15.19101606399987</v>
      </c>
      <c r="AM142" s="28">
        <v>607057.25</v>
      </c>
      <c r="AN142" s="42">
        <v>0.10944502646831798</v>
      </c>
      <c r="AP142" s="30"/>
      <c r="AR142" s="30"/>
    </row>
    <row r="143" spans="1:44" x14ac:dyDescent="0.2">
      <c r="A143" s="3" t="s">
        <v>1197</v>
      </c>
      <c r="B143" s="3" t="s">
        <v>432</v>
      </c>
      <c r="C143" s="3" t="s">
        <v>1679</v>
      </c>
      <c r="D143" s="27"/>
      <c r="E143" s="3" t="s">
        <v>8</v>
      </c>
      <c r="F143" s="133" t="s">
        <v>1065</v>
      </c>
      <c r="G143" s="3" t="s">
        <v>879</v>
      </c>
      <c r="H143" s="29">
        <v>78.73</v>
      </c>
      <c r="I143" s="30">
        <v>168.55</v>
      </c>
      <c r="J143" s="30">
        <v>169.55</v>
      </c>
      <c r="K143" s="31">
        <v>1</v>
      </c>
      <c r="L143" s="31">
        <v>1</v>
      </c>
      <c r="M143" s="4">
        <v>0.48</v>
      </c>
      <c r="N143" s="4">
        <v>0.48</v>
      </c>
      <c r="O143" s="4">
        <v>0.52</v>
      </c>
      <c r="P143" s="4">
        <v>0.52</v>
      </c>
      <c r="Q143" s="32">
        <v>168.55</v>
      </c>
      <c r="R143" s="32">
        <v>169.55</v>
      </c>
      <c r="S143" s="32">
        <v>13269.941500000001</v>
      </c>
      <c r="T143" s="32">
        <v>13348.671500000002</v>
      </c>
      <c r="U143" s="33">
        <v>7.0174525381144315E-4</v>
      </c>
      <c r="V143" s="34">
        <v>7.0853638416995589E-4</v>
      </c>
      <c r="W143" s="34">
        <v>6.7911303585127449E-6</v>
      </c>
      <c r="X143" s="35">
        <v>14.639843786478952</v>
      </c>
      <c r="Y143" s="36">
        <v>185950.0036387521</v>
      </c>
      <c r="Z143" s="37">
        <v>6.6584618247340238E-4</v>
      </c>
      <c r="AA143" s="38">
        <v>6.7182664236863337E-4</v>
      </c>
      <c r="AB143" s="38">
        <v>5.9804598952309948E-6</v>
      </c>
      <c r="AC143" s="39">
        <v>0.11441972761891184</v>
      </c>
      <c r="AD143" s="40">
        <v>1453.3180187846035</v>
      </c>
      <c r="AE143" s="37">
        <v>7.3849859863921565E-4</v>
      </c>
      <c r="AF143" s="38">
        <v>7.461721754560217E-4</v>
      </c>
      <c r="AG143" s="38">
        <v>7.6735768168060495E-6</v>
      </c>
      <c r="AH143" s="39">
        <v>0.10755033821469041</v>
      </c>
      <c r="AI143" s="40">
        <v>1366.0655177783615</v>
      </c>
      <c r="AJ143" s="39">
        <v>14.861813852312554</v>
      </c>
      <c r="AK143" s="28">
        <v>188769.38717531506</v>
      </c>
      <c r="AL143" s="41">
        <f t="shared" si="1"/>
        <v>43.129241448702807</v>
      </c>
      <c r="AM143" s="28">
        <v>1737385.375</v>
      </c>
      <c r="AN143" s="42">
        <v>0.10865141947871816</v>
      </c>
      <c r="AP143" s="30"/>
      <c r="AR143" s="30"/>
    </row>
    <row r="144" spans="1:44" x14ac:dyDescent="0.2">
      <c r="A144" s="3" t="s">
        <v>1536</v>
      </c>
      <c r="B144" s="3" t="s">
        <v>1497</v>
      </c>
      <c r="C144" s="3" t="s">
        <v>1680</v>
      </c>
      <c r="D144" s="27"/>
      <c r="E144" s="3" t="s">
        <v>2085</v>
      </c>
      <c r="F144" s="133" t="s">
        <v>1060</v>
      </c>
      <c r="G144" s="3" t="s">
        <v>879</v>
      </c>
      <c r="H144" s="29">
        <v>80.58</v>
      </c>
      <c r="I144" s="30">
        <v>125.21</v>
      </c>
      <c r="J144" s="30">
        <v>125.789</v>
      </c>
      <c r="K144" s="31">
        <v>1</v>
      </c>
      <c r="L144" s="31">
        <v>1</v>
      </c>
      <c r="M144" s="4">
        <v>1</v>
      </c>
      <c r="N144" s="4">
        <v>1</v>
      </c>
      <c r="O144" s="4">
        <v>0</v>
      </c>
      <c r="P144" s="4">
        <v>0</v>
      </c>
      <c r="Q144" s="32">
        <v>125.21</v>
      </c>
      <c r="R144" s="32">
        <v>125.789</v>
      </c>
      <c r="S144" s="32">
        <v>10089.4218</v>
      </c>
      <c r="T144" s="32">
        <v>10136.07762</v>
      </c>
      <c r="U144" s="33">
        <v>5.3355200261069027E-4</v>
      </c>
      <c r="V144" s="34">
        <v>5.3801457220224583E-4</v>
      </c>
      <c r="W144" s="34">
        <v>4.462569591555561E-6</v>
      </c>
      <c r="X144" s="35">
        <v>9.6200953681843515</v>
      </c>
      <c r="Y144" s="36">
        <v>119385.64616758937</v>
      </c>
      <c r="Z144" s="37">
        <v>1.0547024310691704E-3</v>
      </c>
      <c r="AA144" s="38">
        <v>1.0627909979394527E-3</v>
      </c>
      <c r="AB144" s="38">
        <v>8.0885668702823307E-6</v>
      </c>
      <c r="AC144" s="39">
        <v>0.15475258330267783</v>
      </c>
      <c r="AD144" s="40">
        <v>1920.4837838505562</v>
      </c>
      <c r="AE144" s="37">
        <v>0</v>
      </c>
      <c r="AF144" s="38">
        <v>0</v>
      </c>
      <c r="AG144" s="38">
        <v>0</v>
      </c>
      <c r="AH144" s="39">
        <v>0</v>
      </c>
      <c r="AI144" s="40">
        <v>0</v>
      </c>
      <c r="AJ144" s="39">
        <v>9.774847951487029</v>
      </c>
      <c r="AK144" s="28">
        <v>121306.12995143993</v>
      </c>
      <c r="AL144" s="41">
        <f t="shared" si="1"/>
        <v>27.690305234273772</v>
      </c>
      <c r="AM144" s="28">
        <v>1120279.625</v>
      </c>
      <c r="AN144" s="42">
        <v>0.10828201035204932</v>
      </c>
      <c r="AP144" s="30"/>
      <c r="AR144" s="30"/>
    </row>
    <row r="145" spans="1:44" x14ac:dyDescent="0.2">
      <c r="A145" s="3" t="s">
        <v>915</v>
      </c>
      <c r="B145" s="3" t="s">
        <v>997</v>
      </c>
      <c r="C145" s="3" t="s">
        <v>1681</v>
      </c>
      <c r="D145" s="27"/>
      <c r="E145" s="3" t="s">
        <v>801</v>
      </c>
      <c r="F145" s="133" t="s">
        <v>1051</v>
      </c>
      <c r="G145" s="3" t="s">
        <v>879</v>
      </c>
      <c r="H145" s="29">
        <v>28.67</v>
      </c>
      <c r="I145" s="30">
        <v>1953.1969999999999</v>
      </c>
      <c r="J145" s="30">
        <v>1956.8420000000001</v>
      </c>
      <c r="K145" s="31">
        <v>1</v>
      </c>
      <c r="L145" s="31">
        <v>1</v>
      </c>
      <c r="M145" s="4">
        <v>0</v>
      </c>
      <c r="N145" s="4">
        <v>0</v>
      </c>
      <c r="O145" s="4">
        <v>1</v>
      </c>
      <c r="P145" s="4">
        <v>1</v>
      </c>
      <c r="Q145" s="32">
        <v>1953.1969999999999</v>
      </c>
      <c r="R145" s="32">
        <v>1956.8420000000001</v>
      </c>
      <c r="S145" s="32">
        <v>55998.15799</v>
      </c>
      <c r="T145" s="32">
        <v>56102.660140000007</v>
      </c>
      <c r="U145" s="33">
        <v>2.961312345775288E-3</v>
      </c>
      <c r="V145" s="34">
        <v>2.9778825524256485E-3</v>
      </c>
      <c r="W145" s="34">
        <v>1.6570206650360492E-5</v>
      </c>
      <c r="X145" s="35">
        <v>35.720892408856415</v>
      </c>
      <c r="Y145" s="36">
        <v>1245932.7662663555</v>
      </c>
      <c r="Z145" s="37">
        <v>0</v>
      </c>
      <c r="AA145" s="38">
        <v>0</v>
      </c>
      <c r="AB145" s="38">
        <v>0</v>
      </c>
      <c r="AC145" s="39">
        <v>0</v>
      </c>
      <c r="AD145" s="40">
        <v>0</v>
      </c>
      <c r="AE145" s="37">
        <v>5.9930936629618023E-3</v>
      </c>
      <c r="AF145" s="38">
        <v>6.0308859438434692E-3</v>
      </c>
      <c r="AG145" s="38">
        <v>3.7792280881666918E-5</v>
      </c>
      <c r="AH145" s="39">
        <v>0.52968422520068559</v>
      </c>
      <c r="AI145" s="40">
        <v>18475.208412999149</v>
      </c>
      <c r="AJ145" s="39">
        <v>36.250576634057097</v>
      </c>
      <c r="AK145" s="28">
        <v>1264407.9746793546</v>
      </c>
      <c r="AL145" s="41">
        <f t="shared" si="1"/>
        <v>288.9816297586413</v>
      </c>
      <c r="AM145" s="28">
        <v>11712978</v>
      </c>
      <c r="AN145" s="42">
        <v>0.1079493169610115</v>
      </c>
      <c r="AP145" s="30"/>
      <c r="AR145" s="30"/>
    </row>
    <row r="146" spans="1:44" x14ac:dyDescent="0.2">
      <c r="A146" s="3" t="s">
        <v>1270</v>
      </c>
      <c r="B146" s="3" t="s">
        <v>1253</v>
      </c>
      <c r="C146" s="3" t="s">
        <v>1682</v>
      </c>
      <c r="D146" s="27"/>
      <c r="E146" s="3" t="s">
        <v>1261</v>
      </c>
      <c r="F146" s="133" t="s">
        <v>1068</v>
      </c>
      <c r="G146" s="3" t="s">
        <v>879</v>
      </c>
      <c r="H146" s="29">
        <v>68.64</v>
      </c>
      <c r="I146" s="30">
        <v>257.464</v>
      </c>
      <c r="J146" s="30">
        <v>257.99799999999999</v>
      </c>
      <c r="K146" s="31">
        <v>1</v>
      </c>
      <c r="L146" s="31">
        <v>1</v>
      </c>
      <c r="M146" s="4">
        <v>0</v>
      </c>
      <c r="N146" s="4">
        <v>0</v>
      </c>
      <c r="O146" s="4">
        <v>1</v>
      </c>
      <c r="P146" s="4">
        <v>1</v>
      </c>
      <c r="Q146" s="32">
        <v>257.464</v>
      </c>
      <c r="R146" s="32">
        <v>257.99799999999999</v>
      </c>
      <c r="S146" s="32">
        <v>17672.328959999999</v>
      </c>
      <c r="T146" s="32">
        <v>17708.98272</v>
      </c>
      <c r="U146" s="33">
        <v>9.3455370330566378E-4</v>
      </c>
      <c r="V146" s="34">
        <v>9.3997807824973661E-4</v>
      </c>
      <c r="W146" s="34">
        <v>5.4243749440728269E-6</v>
      </c>
      <c r="X146" s="35">
        <v>11.693488068738514</v>
      </c>
      <c r="Y146" s="36">
        <v>170359.67466110887</v>
      </c>
      <c r="Z146" s="37">
        <v>0</v>
      </c>
      <c r="AA146" s="38">
        <v>0</v>
      </c>
      <c r="AB146" s="38">
        <v>0</v>
      </c>
      <c r="AC146" s="39">
        <v>0</v>
      </c>
      <c r="AD146" s="40">
        <v>0</v>
      </c>
      <c r="AE146" s="37">
        <v>1.8913465460572078E-3</v>
      </c>
      <c r="AF146" s="38">
        <v>1.9036682877300525E-3</v>
      </c>
      <c r="AG146" s="38">
        <v>1.2321741672844701E-5</v>
      </c>
      <c r="AH146" s="39">
        <v>0.17269749374322155</v>
      </c>
      <c r="AI146" s="40">
        <v>2515.9891279606868</v>
      </c>
      <c r="AJ146" s="39">
        <v>11.866185562481736</v>
      </c>
      <c r="AK146" s="28">
        <v>172875.66378906957</v>
      </c>
      <c r="AL146" s="41">
        <f t="shared" si="1"/>
        <v>39.513220746451239</v>
      </c>
      <c r="AM146" s="28">
        <v>1609423.75</v>
      </c>
      <c r="AN146" s="42">
        <v>0.10741463445476654</v>
      </c>
      <c r="AP146" s="30"/>
      <c r="AR146" s="30"/>
    </row>
    <row r="147" spans="1:44" x14ac:dyDescent="0.2">
      <c r="A147" s="3" t="s">
        <v>1303</v>
      </c>
      <c r="B147" s="3" t="s">
        <v>1295</v>
      </c>
      <c r="C147" s="3" t="s">
        <v>1683</v>
      </c>
      <c r="D147" s="27"/>
      <c r="E147" s="3" t="s">
        <v>1299</v>
      </c>
      <c r="F147" s="133" t="s">
        <v>1068</v>
      </c>
      <c r="G147" s="3" t="s">
        <v>879</v>
      </c>
      <c r="H147" s="29">
        <v>50.98</v>
      </c>
      <c r="I147" s="30">
        <v>178.89699999999999</v>
      </c>
      <c r="J147" s="30">
        <v>179.18199999999999</v>
      </c>
      <c r="K147" s="31">
        <v>1</v>
      </c>
      <c r="L147" s="31">
        <v>1</v>
      </c>
      <c r="M147" s="4">
        <v>0.41</v>
      </c>
      <c r="N147" s="4">
        <v>0.41</v>
      </c>
      <c r="O147" s="4">
        <v>0.59</v>
      </c>
      <c r="P147" s="4">
        <v>0.59</v>
      </c>
      <c r="Q147" s="32">
        <v>178.89699999999999</v>
      </c>
      <c r="R147" s="32">
        <v>179.18199999999999</v>
      </c>
      <c r="S147" s="32">
        <v>9120.1690599999984</v>
      </c>
      <c r="T147" s="32">
        <v>9134.6983599999985</v>
      </c>
      <c r="U147" s="33">
        <v>4.8229567189975701E-4</v>
      </c>
      <c r="V147" s="34">
        <v>4.8486219370052103E-4</v>
      </c>
      <c r="W147" s="34">
        <v>2.5665218007640172E-6</v>
      </c>
      <c r="X147" s="35">
        <v>5.5327281695718238</v>
      </c>
      <c r="Y147" s="36">
        <v>108527.4258448769</v>
      </c>
      <c r="Z147" s="37">
        <v>3.9088626828258583E-4</v>
      </c>
      <c r="AA147" s="38">
        <v>3.9269557470290119E-4</v>
      </c>
      <c r="AB147" s="38">
        <v>1.8093064203153594E-6</v>
      </c>
      <c r="AC147" s="39">
        <v>3.4616125083744197E-2</v>
      </c>
      <c r="AD147" s="40">
        <v>679.01383059521777</v>
      </c>
      <c r="AE147" s="37">
        <v>5.7588030254402854E-4</v>
      </c>
      <c r="AF147" s="38">
        <v>5.7935383177605321E-4</v>
      </c>
      <c r="AG147" s="38">
        <v>3.4735292320246716E-6</v>
      </c>
      <c r="AH147" s="39">
        <v>4.8683847522668189E-2</v>
      </c>
      <c r="AI147" s="40">
        <v>954.95973955802651</v>
      </c>
      <c r="AJ147" s="39">
        <v>5.6160281421782363</v>
      </c>
      <c r="AK147" s="28">
        <v>110161.39941503013</v>
      </c>
      <c r="AL147" s="41">
        <f t="shared" si="1"/>
        <v>25.171849752491344</v>
      </c>
      <c r="AM147" s="28">
        <v>1039269.5</v>
      </c>
      <c r="AN147" s="42">
        <v>0.10599887653301683</v>
      </c>
      <c r="AP147" s="30"/>
      <c r="AR147" s="30"/>
    </row>
    <row r="148" spans="1:44" x14ac:dyDescent="0.2">
      <c r="A148" s="3" t="s">
        <v>246</v>
      </c>
      <c r="B148" s="3" t="s">
        <v>527</v>
      </c>
      <c r="C148" s="3" t="s">
        <v>1684</v>
      </c>
      <c r="D148" s="27"/>
      <c r="E148" s="3" t="s">
        <v>93</v>
      </c>
      <c r="F148" s="133" t="s">
        <v>1065</v>
      </c>
      <c r="G148" s="3" t="s">
        <v>879</v>
      </c>
      <c r="H148" s="29">
        <v>56.8</v>
      </c>
      <c r="I148" s="30">
        <v>1464.9</v>
      </c>
      <c r="J148" s="30">
        <v>1466.6</v>
      </c>
      <c r="K148" s="31">
        <v>1</v>
      </c>
      <c r="L148" s="31">
        <v>1</v>
      </c>
      <c r="M148" s="4">
        <v>1</v>
      </c>
      <c r="N148" s="4">
        <v>1</v>
      </c>
      <c r="O148" s="4">
        <v>0</v>
      </c>
      <c r="P148" s="4">
        <v>0</v>
      </c>
      <c r="Q148" s="32">
        <v>1464.9</v>
      </c>
      <c r="R148" s="32">
        <v>1466.6</v>
      </c>
      <c r="S148" s="32">
        <v>83206.320000000007</v>
      </c>
      <c r="T148" s="32">
        <v>83302.87999999999</v>
      </c>
      <c r="U148" s="33">
        <v>4.4001429958915915E-3</v>
      </c>
      <c r="V148" s="34">
        <v>4.4216476063662011E-3</v>
      </c>
      <c r="W148" s="34">
        <v>2.1504610474609546E-5</v>
      </c>
      <c r="X148" s="35">
        <v>46.358135011018859</v>
      </c>
      <c r="Y148" s="36">
        <v>816164.34878554335</v>
      </c>
      <c r="Z148" s="37">
        <v>8.6980116129468741E-3</v>
      </c>
      <c r="AA148" s="38">
        <v>8.7344981249690232E-3</v>
      </c>
      <c r="AB148" s="38">
        <v>3.6486512022149142E-5</v>
      </c>
      <c r="AC148" s="39">
        <v>0.69806951981528276</v>
      </c>
      <c r="AD148" s="40">
        <v>12289.956334776105</v>
      </c>
      <c r="AE148" s="37">
        <v>0</v>
      </c>
      <c r="AF148" s="38">
        <v>0</v>
      </c>
      <c r="AG148" s="38">
        <v>0</v>
      </c>
      <c r="AH148" s="39">
        <v>0</v>
      </c>
      <c r="AI148" s="40">
        <v>0</v>
      </c>
      <c r="AJ148" s="39">
        <v>47.056204530834144</v>
      </c>
      <c r="AK148" s="28">
        <v>828454.30512031948</v>
      </c>
      <c r="AL148" s="41">
        <f t="shared" ref="AL148:AL211" si="2">+$AL$6*W148/H148*10^6</f>
        <v>189.30114854409811</v>
      </c>
      <c r="AM148" s="28">
        <v>7898514</v>
      </c>
      <c r="AN148" s="42">
        <v>0.10488736300528421</v>
      </c>
      <c r="AP148" s="30"/>
      <c r="AR148" s="30"/>
    </row>
    <row r="149" spans="1:44" x14ac:dyDescent="0.2">
      <c r="A149" s="3" t="s">
        <v>916</v>
      </c>
      <c r="B149" s="3" t="s">
        <v>998</v>
      </c>
      <c r="C149" s="3" t="s">
        <v>1685</v>
      </c>
      <c r="D149" s="27"/>
      <c r="E149" s="3" t="s">
        <v>802</v>
      </c>
      <c r="F149" s="133" t="s">
        <v>1058</v>
      </c>
      <c r="G149" s="3" t="s">
        <v>879</v>
      </c>
      <c r="H149" s="29">
        <v>78.33</v>
      </c>
      <c r="I149" s="30">
        <v>178.74100000000001</v>
      </c>
      <c r="J149" s="30">
        <v>178.982</v>
      </c>
      <c r="K149" s="31">
        <v>1</v>
      </c>
      <c r="L149" s="31">
        <v>1</v>
      </c>
      <c r="M149" s="4">
        <v>0</v>
      </c>
      <c r="N149" s="4">
        <v>0</v>
      </c>
      <c r="O149" s="4">
        <v>1</v>
      </c>
      <c r="P149" s="4">
        <v>1</v>
      </c>
      <c r="Q149" s="32">
        <v>178.74100000000001</v>
      </c>
      <c r="R149" s="32">
        <v>178.982</v>
      </c>
      <c r="S149" s="32">
        <v>14000.78253</v>
      </c>
      <c r="T149" s="32">
        <v>14019.66006</v>
      </c>
      <c r="U149" s="33">
        <v>7.4039382088260668E-4</v>
      </c>
      <c r="V149" s="34">
        <v>7.4415189902638217E-4</v>
      </c>
      <c r="W149" s="34">
        <v>3.7580781437754947E-6</v>
      </c>
      <c r="X149" s="35">
        <v>8.1014019843233989</v>
      </c>
      <c r="Y149" s="36">
        <v>103426.55412132514</v>
      </c>
      <c r="Z149" s="37">
        <v>0</v>
      </c>
      <c r="AA149" s="38">
        <v>0</v>
      </c>
      <c r="AB149" s="38">
        <v>0</v>
      </c>
      <c r="AC149" s="39">
        <v>0</v>
      </c>
      <c r="AD149" s="40">
        <v>0</v>
      </c>
      <c r="AE149" s="37">
        <v>1.4984064488698606E-3</v>
      </c>
      <c r="AF149" s="38">
        <v>1.5070759672059584E-3</v>
      </c>
      <c r="AG149" s="38">
        <v>8.6695183360977791E-6</v>
      </c>
      <c r="AH149" s="39">
        <v>0.12150912820259879</v>
      </c>
      <c r="AI149" s="40">
        <v>1551.246370517028</v>
      </c>
      <c r="AJ149" s="39">
        <v>8.2229111125259973</v>
      </c>
      <c r="AK149" s="28">
        <v>104977.80049184216</v>
      </c>
      <c r="AL149" s="41">
        <f t="shared" si="2"/>
        <v>23.988753630636378</v>
      </c>
      <c r="AM149" s="28">
        <v>1025825.6875</v>
      </c>
      <c r="AN149" s="42">
        <v>0.10233493055499467</v>
      </c>
      <c r="AP149" s="30"/>
      <c r="AR149" s="30"/>
    </row>
    <row r="150" spans="1:44" x14ac:dyDescent="0.2">
      <c r="A150" s="3" t="s">
        <v>232</v>
      </c>
      <c r="B150" s="3" t="s">
        <v>512</v>
      </c>
      <c r="C150" s="3" t="s">
        <v>1686</v>
      </c>
      <c r="D150" s="27"/>
      <c r="E150" s="3" t="s">
        <v>80</v>
      </c>
      <c r="F150" s="133" t="s">
        <v>1058</v>
      </c>
      <c r="G150" s="3" t="s">
        <v>879</v>
      </c>
      <c r="H150" s="29">
        <v>34.979999999999997</v>
      </c>
      <c r="I150" s="30">
        <v>676.94500000000005</v>
      </c>
      <c r="J150" s="30">
        <v>678.09400000000005</v>
      </c>
      <c r="K150" s="31">
        <v>1</v>
      </c>
      <c r="L150" s="31">
        <v>1</v>
      </c>
      <c r="M150" s="4">
        <v>0</v>
      </c>
      <c r="N150" s="4">
        <v>0</v>
      </c>
      <c r="O150" s="4">
        <v>1</v>
      </c>
      <c r="P150" s="4">
        <v>1</v>
      </c>
      <c r="Q150" s="32">
        <v>676.94500000000005</v>
      </c>
      <c r="R150" s="32">
        <v>678.09400000000005</v>
      </c>
      <c r="S150" s="32">
        <v>23679.536100000001</v>
      </c>
      <c r="T150" s="32">
        <v>23719.72812</v>
      </c>
      <c r="U150" s="33">
        <v>1.2522287359467057E-3</v>
      </c>
      <c r="V150" s="34">
        <v>1.2590234463136817E-3</v>
      </c>
      <c r="W150" s="34">
        <v>6.7947103669760336E-6</v>
      </c>
      <c r="X150" s="35">
        <v>14.647561318302078</v>
      </c>
      <c r="Y150" s="36">
        <v>418741.0325415117</v>
      </c>
      <c r="Z150" s="37">
        <v>0</v>
      </c>
      <c r="AA150" s="38">
        <v>0</v>
      </c>
      <c r="AB150" s="38">
        <v>0</v>
      </c>
      <c r="AC150" s="39">
        <v>0</v>
      </c>
      <c r="AD150" s="40">
        <v>0</v>
      </c>
      <c r="AE150" s="37">
        <v>2.5342561762143642E-3</v>
      </c>
      <c r="AF150" s="38">
        <v>2.5498073452082954E-3</v>
      </c>
      <c r="AG150" s="38">
        <v>1.5551168993931195E-5</v>
      </c>
      <c r="AH150" s="39">
        <v>0.2179600888686041</v>
      </c>
      <c r="AI150" s="40">
        <v>6230.9916772042343</v>
      </c>
      <c r="AJ150" s="39">
        <v>14.865521407170682</v>
      </c>
      <c r="AK150" s="28">
        <v>424972.02421871596</v>
      </c>
      <c r="AL150" s="41">
        <f t="shared" si="2"/>
        <v>97.122789693768354</v>
      </c>
      <c r="AM150" s="28">
        <v>4153538</v>
      </c>
      <c r="AN150" s="42">
        <v>0.10231567021144768</v>
      </c>
      <c r="AP150" s="30"/>
      <c r="AR150" s="30"/>
    </row>
    <row r="151" spans="1:44" x14ac:dyDescent="0.2">
      <c r="A151" s="3" t="s">
        <v>247</v>
      </c>
      <c r="B151" s="3" t="s">
        <v>528</v>
      </c>
      <c r="C151" s="3" t="s">
        <v>1687</v>
      </c>
      <c r="D151" s="27"/>
      <c r="E151" s="3" t="s">
        <v>94</v>
      </c>
      <c r="F151" s="133" t="s">
        <v>1058</v>
      </c>
      <c r="G151" s="3" t="s">
        <v>881</v>
      </c>
      <c r="H151" s="29">
        <v>71.17</v>
      </c>
      <c r="I151" s="30">
        <v>142.917</v>
      </c>
      <c r="J151" s="30">
        <v>142.917</v>
      </c>
      <c r="K151" s="31">
        <v>1</v>
      </c>
      <c r="L151" s="31">
        <v>1</v>
      </c>
      <c r="M151" s="4">
        <v>0</v>
      </c>
      <c r="N151" s="4">
        <v>0</v>
      </c>
      <c r="O151" s="4">
        <v>1</v>
      </c>
      <c r="P151" s="4">
        <v>1</v>
      </c>
      <c r="Q151" s="32">
        <v>142.917</v>
      </c>
      <c r="R151" s="32">
        <v>142.917</v>
      </c>
      <c r="S151" s="32">
        <v>10171.402890000001</v>
      </c>
      <c r="T151" s="32">
        <v>10171.402890000001</v>
      </c>
      <c r="U151" s="33">
        <v>5.3788735260524678E-4</v>
      </c>
      <c r="V151" s="34">
        <v>5.3988960816186385E-4</v>
      </c>
      <c r="W151" s="34">
        <v>2.0022555566170724E-6</v>
      </c>
      <c r="X151" s="35">
        <v>4.3163224709329349</v>
      </c>
      <c r="Y151" s="36">
        <v>60648.060572332935</v>
      </c>
      <c r="Z151" s="37">
        <v>0</v>
      </c>
      <c r="AA151" s="38">
        <v>0</v>
      </c>
      <c r="AB151" s="38">
        <v>0</v>
      </c>
      <c r="AC151" s="39">
        <v>0</v>
      </c>
      <c r="AD151" s="40">
        <v>0</v>
      </c>
      <c r="AE151" s="37">
        <v>1.0885745601556414E-3</v>
      </c>
      <c r="AF151" s="38">
        <v>1.0933986118553743E-3</v>
      </c>
      <c r="AG151" s="38">
        <v>4.8240516997328804E-6</v>
      </c>
      <c r="AH151" s="39">
        <v>6.7612327895790039E-2</v>
      </c>
      <c r="AI151" s="40">
        <v>950.01163265125808</v>
      </c>
      <c r="AJ151" s="39">
        <v>4.3839347988287249</v>
      </c>
      <c r="AK151" s="28">
        <v>61598.072204984193</v>
      </c>
      <c r="AL151" s="41">
        <f t="shared" si="2"/>
        <v>14.066710387923791</v>
      </c>
      <c r="AM151" s="28">
        <v>604671.8125</v>
      </c>
      <c r="AN151" s="42">
        <v>0.10187025578438749</v>
      </c>
      <c r="AP151" s="30"/>
      <c r="AR151" s="30"/>
    </row>
    <row r="152" spans="1:44" x14ac:dyDescent="0.2">
      <c r="A152" s="3" t="s">
        <v>942</v>
      </c>
      <c r="B152" s="3" t="s">
        <v>1021</v>
      </c>
      <c r="C152" s="3" t="s">
        <v>1688</v>
      </c>
      <c r="D152" s="27"/>
      <c r="E152" s="3" t="s">
        <v>825</v>
      </c>
      <c r="F152" s="133" t="s">
        <v>1052</v>
      </c>
      <c r="G152" s="3" t="s">
        <v>879</v>
      </c>
      <c r="H152" s="29">
        <v>107.54</v>
      </c>
      <c r="I152" s="30">
        <v>436.84500000000003</v>
      </c>
      <c r="J152" s="30">
        <v>437.57600000000002</v>
      </c>
      <c r="K152" s="31">
        <v>1</v>
      </c>
      <c r="L152" s="31">
        <v>1</v>
      </c>
      <c r="M152" s="4">
        <v>0.5</v>
      </c>
      <c r="N152" s="4">
        <v>0.5</v>
      </c>
      <c r="O152" s="4">
        <v>0.5</v>
      </c>
      <c r="P152" s="4">
        <v>0.5</v>
      </c>
      <c r="Q152" s="32">
        <v>436.84500000000003</v>
      </c>
      <c r="R152" s="32">
        <v>437.57600000000002</v>
      </c>
      <c r="S152" s="32">
        <v>46978.311300000008</v>
      </c>
      <c r="T152" s="32">
        <v>47056.923040000001</v>
      </c>
      <c r="U152" s="33">
        <v>2.4843219532543902E-3</v>
      </c>
      <c r="V152" s="34">
        <v>2.4977423484371076E-3</v>
      </c>
      <c r="W152" s="34">
        <v>1.3420395182717378E-5</v>
      </c>
      <c r="X152" s="35">
        <v>28.930749176610483</v>
      </c>
      <c r="Y152" s="36">
        <v>269023.14651860221</v>
      </c>
      <c r="Z152" s="37">
        <v>2.4554498819562825E-3</v>
      </c>
      <c r="AA152" s="38">
        <v>2.4670131816552543E-3</v>
      </c>
      <c r="AB152" s="38">
        <v>1.1563299698971827E-5</v>
      </c>
      <c r="AC152" s="39">
        <v>0.22123208333647698</v>
      </c>
      <c r="AD152" s="40">
        <v>2057.2073957269572</v>
      </c>
      <c r="AE152" s="37">
        <v>2.5138810797933255E-3</v>
      </c>
      <c r="AF152" s="38">
        <v>2.5292466971643659E-3</v>
      </c>
      <c r="AG152" s="38">
        <v>1.5365617371040398E-5</v>
      </c>
      <c r="AH152" s="39">
        <v>0.21535945812304572</v>
      </c>
      <c r="AI152" s="40">
        <v>2002.5986435098171</v>
      </c>
      <c r="AJ152" s="39">
        <v>29.367340718070007</v>
      </c>
      <c r="AK152" s="28">
        <v>273082.95255783899</v>
      </c>
      <c r="AL152" s="41">
        <f t="shared" si="2"/>
        <v>62.397225138168949</v>
      </c>
      <c r="AM152" s="28">
        <v>2692159.5</v>
      </c>
      <c r="AN152" s="42">
        <v>0.10143639429901496</v>
      </c>
      <c r="AP152" s="30"/>
      <c r="AR152" s="30"/>
    </row>
    <row r="153" spans="1:44" x14ac:dyDescent="0.2">
      <c r="A153" s="3" t="s">
        <v>735</v>
      </c>
      <c r="B153" s="3" t="s">
        <v>163</v>
      </c>
      <c r="C153" s="3" t="s">
        <v>1689</v>
      </c>
      <c r="D153" s="27"/>
      <c r="E153" s="3" t="s">
        <v>604</v>
      </c>
      <c r="F153" s="133" t="s">
        <v>1064</v>
      </c>
      <c r="G153" s="3" t="s">
        <v>879</v>
      </c>
      <c r="H153" s="29">
        <v>45.03</v>
      </c>
      <c r="I153" s="30">
        <v>196.70500000000001</v>
      </c>
      <c r="J153" s="30">
        <v>198.60400000000001</v>
      </c>
      <c r="K153" s="31">
        <v>1</v>
      </c>
      <c r="L153" s="31">
        <v>1</v>
      </c>
      <c r="M153" s="4">
        <v>0.61</v>
      </c>
      <c r="N153" s="4">
        <v>0.61</v>
      </c>
      <c r="O153" s="4">
        <v>0.39</v>
      </c>
      <c r="P153" s="4">
        <v>0.39</v>
      </c>
      <c r="Q153" s="32">
        <v>196.70500000000001</v>
      </c>
      <c r="R153" s="32">
        <v>198.60400000000001</v>
      </c>
      <c r="S153" s="32">
        <v>8857.6261500000001</v>
      </c>
      <c r="T153" s="32">
        <v>8943.1381200000014</v>
      </c>
      <c r="U153" s="33">
        <v>4.6841179449047499E-4</v>
      </c>
      <c r="V153" s="34">
        <v>4.7469433543834659E-4</v>
      </c>
      <c r="W153" s="34">
        <v>6.2825409478715986E-6</v>
      </c>
      <c r="X153" s="35">
        <v>13.543462310910519</v>
      </c>
      <c r="Y153" s="36">
        <v>300765.31891873234</v>
      </c>
      <c r="Z153" s="37">
        <v>5.648210186517509E-4</v>
      </c>
      <c r="AA153" s="38">
        <v>5.7200221787880804E-4</v>
      </c>
      <c r="AB153" s="38">
        <v>7.1811992270571449E-6</v>
      </c>
      <c r="AC153" s="39">
        <v>0.1373925875152586</v>
      </c>
      <c r="AD153" s="40">
        <v>3051.1345217690118</v>
      </c>
      <c r="AE153" s="37">
        <v>3.6970836490001131E-4</v>
      </c>
      <c r="AF153" s="38">
        <v>3.7493173907254048E-4</v>
      </c>
      <c r="AG153" s="38">
        <v>5.22337417252917E-6</v>
      </c>
      <c r="AH153" s="39">
        <v>7.3209100825971415E-2</v>
      </c>
      <c r="AI153" s="40">
        <v>1625.7850505434469</v>
      </c>
      <c r="AJ153" s="39">
        <v>13.754063999251748</v>
      </c>
      <c r="AK153" s="28">
        <v>305442.23849104479</v>
      </c>
      <c r="AL153" s="41">
        <f t="shared" si="2"/>
        <v>69.759504195776131</v>
      </c>
      <c r="AM153" s="28">
        <v>3011628.5</v>
      </c>
      <c r="AN153" s="42">
        <v>0.10142095497205077</v>
      </c>
      <c r="AP153" s="30"/>
      <c r="AR153" s="30"/>
    </row>
    <row r="154" spans="1:44" x14ac:dyDescent="0.2">
      <c r="A154" s="3" t="s">
        <v>1159</v>
      </c>
      <c r="B154" s="3" t="s">
        <v>395</v>
      </c>
      <c r="C154" s="3" t="s">
        <v>1690</v>
      </c>
      <c r="D154" s="27"/>
      <c r="E154" s="3" t="s">
        <v>691</v>
      </c>
      <c r="F154" s="133" t="s">
        <v>1058</v>
      </c>
      <c r="G154" s="3" t="s">
        <v>881</v>
      </c>
      <c r="H154" s="29">
        <v>72.81</v>
      </c>
      <c r="I154" s="30">
        <v>325.81099999999998</v>
      </c>
      <c r="J154" s="30">
        <v>325.81099999999998</v>
      </c>
      <c r="K154" s="31">
        <v>1</v>
      </c>
      <c r="L154" s="31">
        <v>1</v>
      </c>
      <c r="M154" s="4">
        <v>0</v>
      </c>
      <c r="N154" s="4">
        <v>0</v>
      </c>
      <c r="O154" s="4">
        <v>1</v>
      </c>
      <c r="P154" s="4">
        <v>1</v>
      </c>
      <c r="Q154" s="32">
        <v>325.81099999999998</v>
      </c>
      <c r="R154" s="32">
        <v>325.81099999999998</v>
      </c>
      <c r="S154" s="32">
        <v>23722.298909999998</v>
      </c>
      <c r="T154" s="32">
        <v>23722.298909999998</v>
      </c>
      <c r="U154" s="33">
        <v>1.2544901324236335E-3</v>
      </c>
      <c r="V154" s="34">
        <v>1.259159901709341E-3</v>
      </c>
      <c r="W154" s="34">
        <v>4.6697692857075156E-6</v>
      </c>
      <c r="X154" s="35">
        <v>10.066761975193076</v>
      </c>
      <c r="Y154" s="36">
        <v>138260.70560627765</v>
      </c>
      <c r="Z154" s="37">
        <v>0</v>
      </c>
      <c r="AA154" s="38">
        <v>0</v>
      </c>
      <c r="AB154" s="38">
        <v>0</v>
      </c>
      <c r="AC154" s="39">
        <v>0</v>
      </c>
      <c r="AD154" s="40">
        <v>0</v>
      </c>
      <c r="AE154" s="37">
        <v>2.5388327825675086E-3</v>
      </c>
      <c r="AF154" s="38">
        <v>2.5500836982588794E-3</v>
      </c>
      <c r="AG154" s="38">
        <v>1.1250915691370794E-5</v>
      </c>
      <c r="AH154" s="39">
        <v>0.15768914767123524</v>
      </c>
      <c r="AI154" s="40">
        <v>2165.7622259474688</v>
      </c>
      <c r="AJ154" s="39">
        <v>10.224451122864311</v>
      </c>
      <c r="AK154" s="28">
        <v>140426.46783222511</v>
      </c>
      <c r="AL154" s="41">
        <f t="shared" si="2"/>
        <v>32.068186277348687</v>
      </c>
      <c r="AM154" s="28">
        <v>1401570.875</v>
      </c>
      <c r="AN154" s="42">
        <v>0.10019219886559437</v>
      </c>
      <c r="AP154" s="30"/>
      <c r="AR154" s="30"/>
    </row>
    <row r="155" spans="1:44" x14ac:dyDescent="0.2">
      <c r="A155" s="3" t="s">
        <v>927</v>
      </c>
      <c r="B155" s="3" t="s">
        <v>1007</v>
      </c>
      <c r="C155" s="3" t="s">
        <v>1691</v>
      </c>
      <c r="D155" s="27"/>
      <c r="E155" s="3" t="s">
        <v>812</v>
      </c>
      <c r="F155" s="133" t="s">
        <v>1068</v>
      </c>
      <c r="G155" s="3" t="s">
        <v>881</v>
      </c>
      <c r="H155" s="29">
        <v>117.17</v>
      </c>
      <c r="I155" s="30">
        <v>762.11500000000001</v>
      </c>
      <c r="J155" s="30">
        <v>760.875</v>
      </c>
      <c r="K155" s="31">
        <v>1</v>
      </c>
      <c r="L155" s="31">
        <v>1</v>
      </c>
      <c r="M155" s="4">
        <v>0.52</v>
      </c>
      <c r="N155" s="4">
        <v>0.52</v>
      </c>
      <c r="O155" s="4">
        <v>0.48</v>
      </c>
      <c r="P155" s="4">
        <v>0.48</v>
      </c>
      <c r="Q155" s="32">
        <v>762.11500000000001</v>
      </c>
      <c r="R155" s="32">
        <v>760.875</v>
      </c>
      <c r="S155" s="32">
        <v>89297.014550000007</v>
      </c>
      <c r="T155" s="32">
        <v>89151.723750000005</v>
      </c>
      <c r="U155" s="33">
        <v>4.7222330362190279E-3</v>
      </c>
      <c r="V155" s="34">
        <v>4.7320993694648771E-3</v>
      </c>
      <c r="W155" s="34">
        <v>9.8663332458491862E-6</v>
      </c>
      <c r="X155" s="35">
        <v>21.269151060179112</v>
      </c>
      <c r="Y155" s="36">
        <v>181523.86327711114</v>
      </c>
      <c r="Z155" s="37">
        <v>4.8540467138775117E-3</v>
      </c>
      <c r="AA155" s="38">
        <v>4.8608366630866588E-3</v>
      </c>
      <c r="AB155" s="38">
        <v>6.7899492091471475E-6</v>
      </c>
      <c r="AC155" s="39">
        <v>0.12990708953276153</v>
      </c>
      <c r="AD155" s="40">
        <v>1108.7060641184735</v>
      </c>
      <c r="AE155" s="37">
        <v>4.5872826498321436E-3</v>
      </c>
      <c r="AF155" s="38">
        <v>4.6001145154251797E-3</v>
      </c>
      <c r="AG155" s="38">
        <v>1.283186559303609E-5</v>
      </c>
      <c r="AH155" s="39">
        <v>0.17984722345307849</v>
      </c>
      <c r="AI155" s="40">
        <v>1534.9255223442733</v>
      </c>
      <c r="AJ155" s="39">
        <v>21.57890537316495</v>
      </c>
      <c r="AK155" s="28">
        <v>184167.4948635739</v>
      </c>
      <c r="AL155" s="41">
        <f t="shared" si="2"/>
        <v>42.102642510238056</v>
      </c>
      <c r="AM155" s="28">
        <v>1861007.125</v>
      </c>
      <c r="AN155" s="42">
        <v>9.8961198154238067E-2</v>
      </c>
      <c r="AP155" s="30"/>
      <c r="AR155" s="30"/>
    </row>
    <row r="156" spans="1:44" x14ac:dyDescent="0.2">
      <c r="A156" s="3" t="s">
        <v>1153</v>
      </c>
      <c r="B156" s="3" t="s">
        <v>389</v>
      </c>
      <c r="C156" s="3" t="s">
        <v>1692</v>
      </c>
      <c r="D156" s="27"/>
      <c r="E156" s="3" t="s">
        <v>686</v>
      </c>
      <c r="F156" s="133" t="s">
        <v>1058</v>
      </c>
      <c r="G156" s="3" t="s">
        <v>879</v>
      </c>
      <c r="H156" s="29">
        <v>80.44</v>
      </c>
      <c r="I156" s="30">
        <v>688.904</v>
      </c>
      <c r="J156" s="30">
        <v>688.93399999999997</v>
      </c>
      <c r="K156" s="31">
        <v>1</v>
      </c>
      <c r="L156" s="31">
        <v>1</v>
      </c>
      <c r="M156" s="4">
        <v>0</v>
      </c>
      <c r="N156" s="4">
        <v>0</v>
      </c>
      <c r="O156" s="4">
        <v>1</v>
      </c>
      <c r="P156" s="4">
        <v>1</v>
      </c>
      <c r="Q156" s="32">
        <v>688.904</v>
      </c>
      <c r="R156" s="32">
        <v>688.93399999999997</v>
      </c>
      <c r="S156" s="32">
        <v>55415.437760000001</v>
      </c>
      <c r="T156" s="32">
        <v>55417.850959999996</v>
      </c>
      <c r="U156" s="33">
        <v>2.9304967498133606E-3</v>
      </c>
      <c r="V156" s="34">
        <v>2.9415334505510839E-3</v>
      </c>
      <c r="W156" s="34">
        <v>1.1036700737723348E-5</v>
      </c>
      <c r="X156" s="35">
        <v>23.792147431811603</v>
      </c>
      <c r="Y156" s="36">
        <v>295775.0799578767</v>
      </c>
      <c r="Z156" s="37">
        <v>0</v>
      </c>
      <c r="AA156" s="38">
        <v>0</v>
      </c>
      <c r="AB156" s="38">
        <v>0</v>
      </c>
      <c r="AC156" s="39">
        <v>0</v>
      </c>
      <c r="AD156" s="40">
        <v>0</v>
      </c>
      <c r="AE156" s="37">
        <v>5.9307291666454006E-3</v>
      </c>
      <c r="AF156" s="38">
        <v>5.9572707882060904E-3</v>
      </c>
      <c r="AG156" s="38">
        <v>2.6541621560689788E-5</v>
      </c>
      <c r="AH156" s="39">
        <v>0.3719986707328814</v>
      </c>
      <c r="AI156" s="40">
        <v>4624.5483681362684</v>
      </c>
      <c r="AJ156" s="39">
        <v>24.164146102544485</v>
      </c>
      <c r="AK156" s="28">
        <v>300399.62832601299</v>
      </c>
      <c r="AL156" s="41">
        <f t="shared" si="2"/>
        <v>68.602068235475812</v>
      </c>
      <c r="AM156" s="28">
        <v>3038101.25</v>
      </c>
      <c r="AN156" s="42">
        <v>9.887742494625977E-2</v>
      </c>
      <c r="AP156" s="30"/>
      <c r="AR156" s="30"/>
    </row>
    <row r="157" spans="1:44" x14ac:dyDescent="0.2">
      <c r="A157" s="3" t="s">
        <v>1120</v>
      </c>
      <c r="B157" s="3" t="s">
        <v>354</v>
      </c>
      <c r="C157" s="3" t="s">
        <v>1693</v>
      </c>
      <c r="D157" s="27"/>
      <c r="E157" s="3" t="s">
        <v>659</v>
      </c>
      <c r="F157" s="133" t="s">
        <v>1054</v>
      </c>
      <c r="G157" s="3" t="s">
        <v>879</v>
      </c>
      <c r="H157" s="29">
        <v>107.95</v>
      </c>
      <c r="I157" s="30">
        <v>774.601</v>
      </c>
      <c r="J157" s="30">
        <v>775.11500000000001</v>
      </c>
      <c r="K157" s="31">
        <v>1</v>
      </c>
      <c r="L157" s="31">
        <v>1</v>
      </c>
      <c r="M157" s="4">
        <v>1</v>
      </c>
      <c r="N157" s="4">
        <v>1</v>
      </c>
      <c r="O157" s="4">
        <v>0</v>
      </c>
      <c r="P157" s="4">
        <v>0</v>
      </c>
      <c r="Q157" s="32">
        <v>774.601</v>
      </c>
      <c r="R157" s="32">
        <v>775.11500000000001</v>
      </c>
      <c r="S157" s="32">
        <v>83618.177949999998</v>
      </c>
      <c r="T157" s="32">
        <v>83673.664250000002</v>
      </c>
      <c r="U157" s="33">
        <v>4.4219229985884385E-3</v>
      </c>
      <c r="V157" s="34">
        <v>4.4413285260593831E-3</v>
      </c>
      <c r="W157" s="34">
        <v>1.9405527470944643E-5</v>
      </c>
      <c r="X157" s="35">
        <v>41.833078702832026</v>
      </c>
      <c r="Y157" s="36">
        <v>387522.72999381216</v>
      </c>
      <c r="Z157" s="37">
        <v>8.7410653765550277E-3</v>
      </c>
      <c r="AA157" s="38">
        <v>8.7733757044283784E-3</v>
      </c>
      <c r="AB157" s="38">
        <v>3.2310327873350669E-5</v>
      </c>
      <c r="AC157" s="39">
        <v>0.61816966910765059</v>
      </c>
      <c r="AD157" s="40">
        <v>5726.4443641283051</v>
      </c>
      <c r="AE157" s="37">
        <v>0</v>
      </c>
      <c r="AF157" s="38">
        <v>0</v>
      </c>
      <c r="AG157" s="38">
        <v>0</v>
      </c>
      <c r="AH157" s="39">
        <v>0</v>
      </c>
      <c r="AI157" s="40">
        <v>0</v>
      </c>
      <c r="AJ157" s="39">
        <v>42.451248371939677</v>
      </c>
      <c r="AK157" s="28">
        <v>393249.17435794044</v>
      </c>
      <c r="AL157" s="41">
        <f t="shared" si="2"/>
        <v>89.882017002985847</v>
      </c>
      <c r="AM157" s="28">
        <v>3982312.5</v>
      </c>
      <c r="AN157" s="42">
        <v>9.8748949098781277E-2</v>
      </c>
      <c r="AP157" s="30"/>
      <c r="AR157" s="30"/>
    </row>
    <row r="158" spans="1:44" x14ac:dyDescent="0.2">
      <c r="A158" s="3" t="s">
        <v>1322</v>
      </c>
      <c r="B158" s="3" t="s">
        <v>1316</v>
      </c>
      <c r="C158" s="3" t="s">
        <v>1694</v>
      </c>
      <c r="D158" s="27"/>
      <c r="E158" s="3" t="s">
        <v>1326</v>
      </c>
      <c r="F158" s="133" t="s">
        <v>1054</v>
      </c>
      <c r="G158" s="3" t="s">
        <v>879</v>
      </c>
      <c r="H158" s="29">
        <v>127.99</v>
      </c>
      <c r="I158" s="30">
        <v>224.02</v>
      </c>
      <c r="J158" s="30">
        <v>224.24799999999999</v>
      </c>
      <c r="K158" s="31">
        <v>1</v>
      </c>
      <c r="L158" s="31">
        <v>1</v>
      </c>
      <c r="M158" s="4">
        <v>1</v>
      </c>
      <c r="N158" s="4">
        <v>1</v>
      </c>
      <c r="O158" s="4">
        <v>0</v>
      </c>
      <c r="P158" s="4">
        <v>0</v>
      </c>
      <c r="Q158" s="32">
        <v>224.02</v>
      </c>
      <c r="R158" s="32">
        <v>224.24799999999999</v>
      </c>
      <c r="S158" s="32">
        <v>28672.319800000001</v>
      </c>
      <c r="T158" s="32">
        <v>28701.501519999998</v>
      </c>
      <c r="U158" s="33">
        <v>1.516258706597453E-3</v>
      </c>
      <c r="V158" s="34">
        <v>1.5234518361792999E-3</v>
      </c>
      <c r="W158" s="34">
        <v>7.1931295818469451E-6</v>
      </c>
      <c r="X158" s="35">
        <v>15.506445592247765</v>
      </c>
      <c r="Y158" s="36">
        <v>121153.57131219444</v>
      </c>
      <c r="Z158" s="37">
        <v>2.9972743727943569E-3</v>
      </c>
      <c r="AA158" s="38">
        <v>3.0094182963450434E-3</v>
      </c>
      <c r="AB158" s="38">
        <v>1.2143923550686497E-5</v>
      </c>
      <c r="AC158" s="39">
        <v>0.23234073118732423</v>
      </c>
      <c r="AD158" s="40">
        <v>1815.3037830090182</v>
      </c>
      <c r="AE158" s="37">
        <v>0</v>
      </c>
      <c r="AF158" s="38">
        <v>0</v>
      </c>
      <c r="AG158" s="38">
        <v>0</v>
      </c>
      <c r="AH158" s="39">
        <v>0</v>
      </c>
      <c r="AI158" s="40">
        <v>0</v>
      </c>
      <c r="AJ158" s="39">
        <v>15.73878632343509</v>
      </c>
      <c r="AK158" s="28">
        <v>122968.87509520346</v>
      </c>
      <c r="AL158" s="41">
        <f t="shared" si="2"/>
        <v>28.100357769540373</v>
      </c>
      <c r="AM158" s="28">
        <v>1248729.25</v>
      </c>
      <c r="AN158" s="42">
        <v>9.8475209974622974E-2</v>
      </c>
      <c r="AP158" s="30"/>
      <c r="AR158" s="30"/>
    </row>
    <row r="159" spans="1:44" x14ac:dyDescent="0.2">
      <c r="A159" s="3" t="s">
        <v>1084</v>
      </c>
      <c r="B159" s="3" t="s">
        <v>316</v>
      </c>
      <c r="C159" s="3" t="s">
        <v>1695</v>
      </c>
      <c r="D159" s="27"/>
      <c r="E159" s="3" t="s">
        <v>629</v>
      </c>
      <c r="F159" s="133" t="s">
        <v>1053</v>
      </c>
      <c r="G159" s="3" t="s">
        <v>879</v>
      </c>
      <c r="H159" s="29">
        <v>117.02</v>
      </c>
      <c r="I159" s="30">
        <v>350.6</v>
      </c>
      <c r="J159" s="30">
        <v>350.8</v>
      </c>
      <c r="K159" s="31">
        <v>1</v>
      </c>
      <c r="L159" s="31">
        <v>1</v>
      </c>
      <c r="M159" s="4">
        <v>1</v>
      </c>
      <c r="N159" s="4">
        <v>1</v>
      </c>
      <c r="O159" s="4">
        <v>0</v>
      </c>
      <c r="P159" s="4">
        <v>0</v>
      </c>
      <c r="Q159" s="32">
        <v>350.6</v>
      </c>
      <c r="R159" s="32">
        <v>350.8</v>
      </c>
      <c r="S159" s="32">
        <v>41027.212</v>
      </c>
      <c r="T159" s="32">
        <v>41050.616000000002</v>
      </c>
      <c r="U159" s="33">
        <v>2.169614033197952E-3</v>
      </c>
      <c r="V159" s="34">
        <v>2.1789325648315892E-3</v>
      </c>
      <c r="W159" s="34">
        <v>9.3185316336371997E-6</v>
      </c>
      <c r="X159" s="35">
        <v>20.088238663362581</v>
      </c>
      <c r="Y159" s="36">
        <v>171665.00310513232</v>
      </c>
      <c r="Z159" s="37">
        <v>4.2887988126723217E-3</v>
      </c>
      <c r="AA159" s="38">
        <v>4.3042512873603337E-3</v>
      </c>
      <c r="AB159" s="38">
        <v>1.5452474688011988E-5</v>
      </c>
      <c r="AC159" s="39">
        <v>0.29564079950613398</v>
      </c>
      <c r="AD159" s="40">
        <v>2526.4125748259612</v>
      </c>
      <c r="AE159" s="37">
        <v>0</v>
      </c>
      <c r="AF159" s="38">
        <v>0</v>
      </c>
      <c r="AG159" s="38">
        <v>0</v>
      </c>
      <c r="AH159" s="39">
        <v>0</v>
      </c>
      <c r="AI159" s="40">
        <v>0</v>
      </c>
      <c r="AJ159" s="39">
        <v>20.383879462868716</v>
      </c>
      <c r="AK159" s="28">
        <v>174191.41567995827</v>
      </c>
      <c r="AL159" s="41">
        <f t="shared" si="2"/>
        <v>39.815978608943766</v>
      </c>
      <c r="AM159" s="28">
        <v>1778293.875</v>
      </c>
      <c r="AN159" s="42">
        <v>9.7954234746469152E-2</v>
      </c>
      <c r="AP159" s="30"/>
      <c r="AR159" s="30"/>
    </row>
    <row r="160" spans="1:44" x14ac:dyDescent="0.2">
      <c r="A160" s="3" t="s">
        <v>902</v>
      </c>
      <c r="B160" s="3" t="s">
        <v>987</v>
      </c>
      <c r="C160" s="3" t="s">
        <v>1696</v>
      </c>
      <c r="D160" s="27"/>
      <c r="E160" s="3" t="s">
        <v>791</v>
      </c>
      <c r="F160" s="133" t="s">
        <v>1066</v>
      </c>
      <c r="G160" s="3" t="s">
        <v>881</v>
      </c>
      <c r="H160" s="29">
        <v>74.81</v>
      </c>
      <c r="I160" s="30">
        <v>893.01800000000003</v>
      </c>
      <c r="J160" s="30">
        <v>891.49300000000005</v>
      </c>
      <c r="K160" s="31">
        <v>1</v>
      </c>
      <c r="L160" s="31">
        <v>1</v>
      </c>
      <c r="M160" s="4">
        <v>0.54</v>
      </c>
      <c r="N160" s="4">
        <v>0.54</v>
      </c>
      <c r="O160" s="4">
        <v>0.46</v>
      </c>
      <c r="P160" s="4">
        <v>0.46</v>
      </c>
      <c r="Q160" s="32">
        <v>893.01800000000003</v>
      </c>
      <c r="R160" s="32">
        <v>891.49300000000005</v>
      </c>
      <c r="S160" s="32">
        <v>66806.676579999999</v>
      </c>
      <c r="T160" s="32">
        <v>66692.59133000001</v>
      </c>
      <c r="U160" s="33">
        <v>3.5328918528337969E-3</v>
      </c>
      <c r="V160" s="34">
        <v>3.5399872947568418E-3</v>
      </c>
      <c r="W160" s="34">
        <v>7.0954419230449643E-6</v>
      </c>
      <c r="X160" s="35">
        <v>15.295857370666187</v>
      </c>
      <c r="Y160" s="36">
        <v>204462.73720981402</v>
      </c>
      <c r="Z160" s="37">
        <v>3.7711802938313094E-3</v>
      </c>
      <c r="AA160" s="38">
        <v>3.7761504706374342E-3</v>
      </c>
      <c r="AB160" s="38">
        <v>4.9701768061248368E-6</v>
      </c>
      <c r="AC160" s="39">
        <v>9.5090726522240404E-2</v>
      </c>
      <c r="AD160" s="40">
        <v>1271.096464673712</v>
      </c>
      <c r="AE160" s="37">
        <v>3.2889329727283567E-3</v>
      </c>
      <c r="AF160" s="38">
        <v>3.2978666052406757E-3</v>
      </c>
      <c r="AG160" s="38">
        <v>8.9336325123190279E-6</v>
      </c>
      <c r="AH160" s="39">
        <v>0.12521086595254585</v>
      </c>
      <c r="AI160" s="40">
        <v>1673.7182990582255</v>
      </c>
      <c r="AJ160" s="39">
        <v>15.516158963140974</v>
      </c>
      <c r="AK160" s="28">
        <v>207407.55197354595</v>
      </c>
      <c r="AL160" s="41">
        <f t="shared" si="2"/>
        <v>47.423084634707685</v>
      </c>
      <c r="AM160" s="28">
        <v>2128565.5</v>
      </c>
      <c r="AN160" s="42">
        <v>9.7440060911231516E-2</v>
      </c>
      <c r="AP160" s="30"/>
      <c r="AR160" s="30"/>
    </row>
    <row r="161" spans="1:44" x14ac:dyDescent="0.2">
      <c r="A161" s="3" t="s">
        <v>1157</v>
      </c>
      <c r="B161" s="3" t="s">
        <v>393</v>
      </c>
      <c r="C161" s="3" t="s">
        <v>1697</v>
      </c>
      <c r="D161" s="27"/>
      <c r="E161" s="3" t="s">
        <v>689</v>
      </c>
      <c r="F161" s="133" t="s">
        <v>1058</v>
      </c>
      <c r="G161" s="3" t="s">
        <v>879</v>
      </c>
      <c r="H161" s="29">
        <v>75.25</v>
      </c>
      <c r="I161" s="30">
        <v>304.16000000000003</v>
      </c>
      <c r="J161" s="30">
        <v>304.41500000000002</v>
      </c>
      <c r="K161" s="31">
        <v>1</v>
      </c>
      <c r="L161" s="31">
        <v>1</v>
      </c>
      <c r="M161" s="4">
        <v>0</v>
      </c>
      <c r="N161" s="4">
        <v>0</v>
      </c>
      <c r="O161" s="4">
        <v>1</v>
      </c>
      <c r="P161" s="4">
        <v>1</v>
      </c>
      <c r="Q161" s="32">
        <v>304.16000000000003</v>
      </c>
      <c r="R161" s="32">
        <v>304.41500000000002</v>
      </c>
      <c r="S161" s="32">
        <v>22888.04</v>
      </c>
      <c r="T161" s="32">
        <v>22907.228750000002</v>
      </c>
      <c r="U161" s="33">
        <v>1.2103725882323191E-3</v>
      </c>
      <c r="V161" s="34">
        <v>1.2158966553247684E-3</v>
      </c>
      <c r="W161" s="34">
        <v>5.5240670924492415E-6</v>
      </c>
      <c r="X161" s="35">
        <v>11.908397428730362</v>
      </c>
      <c r="Y161" s="36">
        <v>158251.1286210015</v>
      </c>
      <c r="Z161" s="37">
        <v>0</v>
      </c>
      <c r="AA161" s="38">
        <v>0</v>
      </c>
      <c r="AB161" s="38">
        <v>0</v>
      </c>
      <c r="AC161" s="39">
        <v>0</v>
      </c>
      <c r="AD161" s="40">
        <v>0</v>
      </c>
      <c r="AE161" s="37">
        <v>2.4495478495223312E-3</v>
      </c>
      <c r="AF161" s="38">
        <v>2.4624658355956166E-3</v>
      </c>
      <c r="AG161" s="38">
        <v>1.2917986073285401E-5</v>
      </c>
      <c r="AH161" s="39">
        <v>0.18105425988460799</v>
      </c>
      <c r="AI161" s="40">
        <v>2406.036676207415</v>
      </c>
      <c r="AJ161" s="39">
        <v>12.08945168861497</v>
      </c>
      <c r="AK161" s="28">
        <v>160657.16529720891</v>
      </c>
      <c r="AL161" s="41">
        <f t="shared" si="2"/>
        <v>36.704764733882008</v>
      </c>
      <c r="AM161" s="28">
        <v>1652466</v>
      </c>
      <c r="AN161" s="42">
        <v>9.7222675260615898E-2</v>
      </c>
      <c r="AP161" s="30"/>
      <c r="AR161" s="30"/>
    </row>
    <row r="162" spans="1:44" x14ac:dyDescent="0.2">
      <c r="A162" s="3" t="s">
        <v>236</v>
      </c>
      <c r="B162" s="3" t="s">
        <v>516</v>
      </c>
      <c r="C162" s="3" t="s">
        <v>1698</v>
      </c>
      <c r="D162" s="27"/>
      <c r="E162" s="3" t="s">
        <v>84</v>
      </c>
      <c r="F162" s="133" t="s">
        <v>1052</v>
      </c>
      <c r="G162" s="3" t="s">
        <v>881</v>
      </c>
      <c r="H162" s="29">
        <v>122.25</v>
      </c>
      <c r="I162" s="30">
        <v>285.26499999999999</v>
      </c>
      <c r="J162" s="30">
        <v>285.23200000000003</v>
      </c>
      <c r="K162" s="31">
        <v>1</v>
      </c>
      <c r="L162" s="31">
        <v>1</v>
      </c>
      <c r="M162" s="4">
        <v>0.49</v>
      </c>
      <c r="N162" s="4">
        <v>0.49</v>
      </c>
      <c r="O162" s="4">
        <v>0.51</v>
      </c>
      <c r="P162" s="4">
        <v>0.51</v>
      </c>
      <c r="Q162" s="32">
        <v>285.26499999999999</v>
      </c>
      <c r="R162" s="32">
        <v>285.23200000000003</v>
      </c>
      <c r="S162" s="32">
        <v>34873.646249999998</v>
      </c>
      <c r="T162" s="32">
        <v>34869.612000000001</v>
      </c>
      <c r="U162" s="33">
        <v>1.8441992181379796E-3</v>
      </c>
      <c r="V162" s="34">
        <v>1.8508500118449467E-3</v>
      </c>
      <c r="W162" s="34">
        <v>6.6507937069670928E-6</v>
      </c>
      <c r="X162" s="35">
        <v>14.337315849642849</v>
      </c>
      <c r="Y162" s="36">
        <v>117278.65725679223</v>
      </c>
      <c r="Z162" s="37">
        <v>1.7863111387869041E-3</v>
      </c>
      <c r="AA162" s="38">
        <v>1.7915178287938509E-3</v>
      </c>
      <c r="AB162" s="38">
        <v>5.206690006946766E-6</v>
      </c>
      <c r="AC162" s="39">
        <v>9.961575912682355E-2</v>
      </c>
      <c r="AD162" s="40">
        <v>814.85283539323962</v>
      </c>
      <c r="AE162" s="37">
        <v>1.9034648331666629E-3</v>
      </c>
      <c r="AF162" s="38">
        <v>1.9116789239615995E-3</v>
      </c>
      <c r="AG162" s="38">
        <v>8.2140907949365509E-6</v>
      </c>
      <c r="AH162" s="39">
        <v>0.11512600501851861</v>
      </c>
      <c r="AI162" s="40">
        <v>941.72601242142002</v>
      </c>
      <c r="AJ162" s="39">
        <v>14.552057613788191</v>
      </c>
      <c r="AK162" s="28">
        <v>119035.23610460688</v>
      </c>
      <c r="AL162" s="41">
        <f t="shared" si="2"/>
        <v>27.201610253444141</v>
      </c>
      <c r="AM162" s="28">
        <v>1224854.75</v>
      </c>
      <c r="AN162" s="42">
        <v>9.7183144454154158E-2</v>
      </c>
      <c r="AP162" s="30"/>
      <c r="AR162" s="30"/>
    </row>
    <row r="163" spans="1:44" x14ac:dyDescent="0.2">
      <c r="A163" s="3" t="s">
        <v>219</v>
      </c>
      <c r="B163" s="3" t="s">
        <v>499</v>
      </c>
      <c r="C163" s="3" t="s">
        <v>1699</v>
      </c>
      <c r="D163" s="27"/>
      <c r="E163" s="3" t="s">
        <v>69</v>
      </c>
      <c r="F163" s="133" t="s">
        <v>1068</v>
      </c>
      <c r="G163" s="3" t="s">
        <v>879</v>
      </c>
      <c r="H163" s="29">
        <v>60.28</v>
      </c>
      <c r="I163" s="30">
        <v>350.46300000000002</v>
      </c>
      <c r="J163" s="30">
        <v>350.52800000000002</v>
      </c>
      <c r="K163" s="31">
        <v>1</v>
      </c>
      <c r="L163" s="31">
        <v>1</v>
      </c>
      <c r="M163" s="4">
        <v>0</v>
      </c>
      <c r="N163" s="4">
        <v>0</v>
      </c>
      <c r="O163" s="4">
        <v>1</v>
      </c>
      <c r="P163" s="4">
        <v>1</v>
      </c>
      <c r="Q163" s="32">
        <v>350.46300000000002</v>
      </c>
      <c r="R163" s="32">
        <v>350.52800000000002</v>
      </c>
      <c r="S163" s="32">
        <v>21125.909640000002</v>
      </c>
      <c r="T163" s="32">
        <v>21129.827840000002</v>
      </c>
      <c r="U163" s="33">
        <v>1.1171870518283304E-3</v>
      </c>
      <c r="V163" s="34">
        <v>1.1215536928815177E-3</v>
      </c>
      <c r="W163" s="34">
        <v>4.3666410531873184E-6</v>
      </c>
      <c r="X163" s="35">
        <v>9.4132993353831367</v>
      </c>
      <c r="Y163" s="36">
        <v>156159.57756110048</v>
      </c>
      <c r="Z163" s="37">
        <v>0</v>
      </c>
      <c r="AA163" s="38">
        <v>0</v>
      </c>
      <c r="AB163" s="38">
        <v>0</v>
      </c>
      <c r="AC163" s="39">
        <v>0</v>
      </c>
      <c r="AD163" s="40">
        <v>0</v>
      </c>
      <c r="AE163" s="37">
        <v>2.26095928388211E-3</v>
      </c>
      <c r="AF163" s="38">
        <v>2.2713999906259774E-3</v>
      </c>
      <c r="AG163" s="38">
        <v>1.0440706743867437E-5</v>
      </c>
      <c r="AH163" s="39">
        <v>0.14633352454934098</v>
      </c>
      <c r="AI163" s="40">
        <v>2427.5634464057894</v>
      </c>
      <c r="AJ163" s="39">
        <v>9.5596328599324778</v>
      </c>
      <c r="AK163" s="28">
        <v>158587.14100750626</v>
      </c>
      <c r="AL163" s="41">
        <f t="shared" si="2"/>
        <v>36.219650407990365</v>
      </c>
      <c r="AM163" s="28">
        <v>1634772</v>
      </c>
      <c r="AN163" s="42">
        <v>9.700872109842E-2</v>
      </c>
      <c r="AP163" s="30"/>
      <c r="AR163" s="30"/>
    </row>
    <row r="164" spans="1:44" x14ac:dyDescent="0.2">
      <c r="A164" s="3" t="s">
        <v>751</v>
      </c>
      <c r="B164" s="3" t="s">
        <v>1027</v>
      </c>
      <c r="C164" s="3" t="s">
        <v>1700</v>
      </c>
      <c r="D164" s="27"/>
      <c r="E164" s="3" t="s">
        <v>833</v>
      </c>
      <c r="F164" s="133" t="s">
        <v>1064</v>
      </c>
      <c r="G164" s="3" t="s">
        <v>879</v>
      </c>
      <c r="H164" s="29">
        <v>77.95</v>
      </c>
      <c r="I164" s="30">
        <v>763.74099999999999</v>
      </c>
      <c r="J164" s="30">
        <v>763.92600000000004</v>
      </c>
      <c r="K164" s="31">
        <v>1</v>
      </c>
      <c r="L164" s="31">
        <v>1</v>
      </c>
      <c r="M164" s="4">
        <v>0.41</v>
      </c>
      <c r="N164" s="4">
        <v>0.41</v>
      </c>
      <c r="O164" s="4">
        <v>0.59</v>
      </c>
      <c r="P164" s="4">
        <v>0.59</v>
      </c>
      <c r="Q164" s="32">
        <v>763.74099999999999</v>
      </c>
      <c r="R164" s="32">
        <v>763.92600000000004</v>
      </c>
      <c r="S164" s="32">
        <v>59533.610950000002</v>
      </c>
      <c r="T164" s="32">
        <v>59548.031700000007</v>
      </c>
      <c r="U164" s="33">
        <v>3.1482752901675912E-3</v>
      </c>
      <c r="V164" s="34">
        <v>3.1607600100995751E-3</v>
      </c>
      <c r="W164" s="34">
        <v>1.2484719931983926E-5</v>
      </c>
      <c r="X164" s="35">
        <v>26.913685921678038</v>
      </c>
      <c r="Y164" s="36">
        <v>345268.58141985931</v>
      </c>
      <c r="Z164" s="37">
        <v>2.5515832950615057E-3</v>
      </c>
      <c r="AA164" s="38">
        <v>2.5599365856737591E-3</v>
      </c>
      <c r="AB164" s="38">
        <v>8.3532906122534521E-6</v>
      </c>
      <c r="AC164" s="39">
        <v>0.15981734738123118</v>
      </c>
      <c r="AD164" s="40">
        <v>2050.254616821439</v>
      </c>
      <c r="AE164" s="37">
        <v>3.7591664869230505E-3</v>
      </c>
      <c r="AF164" s="38">
        <v>3.7767399623381639E-3</v>
      </c>
      <c r="AG164" s="38">
        <v>1.7573475415113421E-5</v>
      </c>
      <c r="AH164" s="39">
        <v>0.24630407300590212</v>
      </c>
      <c r="AI164" s="40">
        <v>3159.7700193188216</v>
      </c>
      <c r="AJ164" s="39">
        <v>27.319807342065172</v>
      </c>
      <c r="AK164" s="28">
        <v>350478.60605599958</v>
      </c>
      <c r="AL164" s="41">
        <f t="shared" si="2"/>
        <v>80.081590327029673</v>
      </c>
      <c r="AM164" s="28">
        <v>3651060.5</v>
      </c>
      <c r="AN164" s="42">
        <v>9.5993645149402368E-2</v>
      </c>
      <c r="AP164" s="30"/>
      <c r="AR164" s="30"/>
    </row>
    <row r="165" spans="1:44" x14ac:dyDescent="0.2">
      <c r="A165" s="3" t="s">
        <v>1444</v>
      </c>
      <c r="B165" s="3" t="s">
        <v>1432</v>
      </c>
      <c r="C165" s="3" t="s">
        <v>1701</v>
      </c>
      <c r="D165" s="27"/>
      <c r="E165" s="3" t="s">
        <v>1462</v>
      </c>
      <c r="F165" s="133" t="s">
        <v>1058</v>
      </c>
      <c r="G165" s="3" t="s">
        <v>881</v>
      </c>
      <c r="H165" s="29">
        <v>54.37</v>
      </c>
      <c r="I165" s="30">
        <v>317.20699999999999</v>
      </c>
      <c r="J165" s="30">
        <v>317.20699999999999</v>
      </c>
      <c r="K165" s="31">
        <v>1</v>
      </c>
      <c r="L165" s="31">
        <v>1</v>
      </c>
      <c r="M165" s="4">
        <v>0</v>
      </c>
      <c r="N165" s="4">
        <v>0</v>
      </c>
      <c r="O165" s="4">
        <v>1</v>
      </c>
      <c r="P165" s="4">
        <v>1</v>
      </c>
      <c r="Q165" s="32">
        <v>317.20699999999999</v>
      </c>
      <c r="R165" s="32">
        <v>317.20699999999999</v>
      </c>
      <c r="S165" s="32">
        <v>17246.544589999998</v>
      </c>
      <c r="T165" s="32">
        <v>17246.544589999998</v>
      </c>
      <c r="U165" s="33">
        <v>9.1203723925082259E-4</v>
      </c>
      <c r="V165" s="34">
        <v>9.1543224681381297E-4</v>
      </c>
      <c r="W165" s="34">
        <v>3.3950075629903854E-6</v>
      </c>
      <c r="X165" s="35">
        <v>7.3187198230985873</v>
      </c>
      <c r="Y165" s="36">
        <v>134609.52405919784</v>
      </c>
      <c r="Z165" s="37">
        <v>0</v>
      </c>
      <c r="AA165" s="38">
        <v>0</v>
      </c>
      <c r="AB165" s="38">
        <v>0</v>
      </c>
      <c r="AC165" s="39">
        <v>0</v>
      </c>
      <c r="AD165" s="40">
        <v>0</v>
      </c>
      <c r="AE165" s="37">
        <v>1.8457778041337525E-3</v>
      </c>
      <c r="AF165" s="38">
        <v>1.853957425336812E-3</v>
      </c>
      <c r="AG165" s="38">
        <v>8.1796212030595637E-6</v>
      </c>
      <c r="AH165" s="39">
        <v>0.11464289051364089</v>
      </c>
      <c r="AI165" s="40">
        <v>2108.5688893441397</v>
      </c>
      <c r="AJ165" s="39">
        <v>7.4333627136122278</v>
      </c>
      <c r="AK165" s="28">
        <v>136718.09294854198</v>
      </c>
      <c r="AL165" s="41">
        <f t="shared" si="2"/>
        <v>31.221331276350799</v>
      </c>
      <c r="AM165" s="28">
        <v>1433213.625</v>
      </c>
      <c r="AN165" s="42">
        <v>9.5392682963463996E-2</v>
      </c>
      <c r="AP165" s="30"/>
      <c r="AR165" s="30"/>
    </row>
    <row r="166" spans="1:44" x14ac:dyDescent="0.2">
      <c r="A166" s="3" t="s">
        <v>1139</v>
      </c>
      <c r="B166" s="3" t="s">
        <v>375</v>
      </c>
      <c r="C166" s="3" t="s">
        <v>1702</v>
      </c>
      <c r="D166" s="27"/>
      <c r="E166" s="3" t="s">
        <v>674</v>
      </c>
      <c r="F166" s="133" t="s">
        <v>1055</v>
      </c>
      <c r="G166" s="3" t="s">
        <v>879</v>
      </c>
      <c r="H166" s="29">
        <v>57.85</v>
      </c>
      <c r="I166" s="30">
        <v>605.87</v>
      </c>
      <c r="J166" s="30">
        <v>606.94299999999998</v>
      </c>
      <c r="K166" s="31">
        <v>1</v>
      </c>
      <c r="L166" s="31">
        <v>1</v>
      </c>
      <c r="M166" s="4">
        <v>1</v>
      </c>
      <c r="N166" s="4">
        <v>1</v>
      </c>
      <c r="O166" s="4">
        <v>0</v>
      </c>
      <c r="P166" s="4">
        <v>0</v>
      </c>
      <c r="Q166" s="32">
        <v>605.87</v>
      </c>
      <c r="R166" s="32">
        <v>606.94299999999998</v>
      </c>
      <c r="S166" s="32">
        <v>35049.5795</v>
      </c>
      <c r="T166" s="32">
        <v>35111.652549999999</v>
      </c>
      <c r="U166" s="33">
        <v>1.8535029760464168E-3</v>
      </c>
      <c r="V166" s="34">
        <v>1.8636973229889436E-3</v>
      </c>
      <c r="W166" s="34">
        <v>1.0194346942526836E-5</v>
      </c>
      <c r="X166" s="35">
        <v>21.976260042878415</v>
      </c>
      <c r="Y166" s="36">
        <v>379883.49253030965</v>
      </c>
      <c r="Z166" s="37">
        <v>3.6639242009489739E-3</v>
      </c>
      <c r="AA166" s="38">
        <v>3.6815373413564912E-3</v>
      </c>
      <c r="AB166" s="38">
        <v>1.7613140407517301E-5</v>
      </c>
      <c r="AC166" s="39">
        <v>0.33697922287696219</v>
      </c>
      <c r="AD166" s="40">
        <v>5825.0513894029764</v>
      </c>
      <c r="AE166" s="37">
        <v>0</v>
      </c>
      <c r="AF166" s="38">
        <v>0</v>
      </c>
      <c r="AG166" s="38">
        <v>0</v>
      </c>
      <c r="AH166" s="39">
        <v>0</v>
      </c>
      <c r="AI166" s="40">
        <v>0</v>
      </c>
      <c r="AJ166" s="39">
        <v>22.313239265755378</v>
      </c>
      <c r="AK166" s="28">
        <v>385708.54391971265</v>
      </c>
      <c r="AL166" s="41">
        <f t="shared" si="2"/>
        <v>88.110172364104017</v>
      </c>
      <c r="AM166" s="28">
        <v>4089668.75</v>
      </c>
      <c r="AN166" s="42">
        <v>9.4312905885033507E-2</v>
      </c>
      <c r="AP166" s="30"/>
      <c r="AR166" s="30"/>
    </row>
    <row r="167" spans="1:44" x14ac:dyDescent="0.2">
      <c r="A167" s="3" t="s">
        <v>1537</v>
      </c>
      <c r="B167" s="3" t="s">
        <v>1498</v>
      </c>
      <c r="C167" s="3" t="s">
        <v>1703</v>
      </c>
      <c r="D167" s="27"/>
      <c r="E167" s="3" t="s">
        <v>2086</v>
      </c>
      <c r="F167" s="133" t="s">
        <v>1051</v>
      </c>
      <c r="G167" s="3" t="s">
        <v>881</v>
      </c>
      <c r="H167" s="29">
        <v>21.84</v>
      </c>
      <c r="I167" s="30">
        <v>1661.7149999999999</v>
      </c>
      <c r="J167" s="30">
        <v>1661.7149999999999</v>
      </c>
      <c r="K167" s="31">
        <v>1</v>
      </c>
      <c r="L167" s="31">
        <v>1</v>
      </c>
      <c r="M167" s="4">
        <v>0.56000000000000005</v>
      </c>
      <c r="N167" s="4">
        <v>0.56000000000000005</v>
      </c>
      <c r="O167" s="4">
        <v>0.44</v>
      </c>
      <c r="P167" s="4">
        <v>0.44</v>
      </c>
      <c r="Q167" s="32">
        <v>1661.7149999999999</v>
      </c>
      <c r="R167" s="32">
        <v>1661.7149999999999</v>
      </c>
      <c r="S167" s="32">
        <v>36291.855599999995</v>
      </c>
      <c r="T167" s="32">
        <v>36291.855599999995</v>
      </c>
      <c r="U167" s="33">
        <v>1.9191974146464956E-3</v>
      </c>
      <c r="V167" s="34">
        <v>1.9263415195768477E-3</v>
      </c>
      <c r="W167" s="34">
        <v>7.1441049303521114E-6</v>
      </c>
      <c r="X167" s="35">
        <v>15.400761677835597</v>
      </c>
      <c r="Y167" s="36">
        <v>705163.08048697782</v>
      </c>
      <c r="Z167" s="37">
        <v>2.1245202241842562E-3</v>
      </c>
      <c r="AA167" s="38">
        <v>2.1309592300568008E-3</v>
      </c>
      <c r="AB167" s="38">
        <v>6.4390058725446488E-6</v>
      </c>
      <c r="AC167" s="39">
        <v>0.12319274955102355</v>
      </c>
      <c r="AD167" s="40">
        <v>5640.6936607611524</v>
      </c>
      <c r="AE167" s="37">
        <v>1.7089886337872612E-3</v>
      </c>
      <c r="AF167" s="38">
        <v>1.7165620695677802E-3</v>
      </c>
      <c r="AG167" s="38">
        <v>7.5734357805189601E-6</v>
      </c>
      <c r="AH167" s="39">
        <v>0.10614679426394008</v>
      </c>
      <c r="AI167" s="40">
        <v>4860.2012025613585</v>
      </c>
      <c r="AJ167" s="39">
        <v>15.630101221650561</v>
      </c>
      <c r="AK167" s="28">
        <v>715663.97535030032</v>
      </c>
      <c r="AL167" s="41">
        <f t="shared" si="2"/>
        <v>163.55551580476444</v>
      </c>
      <c r="AM167" s="28">
        <v>7700603</v>
      </c>
      <c r="AN167" s="42">
        <v>9.2936095439577954E-2</v>
      </c>
      <c r="AP167" s="30"/>
      <c r="AR167" s="30"/>
    </row>
    <row r="168" spans="1:44" x14ac:dyDescent="0.2">
      <c r="A168" s="3" t="s">
        <v>230</v>
      </c>
      <c r="B168" s="3" t="s">
        <v>510</v>
      </c>
      <c r="C168" s="3" t="s">
        <v>1704</v>
      </c>
      <c r="D168" s="27"/>
      <c r="E168" s="3" t="s">
        <v>78</v>
      </c>
      <c r="F168" s="133" t="s">
        <v>1058</v>
      </c>
      <c r="G168" s="3" t="s">
        <v>879</v>
      </c>
      <c r="H168" s="29">
        <v>75.400000000000006</v>
      </c>
      <c r="I168" s="30">
        <v>111.14</v>
      </c>
      <c r="J168" s="30">
        <v>111.175</v>
      </c>
      <c r="K168" s="31">
        <v>1</v>
      </c>
      <c r="L168" s="31">
        <v>1</v>
      </c>
      <c r="M168" s="4">
        <v>0</v>
      </c>
      <c r="N168" s="4">
        <v>0</v>
      </c>
      <c r="O168" s="4">
        <v>1</v>
      </c>
      <c r="P168" s="4">
        <v>1</v>
      </c>
      <c r="Q168" s="32">
        <v>111.14</v>
      </c>
      <c r="R168" s="32">
        <v>111.175</v>
      </c>
      <c r="S168" s="32">
        <v>8379.9560000000001</v>
      </c>
      <c r="T168" s="32">
        <v>8382.5950000000012</v>
      </c>
      <c r="U168" s="33">
        <v>4.4315149016660893E-4</v>
      </c>
      <c r="V168" s="34">
        <v>4.4494117270480073E-4</v>
      </c>
      <c r="W168" s="34">
        <v>1.789682538191797E-6</v>
      </c>
      <c r="X168" s="35">
        <v>3.8580724273204785</v>
      </c>
      <c r="Y168" s="36">
        <v>51168.069327857796</v>
      </c>
      <c r="Z168" s="37">
        <v>0</v>
      </c>
      <c r="AA168" s="38">
        <v>0</v>
      </c>
      <c r="AB168" s="38">
        <v>0</v>
      </c>
      <c r="AC168" s="39">
        <v>0</v>
      </c>
      <c r="AD168" s="40">
        <v>0</v>
      </c>
      <c r="AE168" s="37">
        <v>8.9684845005914696E-4</v>
      </c>
      <c r="AF168" s="38">
        <v>9.0110654703854732E-4</v>
      </c>
      <c r="AG168" s="38">
        <v>4.2580969794003528E-6</v>
      </c>
      <c r="AH168" s="39">
        <v>5.9680091985587866E-2</v>
      </c>
      <c r="AI168" s="40">
        <v>791.5131563075314</v>
      </c>
      <c r="AJ168" s="39">
        <v>3.9177525193060663</v>
      </c>
      <c r="AK168" s="28">
        <v>51959.58248416533</v>
      </c>
      <c r="AL168" s="41">
        <f t="shared" si="2"/>
        <v>11.867921340794409</v>
      </c>
      <c r="AM168" s="28">
        <v>559800.125</v>
      </c>
      <c r="AN168" s="42">
        <v>9.2818097323871321E-2</v>
      </c>
      <c r="AP168" s="30"/>
      <c r="AR168" s="30"/>
    </row>
    <row r="169" spans="1:44" x14ac:dyDescent="0.2">
      <c r="A169" s="3" t="s">
        <v>901</v>
      </c>
      <c r="B169" s="3" t="s">
        <v>986</v>
      </c>
      <c r="C169" s="3" t="s">
        <v>1705</v>
      </c>
      <c r="D169" s="27"/>
      <c r="E169" s="3" t="s">
        <v>790</v>
      </c>
      <c r="F169" s="133" t="s">
        <v>1068</v>
      </c>
      <c r="G169" s="3" t="s">
        <v>879</v>
      </c>
      <c r="H169" s="29">
        <v>83.1</v>
      </c>
      <c r="I169" s="30">
        <v>583.86900000000003</v>
      </c>
      <c r="J169" s="30">
        <v>584.23099999999999</v>
      </c>
      <c r="K169" s="31">
        <v>1</v>
      </c>
      <c r="L169" s="31">
        <v>1</v>
      </c>
      <c r="M169" s="4">
        <v>0</v>
      </c>
      <c r="N169" s="4">
        <v>0</v>
      </c>
      <c r="O169" s="4">
        <v>1</v>
      </c>
      <c r="P169" s="4">
        <v>1</v>
      </c>
      <c r="Q169" s="32">
        <v>583.86900000000003</v>
      </c>
      <c r="R169" s="32">
        <v>584.23099999999999</v>
      </c>
      <c r="S169" s="32">
        <v>48519.513899999998</v>
      </c>
      <c r="T169" s="32">
        <v>48549.596099999995</v>
      </c>
      <c r="U169" s="33">
        <v>2.5658243178060237E-3</v>
      </c>
      <c r="V169" s="34">
        <v>2.5769721933456662E-3</v>
      </c>
      <c r="W169" s="34">
        <v>1.1147875539642502E-5</v>
      </c>
      <c r="X169" s="35">
        <v>24.031810293097866</v>
      </c>
      <c r="Y169" s="36">
        <v>289191.45960406581</v>
      </c>
      <c r="Z169" s="37">
        <v>0</v>
      </c>
      <c r="AA169" s="38">
        <v>0</v>
      </c>
      <c r="AB169" s="38">
        <v>0</v>
      </c>
      <c r="AC169" s="39">
        <v>0</v>
      </c>
      <c r="AD169" s="40">
        <v>0</v>
      </c>
      <c r="AE169" s="37">
        <v>5.1927063625200696E-3</v>
      </c>
      <c r="AF169" s="38">
        <v>5.2189517567993102E-3</v>
      </c>
      <c r="AG169" s="38">
        <v>2.6245394279240594E-5</v>
      </c>
      <c r="AH169" s="39">
        <v>0.36784684622276465</v>
      </c>
      <c r="AI169" s="40">
        <v>4426.5565129093229</v>
      </c>
      <c r="AJ169" s="39">
        <v>24.399657139320631</v>
      </c>
      <c r="AK169" s="28">
        <v>293618.01611697511</v>
      </c>
      <c r="AL169" s="41">
        <f t="shared" si="2"/>
        <v>67.075063415418185</v>
      </c>
      <c r="AM169" s="28">
        <v>3182615.5</v>
      </c>
      <c r="AN169" s="42">
        <v>9.2256829678915062E-2</v>
      </c>
      <c r="AP169" s="30"/>
      <c r="AR169" s="30"/>
    </row>
    <row r="170" spans="1:44" x14ac:dyDescent="0.2">
      <c r="A170" s="3" t="s">
        <v>1126</v>
      </c>
      <c r="B170" s="3" t="s">
        <v>360</v>
      </c>
      <c r="C170" s="3" t="s">
        <v>1706</v>
      </c>
      <c r="D170" s="27"/>
      <c r="E170" s="3" t="s">
        <v>664</v>
      </c>
      <c r="F170" s="133" t="s">
        <v>1066</v>
      </c>
      <c r="G170" s="3" t="s">
        <v>879</v>
      </c>
      <c r="H170" s="29">
        <v>131.46</v>
      </c>
      <c r="I170" s="30">
        <v>129.34</v>
      </c>
      <c r="J170" s="30">
        <v>129.47</v>
      </c>
      <c r="K170" s="31">
        <v>1</v>
      </c>
      <c r="L170" s="31">
        <v>1</v>
      </c>
      <c r="M170" s="4">
        <v>1</v>
      </c>
      <c r="N170" s="4">
        <v>1</v>
      </c>
      <c r="O170" s="4">
        <v>0</v>
      </c>
      <c r="P170" s="4">
        <v>0</v>
      </c>
      <c r="Q170" s="32">
        <v>129.34</v>
      </c>
      <c r="R170" s="32">
        <v>129.47</v>
      </c>
      <c r="S170" s="32">
        <v>17003.036400000001</v>
      </c>
      <c r="T170" s="32">
        <v>17020.126200000002</v>
      </c>
      <c r="U170" s="33">
        <v>8.9915996193978744E-4</v>
      </c>
      <c r="V170" s="34">
        <v>9.0341414693322346E-4</v>
      </c>
      <c r="W170" s="34">
        <v>4.2541849934360195E-6</v>
      </c>
      <c r="X170" s="35">
        <v>9.1708744280864813</v>
      </c>
      <c r="Y170" s="36">
        <v>69761.710239513777</v>
      </c>
      <c r="Z170" s="37">
        <v>1.7774203697815069E-3</v>
      </c>
      <c r="AA170" s="38">
        <v>1.7845992885316352E-3</v>
      </c>
      <c r="AB170" s="38">
        <v>7.1789187501283217E-6</v>
      </c>
      <c r="AC170" s="39">
        <v>0.13734895683240003</v>
      </c>
      <c r="AD170" s="40">
        <v>1044.7965680237337</v>
      </c>
      <c r="AE170" s="37">
        <v>0</v>
      </c>
      <c r="AF170" s="38">
        <v>0</v>
      </c>
      <c r="AG170" s="38">
        <v>0</v>
      </c>
      <c r="AH170" s="39">
        <v>0</v>
      </c>
      <c r="AI170" s="40">
        <v>0</v>
      </c>
      <c r="AJ170" s="39">
        <v>9.3082233849188807</v>
      </c>
      <c r="AK170" s="28">
        <v>70806.506807537517</v>
      </c>
      <c r="AL170" s="41">
        <f t="shared" si="2"/>
        <v>16.180530174334471</v>
      </c>
      <c r="AM170" s="28">
        <v>768575.8125</v>
      </c>
      <c r="AN170" s="42">
        <v>9.2126899722774602E-2</v>
      </c>
      <c r="AP170" s="30"/>
      <c r="AR170" s="30"/>
    </row>
    <row r="171" spans="1:44" x14ac:dyDescent="0.2">
      <c r="A171" s="3" t="s">
        <v>1219</v>
      </c>
      <c r="B171" s="3" t="s">
        <v>454</v>
      </c>
      <c r="C171" s="3" t="s">
        <v>1707</v>
      </c>
      <c r="D171" s="27"/>
      <c r="E171" s="3" t="s">
        <v>28</v>
      </c>
      <c r="F171" s="133" t="s">
        <v>1060</v>
      </c>
      <c r="G171" s="3" t="s">
        <v>879</v>
      </c>
      <c r="H171" s="29">
        <v>30</v>
      </c>
      <c r="I171" s="30">
        <v>419.649</v>
      </c>
      <c r="J171" s="30">
        <v>420.05200000000002</v>
      </c>
      <c r="K171" s="31">
        <v>1</v>
      </c>
      <c r="L171" s="31">
        <v>1</v>
      </c>
      <c r="M171" s="4">
        <v>1</v>
      </c>
      <c r="N171" s="4">
        <v>1</v>
      </c>
      <c r="O171" s="4">
        <v>0</v>
      </c>
      <c r="P171" s="4">
        <v>0</v>
      </c>
      <c r="Q171" s="32">
        <v>419.649</v>
      </c>
      <c r="R171" s="32">
        <v>420.05200000000002</v>
      </c>
      <c r="S171" s="32">
        <v>12589.47</v>
      </c>
      <c r="T171" s="32">
        <v>12601.560000000001</v>
      </c>
      <c r="U171" s="33">
        <v>6.6576034419605756E-4</v>
      </c>
      <c r="V171" s="34">
        <v>6.6888032695244239E-4</v>
      </c>
      <c r="W171" s="34">
        <v>3.1199827563848379E-6</v>
      </c>
      <c r="X171" s="35">
        <v>6.7258405830373551</v>
      </c>
      <c r="Y171" s="36">
        <v>224194.68610124517</v>
      </c>
      <c r="Z171" s="37">
        <v>1.3160461400149202E-3</v>
      </c>
      <c r="AA171" s="38">
        <v>1.3213024830796326E-3</v>
      </c>
      <c r="AB171" s="38">
        <v>5.2563430647124126E-6</v>
      </c>
      <c r="AC171" s="39">
        <v>0.10056573445389193</v>
      </c>
      <c r="AD171" s="40">
        <v>3352.1911484630646</v>
      </c>
      <c r="AE171" s="37">
        <v>0</v>
      </c>
      <c r="AF171" s="38">
        <v>0</v>
      </c>
      <c r="AG171" s="38">
        <v>0</v>
      </c>
      <c r="AH171" s="39">
        <v>0</v>
      </c>
      <c r="AI171" s="40">
        <v>0</v>
      </c>
      <c r="AJ171" s="39">
        <v>6.826406317491247</v>
      </c>
      <c r="AK171" s="28">
        <v>227546.87724970822</v>
      </c>
      <c r="AL171" s="41">
        <f t="shared" si="2"/>
        <v>51.999712606413965</v>
      </c>
      <c r="AM171" s="28">
        <v>2479295.25</v>
      </c>
      <c r="AN171" s="42">
        <v>9.177885419241949E-2</v>
      </c>
      <c r="AP171" s="30"/>
      <c r="AR171" s="30"/>
    </row>
    <row r="172" spans="1:44" x14ac:dyDescent="0.2">
      <c r="A172" s="3" t="s">
        <v>1209</v>
      </c>
      <c r="B172" s="3" t="s">
        <v>445</v>
      </c>
      <c r="C172" s="3" t="s">
        <v>1708</v>
      </c>
      <c r="D172" s="27"/>
      <c r="E172" s="3" t="s">
        <v>19</v>
      </c>
      <c r="F172" s="133" t="s">
        <v>1060</v>
      </c>
      <c r="G172" s="3" t="s">
        <v>879</v>
      </c>
      <c r="H172" s="29">
        <v>38.46</v>
      </c>
      <c r="I172" s="30">
        <v>262.65199999999999</v>
      </c>
      <c r="J172" s="30">
        <v>263.24900000000002</v>
      </c>
      <c r="K172" s="31">
        <v>0.91</v>
      </c>
      <c r="L172" s="31">
        <v>0.91</v>
      </c>
      <c r="M172" s="4">
        <v>0.39</v>
      </c>
      <c r="N172" s="4">
        <v>0.39</v>
      </c>
      <c r="O172" s="4">
        <v>0.61</v>
      </c>
      <c r="P172" s="4">
        <v>0.61</v>
      </c>
      <c r="Q172" s="32">
        <v>239.01331999999999</v>
      </c>
      <c r="R172" s="32">
        <v>239.55659000000003</v>
      </c>
      <c r="S172" s="32">
        <v>9192.4522871999998</v>
      </c>
      <c r="T172" s="32">
        <v>9213.3464514000007</v>
      </c>
      <c r="U172" s="33">
        <v>4.8611817643888971E-4</v>
      </c>
      <c r="V172" s="34">
        <v>4.8903676899832692E-4</v>
      </c>
      <c r="W172" s="34">
        <v>2.9185925594372021E-6</v>
      </c>
      <c r="X172" s="35">
        <v>6.2916976837266576</v>
      </c>
      <c r="Y172" s="36">
        <v>163590.68340422926</v>
      </c>
      <c r="Z172" s="37">
        <v>3.7476554822704573E-4</v>
      </c>
      <c r="AA172" s="38">
        <v>3.7675580182501366E-4</v>
      </c>
      <c r="AB172" s="38">
        <v>1.9902535979679286E-6</v>
      </c>
      <c r="AC172" s="39">
        <v>3.8078053955958154E-2</v>
      </c>
      <c r="AD172" s="40">
        <v>990.06900561513646</v>
      </c>
      <c r="AE172" s="37">
        <v>6.0012061131000782E-4</v>
      </c>
      <c r="AF172" s="38">
        <v>6.0415016502281846E-4</v>
      </c>
      <c r="AG172" s="38">
        <v>4.0295537128106403E-6</v>
      </c>
      <c r="AH172" s="39">
        <v>5.6476904449290474E-2</v>
      </c>
      <c r="AI172" s="40">
        <v>1468.4582540117126</v>
      </c>
      <c r="AJ172" s="39">
        <v>6.3862526421319066</v>
      </c>
      <c r="AK172" s="28">
        <v>166049.21066385612</v>
      </c>
      <c r="AL172" s="41">
        <f t="shared" si="2"/>
        <v>37.943221001523689</v>
      </c>
      <c r="AM172" s="28">
        <v>1840076.875</v>
      </c>
      <c r="AN172" s="42">
        <v>9.0240365997673946E-2</v>
      </c>
      <c r="AP172" s="30"/>
      <c r="AR172" s="30"/>
    </row>
    <row r="173" spans="1:44" x14ac:dyDescent="0.2">
      <c r="A173" s="3" t="s">
        <v>908</v>
      </c>
      <c r="B173" s="3" t="s">
        <v>372</v>
      </c>
      <c r="C173" s="3" t="s">
        <v>1709</v>
      </c>
      <c r="D173" s="27"/>
      <c r="E173" s="3" t="s">
        <v>796</v>
      </c>
      <c r="F173" s="133" t="s">
        <v>1051</v>
      </c>
      <c r="G173" s="3" t="s">
        <v>881</v>
      </c>
      <c r="H173" s="29">
        <v>31.58</v>
      </c>
      <c r="I173" s="30">
        <v>5029.7120000000004</v>
      </c>
      <c r="J173" s="30">
        <v>5029.7120000000004</v>
      </c>
      <c r="K173" s="31">
        <v>1</v>
      </c>
      <c r="L173" s="31">
        <v>1</v>
      </c>
      <c r="M173" s="4">
        <v>0.41</v>
      </c>
      <c r="N173" s="4">
        <v>0.41</v>
      </c>
      <c r="O173" s="4">
        <v>0.59</v>
      </c>
      <c r="P173" s="4">
        <v>0.59</v>
      </c>
      <c r="Q173" s="32">
        <v>5029.7120000000004</v>
      </c>
      <c r="R173" s="32">
        <v>5029.7120000000004</v>
      </c>
      <c r="S173" s="32">
        <v>158838.30496000001</v>
      </c>
      <c r="T173" s="32">
        <v>158838.30496000001</v>
      </c>
      <c r="U173" s="33">
        <v>8.3997376046559512E-3</v>
      </c>
      <c r="V173" s="34">
        <v>8.4310051576325894E-3</v>
      </c>
      <c r="W173" s="34">
        <v>3.1267552976638191E-5</v>
      </c>
      <c r="X173" s="35">
        <v>67.40440353786488</v>
      </c>
      <c r="Y173" s="36">
        <v>2134401.6319779884</v>
      </c>
      <c r="Z173" s="37">
        <v>6.8077369923387971E-3</v>
      </c>
      <c r="AA173" s="38">
        <v>6.8283699135854008E-3</v>
      </c>
      <c r="AB173" s="38">
        <v>2.0632921246603771E-5</v>
      </c>
      <c r="AC173" s="39">
        <v>0.39475446209436976</v>
      </c>
      <c r="AD173" s="40">
        <v>12500.141294945211</v>
      </c>
      <c r="AE173" s="37">
        <v>1.0029622314473356E-2</v>
      </c>
      <c r="AF173" s="38">
        <v>1.0074068894748845E-2</v>
      </c>
      <c r="AG173" s="38">
        <v>4.4446580275489186E-5</v>
      </c>
      <c r="AH173" s="39">
        <v>0.62294870504794364</v>
      </c>
      <c r="AI173" s="40">
        <v>19726.051458136277</v>
      </c>
      <c r="AJ173" s="39">
        <v>68.422106705007195</v>
      </c>
      <c r="AK173" s="28">
        <v>2166627.8247310696</v>
      </c>
      <c r="AL173" s="41">
        <f t="shared" si="2"/>
        <v>495.05308702720379</v>
      </c>
      <c r="AM173" s="28">
        <v>24312672</v>
      </c>
      <c r="AN173" s="42">
        <v>8.9115166968528572E-2</v>
      </c>
      <c r="AP173" s="30"/>
      <c r="AR173" s="30"/>
    </row>
    <row r="174" spans="1:44" x14ac:dyDescent="0.2">
      <c r="A174" s="3" t="s">
        <v>1315</v>
      </c>
      <c r="B174" s="3" t="s">
        <v>1314</v>
      </c>
      <c r="C174" s="3" t="s">
        <v>1710</v>
      </c>
      <c r="D174" s="27"/>
      <c r="E174" s="3" t="s">
        <v>1467</v>
      </c>
      <c r="F174" s="133" t="s">
        <v>1057</v>
      </c>
      <c r="G174" s="3" t="s">
        <v>879</v>
      </c>
      <c r="H174" s="29">
        <v>155.94</v>
      </c>
      <c r="I174" s="30">
        <v>190.24299999999999</v>
      </c>
      <c r="J174" s="30">
        <v>190.357</v>
      </c>
      <c r="K174" s="31">
        <v>0.74</v>
      </c>
      <c r="L174" s="31">
        <v>0.74</v>
      </c>
      <c r="M174" s="4">
        <v>1</v>
      </c>
      <c r="N174" s="4">
        <v>1</v>
      </c>
      <c r="O174" s="4">
        <v>0</v>
      </c>
      <c r="P174" s="4">
        <v>0</v>
      </c>
      <c r="Q174" s="32">
        <v>140.77982</v>
      </c>
      <c r="R174" s="32">
        <v>140.86418</v>
      </c>
      <c r="S174" s="32">
        <v>21953.205130800001</v>
      </c>
      <c r="T174" s="32">
        <v>21966.3602292</v>
      </c>
      <c r="U174" s="33">
        <v>1.1609363542776675E-3</v>
      </c>
      <c r="V174" s="34">
        <v>1.1659561365467783E-3</v>
      </c>
      <c r="W174" s="34">
        <v>5.0197822691108035E-6</v>
      </c>
      <c r="X174" s="35">
        <v>10.821295481362698</v>
      </c>
      <c r="Y174" s="36">
        <v>69393.968714651142</v>
      </c>
      <c r="Z174" s="37">
        <v>2.2948885754003213E-3</v>
      </c>
      <c r="AA174" s="38">
        <v>2.3032232767263455E-3</v>
      </c>
      <c r="AB174" s="38">
        <v>8.3347013260241971E-6</v>
      </c>
      <c r="AC174" s="39">
        <v>0.15946169228041235</v>
      </c>
      <c r="AD174" s="40">
        <v>1022.5836365295137</v>
      </c>
      <c r="AE174" s="37">
        <v>0</v>
      </c>
      <c r="AF174" s="38">
        <v>0</v>
      </c>
      <c r="AG174" s="38">
        <v>0</v>
      </c>
      <c r="AH174" s="39">
        <v>0</v>
      </c>
      <c r="AI174" s="40">
        <v>0</v>
      </c>
      <c r="AJ174" s="39">
        <v>10.980757173643111</v>
      </c>
      <c r="AK174" s="28">
        <v>70416.552351180653</v>
      </c>
      <c r="AL174" s="41">
        <f t="shared" si="2"/>
        <v>16.095236209794805</v>
      </c>
      <c r="AM174" s="28">
        <v>791548.0625</v>
      </c>
      <c r="AN174" s="42">
        <v>8.8960551717831599E-2</v>
      </c>
      <c r="AP174" s="30"/>
      <c r="AR174" s="30"/>
    </row>
    <row r="175" spans="1:44" x14ac:dyDescent="0.2">
      <c r="A175" s="3" t="s">
        <v>1163</v>
      </c>
      <c r="B175" s="3" t="s">
        <v>399</v>
      </c>
      <c r="C175" s="3" t="s">
        <v>1711</v>
      </c>
      <c r="D175" s="27"/>
      <c r="E175" s="3" t="s">
        <v>694</v>
      </c>
      <c r="F175" s="133" t="s">
        <v>1064</v>
      </c>
      <c r="G175" s="3" t="s">
        <v>879</v>
      </c>
      <c r="H175" s="29">
        <v>91.14</v>
      </c>
      <c r="I175" s="30">
        <v>550.27700000000004</v>
      </c>
      <c r="J175" s="30">
        <v>550.64400000000001</v>
      </c>
      <c r="K175" s="31">
        <v>1</v>
      </c>
      <c r="L175" s="31">
        <v>1</v>
      </c>
      <c r="M175" s="4">
        <v>0.53</v>
      </c>
      <c r="N175" s="4">
        <v>0.53</v>
      </c>
      <c r="O175" s="4">
        <v>0.47</v>
      </c>
      <c r="P175" s="4">
        <v>0.47</v>
      </c>
      <c r="Q175" s="32">
        <v>550.27700000000004</v>
      </c>
      <c r="R175" s="32">
        <v>550.64400000000001</v>
      </c>
      <c r="S175" s="32">
        <v>50152.245780000005</v>
      </c>
      <c r="T175" s="32">
        <v>50185.694159999999</v>
      </c>
      <c r="U175" s="33">
        <v>2.6521669627631726E-3</v>
      </c>
      <c r="V175" s="34">
        <v>2.6638149180003168E-3</v>
      </c>
      <c r="W175" s="34">
        <v>1.1647955237144205E-5</v>
      </c>
      <c r="X175" s="35">
        <v>25.109847124335765</v>
      </c>
      <c r="Y175" s="36">
        <v>275508.52670985035</v>
      </c>
      <c r="Z175" s="37">
        <v>2.7786249000219827E-3</v>
      </c>
      <c r="AA175" s="38">
        <v>2.7889051532986389E-3</v>
      </c>
      <c r="AB175" s="38">
        <v>1.0280253276656257E-5</v>
      </c>
      <c r="AC175" s="39">
        <v>0.19668450259258893</v>
      </c>
      <c r="AD175" s="40">
        <v>2158.0480863790754</v>
      </c>
      <c r="AE175" s="37">
        <v>2.5226997648371717E-3</v>
      </c>
      <c r="AF175" s="38">
        <v>2.5355691239249403E-3</v>
      </c>
      <c r="AG175" s="38">
        <v>1.2869359087768623E-5</v>
      </c>
      <c r="AH175" s="39">
        <v>0.18037271998951807</v>
      </c>
      <c r="AI175" s="40">
        <v>1979.0730742760377</v>
      </c>
      <c r="AJ175" s="39">
        <v>25.486904346917871</v>
      </c>
      <c r="AK175" s="28">
        <v>279645.64787050546</v>
      </c>
      <c r="AL175" s="41">
        <f t="shared" si="2"/>
        <v>63.901444136187216</v>
      </c>
      <c r="AM175" s="28">
        <v>3155363.5</v>
      </c>
      <c r="AN175" s="42">
        <v>8.862549366198394E-2</v>
      </c>
      <c r="AP175" s="30"/>
      <c r="AR175" s="30"/>
    </row>
    <row r="176" spans="1:44" x14ac:dyDescent="0.2">
      <c r="A176" s="3" t="s">
        <v>925</v>
      </c>
      <c r="B176" s="3" t="s">
        <v>1005</v>
      </c>
      <c r="C176" s="3" t="s">
        <v>1712</v>
      </c>
      <c r="D176" s="27"/>
      <c r="E176" s="3" t="s">
        <v>810</v>
      </c>
      <c r="F176" s="133" t="s">
        <v>1064</v>
      </c>
      <c r="G176" s="3" t="s">
        <v>879</v>
      </c>
      <c r="H176" s="29">
        <v>44.74</v>
      </c>
      <c r="I176" s="30">
        <v>859.26499999999999</v>
      </c>
      <c r="J176" s="30">
        <v>861.10299999999995</v>
      </c>
      <c r="K176" s="31">
        <v>1</v>
      </c>
      <c r="L176" s="31">
        <v>1</v>
      </c>
      <c r="M176" s="4">
        <v>0</v>
      </c>
      <c r="N176" s="4">
        <v>0</v>
      </c>
      <c r="O176" s="4">
        <v>1</v>
      </c>
      <c r="P176" s="4">
        <v>1</v>
      </c>
      <c r="Q176" s="32">
        <v>859.26499999999999</v>
      </c>
      <c r="R176" s="32">
        <v>861.10299999999995</v>
      </c>
      <c r="S176" s="32">
        <v>38443.516100000001</v>
      </c>
      <c r="T176" s="32">
        <v>38525.748220000001</v>
      </c>
      <c r="U176" s="33">
        <v>2.032982207419588E-3</v>
      </c>
      <c r="V176" s="34">
        <v>2.0449146824267055E-3</v>
      </c>
      <c r="W176" s="34">
        <v>1.1932475007117496E-5</v>
      </c>
      <c r="X176" s="35">
        <v>25.723194942251322</v>
      </c>
      <c r="Y176" s="36">
        <v>574948.47881652473</v>
      </c>
      <c r="Z176" s="37">
        <v>0</v>
      </c>
      <c r="AA176" s="38">
        <v>0</v>
      </c>
      <c r="AB176" s="38">
        <v>0</v>
      </c>
      <c r="AC176" s="39">
        <v>0</v>
      </c>
      <c r="AD176" s="40">
        <v>0</v>
      </c>
      <c r="AE176" s="37">
        <v>4.1143423460825879E-3</v>
      </c>
      <c r="AF176" s="38">
        <v>4.1414149139497565E-3</v>
      </c>
      <c r="AG176" s="38">
        <v>2.70725678671686E-5</v>
      </c>
      <c r="AH176" s="39">
        <v>0.37944024018593925</v>
      </c>
      <c r="AI176" s="40">
        <v>8481.0067095650265</v>
      </c>
      <c r="AJ176" s="39">
        <v>26.102635182437261</v>
      </c>
      <c r="AK176" s="28">
        <v>583429.48552608979</v>
      </c>
      <c r="AL176" s="41">
        <f t="shared" si="2"/>
        <v>133.35354277064701</v>
      </c>
      <c r="AM176" s="28">
        <v>6596803</v>
      </c>
      <c r="AN176" s="42">
        <v>8.844124730207796E-2</v>
      </c>
      <c r="AP176" s="30"/>
      <c r="AR176" s="30"/>
    </row>
    <row r="177" spans="1:44" x14ac:dyDescent="0.2">
      <c r="A177" s="3" t="s">
        <v>209</v>
      </c>
      <c r="B177" s="3" t="s">
        <v>489</v>
      </c>
      <c r="C177" s="3" t="s">
        <v>1713</v>
      </c>
      <c r="D177" s="27"/>
      <c r="E177" s="3" t="s">
        <v>61</v>
      </c>
      <c r="F177" s="133" t="s">
        <v>1052</v>
      </c>
      <c r="G177" s="3" t="s">
        <v>879</v>
      </c>
      <c r="H177" s="29">
        <v>49.44</v>
      </c>
      <c r="I177" s="30">
        <v>317.92899999999997</v>
      </c>
      <c r="J177" s="30">
        <v>318.35599999999999</v>
      </c>
      <c r="K177" s="31">
        <v>1</v>
      </c>
      <c r="L177" s="31">
        <v>1</v>
      </c>
      <c r="M177" s="4">
        <v>0</v>
      </c>
      <c r="N177" s="4">
        <v>0</v>
      </c>
      <c r="O177" s="4">
        <v>1</v>
      </c>
      <c r="P177" s="4">
        <v>1</v>
      </c>
      <c r="Q177" s="32">
        <v>317.92899999999997</v>
      </c>
      <c r="R177" s="32">
        <v>318.35599999999999</v>
      </c>
      <c r="S177" s="32">
        <v>15718.409759999999</v>
      </c>
      <c r="T177" s="32">
        <v>15739.520639999999</v>
      </c>
      <c r="U177" s="33">
        <v>8.31225928655636E-4</v>
      </c>
      <c r="V177" s="34">
        <v>8.3544066859642086E-4</v>
      </c>
      <c r="W177" s="34">
        <v>4.2147399407848566E-6</v>
      </c>
      <c r="X177" s="35">
        <v>9.0858415427673833</v>
      </c>
      <c r="Y177" s="36">
        <v>183775.11211099077</v>
      </c>
      <c r="Z177" s="37">
        <v>0</v>
      </c>
      <c r="AA177" s="38">
        <v>0</v>
      </c>
      <c r="AB177" s="38">
        <v>0</v>
      </c>
      <c r="AC177" s="39">
        <v>0</v>
      </c>
      <c r="AD177" s="40">
        <v>0</v>
      </c>
      <c r="AE177" s="37">
        <v>1.6822321538025459E-3</v>
      </c>
      <c r="AF177" s="38">
        <v>1.6919563805662021E-3</v>
      </c>
      <c r="AG177" s="38">
        <v>9.724226763656264E-6</v>
      </c>
      <c r="AH177" s="39">
        <v>0.13629157592024785</v>
      </c>
      <c r="AI177" s="40">
        <v>2756.7066326910972</v>
      </c>
      <c r="AJ177" s="39">
        <v>9.2221331186876316</v>
      </c>
      <c r="AK177" s="28">
        <v>186531.81874368186</v>
      </c>
      <c r="AL177" s="41">
        <f t="shared" si="2"/>
        <v>42.624797135769178</v>
      </c>
      <c r="AM177" s="28">
        <v>2118882</v>
      </c>
      <c r="AN177" s="42">
        <v>8.8033131974164611E-2</v>
      </c>
      <c r="AP177" s="30"/>
      <c r="AR177" s="30"/>
    </row>
    <row r="178" spans="1:44" x14ac:dyDescent="0.2">
      <c r="A178" s="3" t="s">
        <v>1095</v>
      </c>
      <c r="B178" s="3" t="s">
        <v>329</v>
      </c>
      <c r="C178" s="3" t="s">
        <v>1714</v>
      </c>
      <c r="D178" s="27"/>
      <c r="E178" s="3" t="s">
        <v>639</v>
      </c>
      <c r="F178" s="133" t="s">
        <v>1064</v>
      </c>
      <c r="G178" s="3" t="s">
        <v>879</v>
      </c>
      <c r="H178" s="29">
        <v>52.83</v>
      </c>
      <c r="I178" s="30">
        <v>378.53399999999999</v>
      </c>
      <c r="J178" s="30">
        <v>379.423</v>
      </c>
      <c r="K178" s="31">
        <v>1</v>
      </c>
      <c r="L178" s="31">
        <v>1</v>
      </c>
      <c r="M178" s="4">
        <v>0.42</v>
      </c>
      <c r="N178" s="4">
        <v>0.42</v>
      </c>
      <c r="O178" s="4">
        <v>0.57999999999999996</v>
      </c>
      <c r="P178" s="4">
        <v>0.57999999999999996</v>
      </c>
      <c r="Q178" s="32">
        <v>378.53399999999999</v>
      </c>
      <c r="R178" s="32">
        <v>379.423</v>
      </c>
      <c r="S178" s="32">
        <v>19997.951219999999</v>
      </c>
      <c r="T178" s="32">
        <v>20044.917089999999</v>
      </c>
      <c r="U178" s="33">
        <v>1.0575379970279265E-3</v>
      </c>
      <c r="V178" s="34">
        <v>1.0639675323447094E-3</v>
      </c>
      <c r="W178" s="34">
        <v>6.429535316782942E-6</v>
      </c>
      <c r="X178" s="35">
        <v>13.86034248913543</v>
      </c>
      <c r="Y178" s="36">
        <v>262357.41982084862</v>
      </c>
      <c r="Z178" s="37">
        <v>8.7800798085549425E-4</v>
      </c>
      <c r="AA178" s="38">
        <v>8.8273733284924955E-4</v>
      </c>
      <c r="AB178" s="38">
        <v>4.7293519937552982E-6</v>
      </c>
      <c r="AC178" s="39">
        <v>9.0483203034427792E-2</v>
      </c>
      <c r="AD178" s="40">
        <v>1712.7238885941281</v>
      </c>
      <c r="AE178" s="37">
        <v>1.2413402054245804E-3</v>
      </c>
      <c r="AF178" s="38">
        <v>1.2497694919405553E-3</v>
      </c>
      <c r="AG178" s="38">
        <v>8.4292865159749097E-6</v>
      </c>
      <c r="AH178" s="39">
        <v>0.11814211773004327</v>
      </c>
      <c r="AI178" s="40">
        <v>2236.269500852608</v>
      </c>
      <c r="AJ178" s="39">
        <v>14.068967809899901</v>
      </c>
      <c r="AK178" s="28">
        <v>266306.41321029537</v>
      </c>
      <c r="AL178" s="41">
        <f t="shared" si="2"/>
        <v>60.851176573754898</v>
      </c>
      <c r="AM178" s="28">
        <v>3046264.5</v>
      </c>
      <c r="AN178" s="42">
        <v>8.7420646897304999E-2</v>
      </c>
      <c r="AP178" s="30"/>
      <c r="AR178" s="30"/>
    </row>
    <row r="179" spans="1:44" x14ac:dyDescent="0.2">
      <c r="A179" s="3" t="s">
        <v>904</v>
      </c>
      <c r="B179" s="3" t="s">
        <v>988</v>
      </c>
      <c r="C179" s="3" t="s">
        <v>1715</v>
      </c>
      <c r="D179" s="27"/>
      <c r="E179" s="3" t="s">
        <v>792</v>
      </c>
      <c r="F179" s="133" t="s">
        <v>1061</v>
      </c>
      <c r="G179" s="3" t="s">
        <v>879</v>
      </c>
      <c r="H179" s="29">
        <v>69.63</v>
      </c>
      <c r="I179" s="30">
        <v>512.09900000000005</v>
      </c>
      <c r="J179" s="30">
        <v>512.1</v>
      </c>
      <c r="K179" s="31">
        <v>1</v>
      </c>
      <c r="L179" s="31">
        <v>1</v>
      </c>
      <c r="M179" s="4">
        <v>0</v>
      </c>
      <c r="N179" s="4">
        <v>0</v>
      </c>
      <c r="O179" s="4">
        <v>1</v>
      </c>
      <c r="P179" s="4">
        <v>1</v>
      </c>
      <c r="Q179" s="32">
        <v>512.09900000000005</v>
      </c>
      <c r="R179" s="32">
        <v>512.1</v>
      </c>
      <c r="S179" s="32">
        <v>35657.453370000003</v>
      </c>
      <c r="T179" s="32">
        <v>35657.523000000001</v>
      </c>
      <c r="U179" s="33">
        <v>1.8856487547741149E-3</v>
      </c>
      <c r="V179" s="34">
        <v>1.8926716725988077E-3</v>
      </c>
      <c r="W179" s="34">
        <v>7.0229178246927412E-6</v>
      </c>
      <c r="X179" s="35">
        <v>15.139514992508055</v>
      </c>
      <c r="Y179" s="36">
        <v>217428.04814746598</v>
      </c>
      <c r="Z179" s="37">
        <v>0</v>
      </c>
      <c r="AA179" s="38">
        <v>0</v>
      </c>
      <c r="AB179" s="38">
        <v>0</v>
      </c>
      <c r="AC179" s="39">
        <v>0</v>
      </c>
      <c r="AD179" s="40">
        <v>0</v>
      </c>
      <c r="AE179" s="37">
        <v>3.8161694152022765E-3</v>
      </c>
      <c r="AF179" s="38">
        <v>3.8330883725716893E-3</v>
      </c>
      <c r="AG179" s="38">
        <v>1.6918957369412794E-5</v>
      </c>
      <c r="AH179" s="39">
        <v>0.2371305625474481</v>
      </c>
      <c r="AI179" s="40">
        <v>3405.5803898814897</v>
      </c>
      <c r="AJ179" s="39">
        <v>15.376645555055502</v>
      </c>
      <c r="AK179" s="28">
        <v>220833.62853734745</v>
      </c>
      <c r="AL179" s="41">
        <f t="shared" si="2"/>
        <v>50.430258686577211</v>
      </c>
      <c r="AM179" s="28">
        <v>2537829.75</v>
      </c>
      <c r="AN179" s="42">
        <v>8.7016723063218657E-2</v>
      </c>
      <c r="AP179" s="30"/>
      <c r="AR179" s="30"/>
    </row>
    <row r="180" spans="1:44" x14ac:dyDescent="0.2">
      <c r="A180" s="3" t="s">
        <v>239</v>
      </c>
      <c r="B180" s="3" t="s">
        <v>520</v>
      </c>
      <c r="C180" s="3" t="s">
        <v>1716</v>
      </c>
      <c r="D180" s="27"/>
      <c r="E180" s="3" t="s">
        <v>87</v>
      </c>
      <c r="F180" s="133" t="s">
        <v>1057</v>
      </c>
      <c r="G180" s="3" t="s">
        <v>881</v>
      </c>
      <c r="H180" s="29">
        <v>50.02</v>
      </c>
      <c r="I180" s="30">
        <v>1427.3409999999999</v>
      </c>
      <c r="J180" s="30">
        <v>1427.3409999999999</v>
      </c>
      <c r="K180" s="31">
        <v>0.57999999999999996</v>
      </c>
      <c r="L180" s="31">
        <v>0.57999999999999996</v>
      </c>
      <c r="M180" s="4">
        <v>1</v>
      </c>
      <c r="N180" s="4">
        <v>1</v>
      </c>
      <c r="O180" s="4">
        <v>0</v>
      </c>
      <c r="P180" s="4">
        <v>0</v>
      </c>
      <c r="Q180" s="32">
        <v>827.85777999999993</v>
      </c>
      <c r="R180" s="32">
        <v>827.85777999999993</v>
      </c>
      <c r="S180" s="32">
        <v>41409.446155600002</v>
      </c>
      <c r="T180" s="32">
        <v>41409.446155600002</v>
      </c>
      <c r="U180" s="33">
        <v>2.1898274610067281E-3</v>
      </c>
      <c r="V180" s="34">
        <v>2.1979789711335171E-3</v>
      </c>
      <c r="W180" s="34">
        <v>8.1515101267889793E-6</v>
      </c>
      <c r="X180" s="35">
        <v>17.572455332196952</v>
      </c>
      <c r="Y180" s="36">
        <v>351308.58321065479</v>
      </c>
      <c r="Z180" s="37">
        <v>4.3287558390649539E-3</v>
      </c>
      <c r="AA180" s="38">
        <v>4.3418754525905226E-3</v>
      </c>
      <c r="AB180" s="38">
        <v>1.3119613525568695E-5</v>
      </c>
      <c r="AC180" s="39">
        <v>0.25100788774756599</v>
      </c>
      <c r="AD180" s="40">
        <v>5018.1504947534177</v>
      </c>
      <c r="AE180" s="37">
        <v>0</v>
      </c>
      <c r="AF180" s="38">
        <v>0</v>
      </c>
      <c r="AG180" s="38">
        <v>0</v>
      </c>
      <c r="AH180" s="39">
        <v>0</v>
      </c>
      <c r="AI180" s="40">
        <v>0</v>
      </c>
      <c r="AJ180" s="39">
        <v>17.823463219944518</v>
      </c>
      <c r="AK180" s="28">
        <v>356326.73370540823</v>
      </c>
      <c r="AL180" s="41">
        <f t="shared" si="2"/>
        <v>81.482508264583942</v>
      </c>
      <c r="AM180" s="28">
        <v>4101447</v>
      </c>
      <c r="AN180" s="42">
        <v>8.6878297758183454E-2</v>
      </c>
      <c r="AP180" s="30"/>
      <c r="AR180" s="30"/>
    </row>
    <row r="181" spans="1:44" x14ac:dyDescent="0.2">
      <c r="A181" s="3" t="s">
        <v>228</v>
      </c>
      <c r="B181" s="3" t="s">
        <v>508</v>
      </c>
      <c r="C181" s="3" t="s">
        <v>1717</v>
      </c>
      <c r="D181" s="27"/>
      <c r="E181" s="3" t="s">
        <v>1358</v>
      </c>
      <c r="F181" s="133" t="s">
        <v>1060</v>
      </c>
      <c r="G181" s="3" t="s">
        <v>881</v>
      </c>
      <c r="H181" s="29">
        <v>53.16</v>
      </c>
      <c r="I181" s="30">
        <v>525.36699999999996</v>
      </c>
      <c r="J181" s="30">
        <v>525.08100000000002</v>
      </c>
      <c r="K181" s="31">
        <v>1</v>
      </c>
      <c r="L181" s="31">
        <v>1</v>
      </c>
      <c r="M181" s="4">
        <v>1</v>
      </c>
      <c r="N181" s="4">
        <v>1</v>
      </c>
      <c r="O181" s="4">
        <v>0</v>
      </c>
      <c r="P181" s="4">
        <v>0</v>
      </c>
      <c r="Q181" s="32">
        <v>525.36699999999996</v>
      </c>
      <c r="R181" s="32">
        <v>525.08100000000002</v>
      </c>
      <c r="S181" s="32">
        <v>27928.509719999995</v>
      </c>
      <c r="T181" s="32">
        <v>27913.305959999998</v>
      </c>
      <c r="U181" s="33">
        <v>1.4769243061121824E-3</v>
      </c>
      <c r="V181" s="34">
        <v>1.4816150712172425E-3</v>
      </c>
      <c r="W181" s="34">
        <v>4.6907651050601563E-6</v>
      </c>
      <c r="X181" s="35">
        <v>10.112023293893357</v>
      </c>
      <c r="Y181" s="36">
        <v>190218.64736443487</v>
      </c>
      <c r="Z181" s="37">
        <v>2.9195198378784153E-3</v>
      </c>
      <c r="AA181" s="38">
        <v>2.9267741831891848E-3</v>
      </c>
      <c r="AB181" s="38">
        <v>7.2543453107695027E-6</v>
      </c>
      <c r="AC181" s="39">
        <v>0.13879203757785866</v>
      </c>
      <c r="AD181" s="40">
        <v>2610.8359213291697</v>
      </c>
      <c r="AE181" s="37">
        <v>0</v>
      </c>
      <c r="AF181" s="38">
        <v>0</v>
      </c>
      <c r="AG181" s="38">
        <v>0</v>
      </c>
      <c r="AH181" s="39">
        <v>0</v>
      </c>
      <c r="AI181" s="40">
        <v>0</v>
      </c>
      <c r="AJ181" s="39">
        <v>10.250815331471216</v>
      </c>
      <c r="AK181" s="28">
        <v>192829.48328576406</v>
      </c>
      <c r="AL181" s="41">
        <f t="shared" si="2"/>
        <v>44.119310619452186</v>
      </c>
      <c r="AM181" s="28">
        <v>2247308</v>
      </c>
      <c r="AN181" s="42">
        <v>8.5804653071926085E-2</v>
      </c>
      <c r="AP181" s="30"/>
      <c r="AR181" s="30"/>
    </row>
    <row r="182" spans="1:44" x14ac:dyDescent="0.2">
      <c r="A182" s="3" t="s">
        <v>1443</v>
      </c>
      <c r="B182" s="3" t="s">
        <v>1431</v>
      </c>
      <c r="C182" s="3" t="s">
        <v>1718</v>
      </c>
      <c r="D182" s="27"/>
      <c r="E182" s="3" t="s">
        <v>1457</v>
      </c>
      <c r="F182" s="133" t="s">
        <v>1053</v>
      </c>
      <c r="G182" s="3" t="s">
        <v>879</v>
      </c>
      <c r="H182" s="29">
        <v>124.18</v>
      </c>
      <c r="I182" s="30">
        <v>262.95299999999997</v>
      </c>
      <c r="J182" s="30">
        <v>263.17099999999999</v>
      </c>
      <c r="K182" s="31">
        <v>1</v>
      </c>
      <c r="L182" s="31">
        <v>1</v>
      </c>
      <c r="M182" s="4">
        <v>0</v>
      </c>
      <c r="N182" s="4">
        <v>0</v>
      </c>
      <c r="O182" s="4">
        <v>1</v>
      </c>
      <c r="P182" s="4">
        <v>1</v>
      </c>
      <c r="Q182" s="32">
        <v>262.95299999999997</v>
      </c>
      <c r="R182" s="32">
        <v>263.17099999999999</v>
      </c>
      <c r="S182" s="32">
        <v>32653.503539999998</v>
      </c>
      <c r="T182" s="32">
        <v>32680.574780000003</v>
      </c>
      <c r="U182" s="33">
        <v>1.7267929274224875E-3</v>
      </c>
      <c r="V182" s="34">
        <v>1.7346577363310687E-3</v>
      </c>
      <c r="W182" s="34">
        <v>7.8648089085811817E-6</v>
      </c>
      <c r="X182" s="35">
        <v>16.954404900770015</v>
      </c>
      <c r="Y182" s="36">
        <v>136530.88179070715</v>
      </c>
      <c r="Z182" s="37">
        <v>0</v>
      </c>
      <c r="AA182" s="38">
        <v>0</v>
      </c>
      <c r="AB182" s="38">
        <v>0</v>
      </c>
      <c r="AC182" s="39">
        <v>0</v>
      </c>
      <c r="AD182" s="40">
        <v>0</v>
      </c>
      <c r="AE182" s="37">
        <v>3.4946775423224021E-3</v>
      </c>
      <c r="AF182" s="38">
        <v>3.5130743994241441E-3</v>
      </c>
      <c r="AG182" s="38">
        <v>1.8396857101741961E-5</v>
      </c>
      <c r="AH182" s="39">
        <v>0.25784432092297982</v>
      </c>
      <c r="AI182" s="40">
        <v>2076.3755912625202</v>
      </c>
      <c r="AJ182" s="39">
        <v>17.212249221692996</v>
      </c>
      <c r="AK182" s="28">
        <v>138607.25738196966</v>
      </c>
      <c r="AL182" s="41">
        <f t="shared" si="2"/>
        <v>31.666970963847564</v>
      </c>
      <c r="AM182" s="28">
        <v>1621037.25</v>
      </c>
      <c r="AN182" s="42">
        <v>8.5505288284997552E-2</v>
      </c>
      <c r="AP182" s="30"/>
      <c r="AR182" s="30"/>
    </row>
    <row r="183" spans="1:44" x14ac:dyDescent="0.2">
      <c r="A183" s="3" t="s">
        <v>1124</v>
      </c>
      <c r="B183" s="3" t="s">
        <v>358</v>
      </c>
      <c r="C183" s="3" t="s">
        <v>1719</v>
      </c>
      <c r="D183" s="27"/>
      <c r="E183" s="3" t="s">
        <v>1296</v>
      </c>
      <c r="F183" s="133" t="s">
        <v>1053</v>
      </c>
      <c r="G183" s="3" t="s">
        <v>879</v>
      </c>
      <c r="H183" s="29">
        <v>128.49</v>
      </c>
      <c r="I183" s="30">
        <v>256.51299999999998</v>
      </c>
      <c r="J183" s="30">
        <v>256.57</v>
      </c>
      <c r="K183" s="31">
        <v>1</v>
      </c>
      <c r="L183" s="31">
        <v>1</v>
      </c>
      <c r="M183" s="4">
        <v>1</v>
      </c>
      <c r="N183" s="4">
        <v>1</v>
      </c>
      <c r="O183" s="4">
        <v>0</v>
      </c>
      <c r="P183" s="4">
        <v>0</v>
      </c>
      <c r="Q183" s="32">
        <v>256.51299999999998</v>
      </c>
      <c r="R183" s="32">
        <v>256.57</v>
      </c>
      <c r="S183" s="32">
        <v>32959.355369999997</v>
      </c>
      <c r="T183" s="32">
        <v>32966.679300000003</v>
      </c>
      <c r="U183" s="33">
        <v>1.7429670808708688E-3</v>
      </c>
      <c r="V183" s="34">
        <v>1.7498439263646972E-3</v>
      </c>
      <c r="W183" s="34">
        <v>6.8768454938284394E-6</v>
      </c>
      <c r="X183" s="35">
        <v>14.82462247940828</v>
      </c>
      <c r="Y183" s="36">
        <v>115375.69055497143</v>
      </c>
      <c r="Z183" s="37">
        <v>3.4454216430134495E-3</v>
      </c>
      <c r="AA183" s="38">
        <v>3.4566319739762316E-3</v>
      </c>
      <c r="AB183" s="38">
        <v>1.1210330962782133E-5</v>
      </c>
      <c r="AC183" s="39">
        <v>0.21447899287849698</v>
      </c>
      <c r="AD183" s="40">
        <v>1669.2271217876641</v>
      </c>
      <c r="AE183" s="37">
        <v>0</v>
      </c>
      <c r="AF183" s="38">
        <v>0</v>
      </c>
      <c r="AG183" s="38">
        <v>0</v>
      </c>
      <c r="AH183" s="39">
        <v>0</v>
      </c>
      <c r="AI183" s="40">
        <v>0</v>
      </c>
      <c r="AJ183" s="39">
        <v>15.039101472286777</v>
      </c>
      <c r="AK183" s="28">
        <v>117044.9176767591</v>
      </c>
      <c r="AL183" s="41">
        <f t="shared" si="2"/>
        <v>26.760236181136428</v>
      </c>
      <c r="AM183" s="28">
        <v>1388623.375</v>
      </c>
      <c r="AN183" s="42">
        <v>8.4288454151046605E-2</v>
      </c>
      <c r="AP183" s="30"/>
      <c r="AR183" s="30"/>
    </row>
    <row r="184" spans="1:44" x14ac:dyDescent="0.2">
      <c r="A184" s="3" t="s">
        <v>1147</v>
      </c>
      <c r="B184" s="3" t="s">
        <v>383</v>
      </c>
      <c r="C184" s="3" t="s">
        <v>1720</v>
      </c>
      <c r="D184" s="27"/>
      <c r="E184" s="3" t="s">
        <v>680</v>
      </c>
      <c r="F184" s="133" t="s">
        <v>1067</v>
      </c>
      <c r="G184" s="3" t="s">
        <v>879</v>
      </c>
      <c r="H184" s="29">
        <v>138.38</v>
      </c>
      <c r="I184" s="30">
        <v>36.258000000000003</v>
      </c>
      <c r="J184" s="30">
        <v>36.307000000000002</v>
      </c>
      <c r="K184" s="31">
        <v>1</v>
      </c>
      <c r="L184" s="31">
        <v>1</v>
      </c>
      <c r="M184" s="4">
        <v>0.56999999999999995</v>
      </c>
      <c r="N184" s="4">
        <v>0.56999999999999995</v>
      </c>
      <c r="O184" s="4">
        <v>0.43</v>
      </c>
      <c r="P184" s="4">
        <v>0.43</v>
      </c>
      <c r="Q184" s="32">
        <v>36.258000000000003</v>
      </c>
      <c r="R184" s="32">
        <v>36.307000000000002</v>
      </c>
      <c r="S184" s="32">
        <v>5017.3820400000004</v>
      </c>
      <c r="T184" s="32">
        <v>5024.16266</v>
      </c>
      <c r="U184" s="33">
        <v>2.6533078786585278E-4</v>
      </c>
      <c r="V184" s="34">
        <v>2.6667837654092448E-4</v>
      </c>
      <c r="W184" s="34">
        <v>1.3475886750717006E-6</v>
      </c>
      <c r="X184" s="35">
        <v>2.9050374017262084</v>
      </c>
      <c r="Y184" s="36">
        <v>20993.188334486258</v>
      </c>
      <c r="Z184" s="37">
        <v>2.9896179680571509E-4</v>
      </c>
      <c r="AA184" s="38">
        <v>3.0027314085643073E-4</v>
      </c>
      <c r="AB184" s="38">
        <v>1.3113440507156395E-6</v>
      </c>
      <c r="AC184" s="39">
        <v>2.5088978393988302E-2</v>
      </c>
      <c r="AD184" s="40">
        <v>181.304945757973</v>
      </c>
      <c r="AE184" s="37">
        <v>2.308994774613731E-4</v>
      </c>
      <c r="AF184" s="38">
        <v>2.3223614197207654E-4</v>
      </c>
      <c r="AG184" s="38">
        <v>1.3366645107034368E-6</v>
      </c>
      <c r="AH184" s="39">
        <v>1.8734251788667774E-2</v>
      </c>
      <c r="AI184" s="40">
        <v>135.38265492605706</v>
      </c>
      <c r="AJ184" s="39">
        <v>2.9488606319088646</v>
      </c>
      <c r="AK184" s="28">
        <v>21309.875935170287</v>
      </c>
      <c r="AL184" s="41">
        <f t="shared" si="2"/>
        <v>4.869159831882139</v>
      </c>
      <c r="AM184" s="28">
        <v>254554.65625</v>
      </c>
      <c r="AN184" s="42">
        <v>8.3714343509166456E-2</v>
      </c>
      <c r="AP184" s="30"/>
      <c r="AR184" s="30"/>
    </row>
    <row r="185" spans="1:44" x14ac:dyDescent="0.2">
      <c r="A185" s="3" t="s">
        <v>234</v>
      </c>
      <c r="B185" s="3" t="s">
        <v>514</v>
      </c>
      <c r="C185" s="3" t="s">
        <v>1721</v>
      </c>
      <c r="D185" s="27"/>
      <c r="E185" s="3" t="s">
        <v>82</v>
      </c>
      <c r="F185" s="133" t="s">
        <v>1060</v>
      </c>
      <c r="G185" s="3" t="s">
        <v>879</v>
      </c>
      <c r="H185" s="29">
        <v>225.74</v>
      </c>
      <c r="I185" s="30">
        <v>173.38</v>
      </c>
      <c r="J185" s="30">
        <v>173.40100000000001</v>
      </c>
      <c r="K185" s="31">
        <v>0.85</v>
      </c>
      <c r="L185" s="31">
        <v>0.85</v>
      </c>
      <c r="M185" s="4">
        <v>1</v>
      </c>
      <c r="N185" s="4">
        <v>1</v>
      </c>
      <c r="O185" s="4">
        <v>0</v>
      </c>
      <c r="P185" s="4">
        <v>0</v>
      </c>
      <c r="Q185" s="32">
        <v>147.37299999999999</v>
      </c>
      <c r="R185" s="32">
        <v>147.39085</v>
      </c>
      <c r="S185" s="32">
        <v>33267.981019999999</v>
      </c>
      <c r="T185" s="32">
        <v>33272.010479000004</v>
      </c>
      <c r="U185" s="33">
        <v>1.7592879203479662E-3</v>
      </c>
      <c r="V185" s="34">
        <v>1.7660506514716122E-3</v>
      </c>
      <c r="W185" s="34">
        <v>6.7627311236460007E-6</v>
      </c>
      <c r="X185" s="35">
        <v>14.578622702483191</v>
      </c>
      <c r="Y185" s="36">
        <v>64581.477374338574</v>
      </c>
      <c r="Z185" s="37">
        <v>3.4776839698145061E-3</v>
      </c>
      <c r="AA185" s="38">
        <v>3.4886466487446203E-3</v>
      </c>
      <c r="AB185" s="38">
        <v>1.0962678930114163E-5</v>
      </c>
      <c r="AC185" s="39">
        <v>0.20974084922089378</v>
      </c>
      <c r="AD185" s="40">
        <v>929.12576070210753</v>
      </c>
      <c r="AE185" s="37">
        <v>0</v>
      </c>
      <c r="AF185" s="38">
        <v>0</v>
      </c>
      <c r="AG185" s="38">
        <v>0</v>
      </c>
      <c r="AH185" s="39">
        <v>0</v>
      </c>
      <c r="AI185" s="40">
        <v>0</v>
      </c>
      <c r="AJ185" s="39">
        <v>14.788363551704085</v>
      </c>
      <c r="AK185" s="28">
        <v>65510.603135040685</v>
      </c>
      <c r="AL185" s="41">
        <f t="shared" si="2"/>
        <v>14.979027030313636</v>
      </c>
      <c r="AM185" s="28">
        <v>784324.1875</v>
      </c>
      <c r="AN185" s="42">
        <v>8.3524904853250731E-2</v>
      </c>
      <c r="AP185" s="30"/>
      <c r="AR185" s="30"/>
    </row>
    <row r="186" spans="1:44" x14ac:dyDescent="0.2">
      <c r="A186" s="3" t="s">
        <v>291</v>
      </c>
      <c r="B186" s="3" t="s">
        <v>569</v>
      </c>
      <c r="C186" s="3" t="s">
        <v>1722</v>
      </c>
      <c r="D186" s="27"/>
      <c r="E186" s="3" t="s">
        <v>1473</v>
      </c>
      <c r="F186" s="133" t="s">
        <v>1058</v>
      </c>
      <c r="G186" s="3" t="s">
        <v>881</v>
      </c>
      <c r="H186" s="29">
        <v>60.34</v>
      </c>
      <c r="I186" s="30">
        <v>315.64699999999999</v>
      </c>
      <c r="J186" s="30">
        <v>315.62</v>
      </c>
      <c r="K186" s="31">
        <v>1</v>
      </c>
      <c r="L186" s="31">
        <v>1</v>
      </c>
      <c r="M186" s="4">
        <v>0</v>
      </c>
      <c r="N186" s="4">
        <v>0</v>
      </c>
      <c r="O186" s="4">
        <v>1</v>
      </c>
      <c r="P186" s="4">
        <v>1</v>
      </c>
      <c r="Q186" s="32">
        <v>315.64699999999999</v>
      </c>
      <c r="R186" s="32">
        <v>315.62</v>
      </c>
      <c r="S186" s="32">
        <v>19046.13998</v>
      </c>
      <c r="T186" s="32">
        <v>19044.5108</v>
      </c>
      <c r="U186" s="33">
        <v>1.0072040132500489E-3</v>
      </c>
      <c r="V186" s="34">
        <v>1.0108667982815873E-3</v>
      </c>
      <c r="W186" s="34">
        <v>3.6627850315384524E-6</v>
      </c>
      <c r="X186" s="35">
        <v>7.8959757587276904</v>
      </c>
      <c r="Y186" s="36">
        <v>130858.06693284205</v>
      </c>
      <c r="Z186" s="37">
        <v>0</v>
      </c>
      <c r="AA186" s="38">
        <v>0</v>
      </c>
      <c r="AB186" s="38">
        <v>0</v>
      </c>
      <c r="AC186" s="39">
        <v>0</v>
      </c>
      <c r="AD186" s="40">
        <v>0</v>
      </c>
      <c r="AE186" s="37">
        <v>2.0383759915532434E-3</v>
      </c>
      <c r="AF186" s="38">
        <v>2.047233985063852E-3</v>
      </c>
      <c r="AG186" s="38">
        <v>8.8579935106085535E-6</v>
      </c>
      <c r="AH186" s="39">
        <v>0.12415073448968406</v>
      </c>
      <c r="AI186" s="40">
        <v>2057.5196302566133</v>
      </c>
      <c r="AJ186" s="39">
        <v>8.0201264932173739</v>
      </c>
      <c r="AK186" s="28">
        <v>132915.58656309865</v>
      </c>
      <c r="AL186" s="41">
        <f t="shared" si="2"/>
        <v>30.351218358787307</v>
      </c>
      <c r="AM186" s="28">
        <v>1590639.625</v>
      </c>
      <c r="AN186" s="42">
        <v>8.3561093584034574E-2</v>
      </c>
      <c r="AP186" s="30"/>
      <c r="AR186" s="30"/>
    </row>
    <row r="187" spans="1:44" x14ac:dyDescent="0.2">
      <c r="A187" s="3" t="s">
        <v>1171</v>
      </c>
      <c r="B187" s="3" t="s">
        <v>407</v>
      </c>
      <c r="C187" s="3" t="s">
        <v>1723</v>
      </c>
      <c r="D187" s="27"/>
      <c r="E187" s="3" t="s">
        <v>701</v>
      </c>
      <c r="F187" s="133" t="s">
        <v>1068</v>
      </c>
      <c r="G187" s="3" t="s">
        <v>879</v>
      </c>
      <c r="H187" s="29">
        <v>44</v>
      </c>
      <c r="I187" s="30">
        <v>288.88299999999998</v>
      </c>
      <c r="J187" s="30">
        <v>288.96600000000001</v>
      </c>
      <c r="K187" s="31">
        <v>1</v>
      </c>
      <c r="L187" s="31">
        <v>1</v>
      </c>
      <c r="M187" s="4">
        <v>0.6</v>
      </c>
      <c r="N187" s="4">
        <v>0.6</v>
      </c>
      <c r="O187" s="4">
        <v>0.4</v>
      </c>
      <c r="P187" s="4">
        <v>0.4</v>
      </c>
      <c r="Q187" s="32">
        <v>288.88299999999998</v>
      </c>
      <c r="R187" s="32">
        <v>288.96600000000001</v>
      </c>
      <c r="S187" s="32">
        <v>12710.851999999999</v>
      </c>
      <c r="T187" s="32">
        <v>12714.504000000001</v>
      </c>
      <c r="U187" s="33">
        <v>6.7217930560580755E-4</v>
      </c>
      <c r="V187" s="34">
        <v>6.7487530056263957E-4</v>
      </c>
      <c r="W187" s="34">
        <v>2.6959949568320252E-6</v>
      </c>
      <c r="X187" s="35">
        <v>5.8118373427600645</v>
      </c>
      <c r="Y187" s="36">
        <v>132087.21233545602</v>
      </c>
      <c r="Z187" s="37">
        <v>7.9724091852481128E-4</v>
      </c>
      <c r="AA187" s="38">
        <v>7.9988695239284274E-4</v>
      </c>
      <c r="AB187" s="38">
        <v>2.6460338680314548E-6</v>
      </c>
      <c r="AC187" s="39">
        <v>5.0624614119058609E-2</v>
      </c>
      <c r="AD187" s="40">
        <v>1150.5594117967867</v>
      </c>
      <c r="AE187" s="37">
        <v>5.4414165969994153E-4</v>
      </c>
      <c r="AF187" s="38">
        <v>5.4671007232236788E-4</v>
      </c>
      <c r="AG187" s="38">
        <v>2.5684126224263457E-6</v>
      </c>
      <c r="AH187" s="39">
        <v>3.599802970784742E-2</v>
      </c>
      <c r="AI187" s="40">
        <v>818.13703881471406</v>
      </c>
      <c r="AJ187" s="39">
        <v>5.8984599865869702</v>
      </c>
      <c r="AK187" s="28">
        <v>134055.90878606754</v>
      </c>
      <c r="AL187" s="41">
        <f t="shared" si="2"/>
        <v>30.636306327636653</v>
      </c>
      <c r="AM187" s="28">
        <v>1606085.5</v>
      </c>
      <c r="AN187" s="42">
        <v>8.3467479649164095E-2</v>
      </c>
      <c r="AP187" s="30"/>
      <c r="AR187" s="30"/>
    </row>
    <row r="188" spans="1:44" x14ac:dyDescent="0.2">
      <c r="A188" s="3" t="s">
        <v>222</v>
      </c>
      <c r="B188" s="3" t="s">
        <v>502</v>
      </c>
      <c r="C188" s="3" t="s">
        <v>1724</v>
      </c>
      <c r="D188" s="27"/>
      <c r="E188" s="3" t="s">
        <v>72</v>
      </c>
      <c r="F188" s="133" t="s">
        <v>1058</v>
      </c>
      <c r="G188" s="3" t="s">
        <v>881</v>
      </c>
      <c r="H188" s="29">
        <v>42.86</v>
      </c>
      <c r="I188" s="30">
        <v>505.92899999999997</v>
      </c>
      <c r="J188" s="30">
        <v>505.91699999999997</v>
      </c>
      <c r="K188" s="31">
        <v>1</v>
      </c>
      <c r="L188" s="31">
        <v>1</v>
      </c>
      <c r="M188" s="4">
        <v>0</v>
      </c>
      <c r="N188" s="4">
        <v>0</v>
      </c>
      <c r="O188" s="4">
        <v>1</v>
      </c>
      <c r="P188" s="4">
        <v>1</v>
      </c>
      <c r="Q188" s="32">
        <v>505.92899999999997</v>
      </c>
      <c r="R188" s="32">
        <v>505.91699999999997</v>
      </c>
      <c r="S188" s="32">
        <v>21684.11694</v>
      </c>
      <c r="T188" s="32">
        <v>21683.602619999998</v>
      </c>
      <c r="U188" s="33">
        <v>1.1467063472538528E-3</v>
      </c>
      <c r="V188" s="34">
        <v>1.1509475977555504E-3</v>
      </c>
      <c r="W188" s="34">
        <v>4.2412505016976073E-6</v>
      </c>
      <c r="X188" s="35">
        <v>9.1429911555660972</v>
      </c>
      <c r="Y188" s="36">
        <v>213322.23881395467</v>
      </c>
      <c r="Z188" s="37">
        <v>0</v>
      </c>
      <c r="AA188" s="38">
        <v>0</v>
      </c>
      <c r="AB188" s="38">
        <v>0</v>
      </c>
      <c r="AC188" s="39">
        <v>0</v>
      </c>
      <c r="AD188" s="40">
        <v>0</v>
      </c>
      <c r="AE188" s="37">
        <v>2.320700331665261E-3</v>
      </c>
      <c r="AF188" s="38">
        <v>2.3309292986556304E-3</v>
      </c>
      <c r="AG188" s="38">
        <v>1.0228966990369435E-5</v>
      </c>
      <c r="AH188" s="39">
        <v>0.14336584954642312</v>
      </c>
      <c r="AI188" s="40">
        <v>3344.9801574060457</v>
      </c>
      <c r="AJ188" s="39">
        <v>9.2863570051125208</v>
      </c>
      <c r="AK188" s="28">
        <v>216667.21897136071</v>
      </c>
      <c r="AL188" s="41">
        <f t="shared" si="2"/>
        <v>49.477957322650575</v>
      </c>
      <c r="AM188" s="28">
        <v>2597021.25</v>
      </c>
      <c r="AN188" s="42">
        <v>8.3429128264299227E-2</v>
      </c>
      <c r="AP188" s="30"/>
      <c r="AR188" s="30"/>
    </row>
    <row r="189" spans="1:44" x14ac:dyDescent="0.2">
      <c r="A189" s="3" t="s">
        <v>1538</v>
      </c>
      <c r="B189" s="3" t="s">
        <v>1499</v>
      </c>
      <c r="C189" s="3" t="s">
        <v>1725</v>
      </c>
      <c r="D189" s="27"/>
      <c r="E189" s="3" t="s">
        <v>2087</v>
      </c>
      <c r="F189" s="133" t="s">
        <v>1053</v>
      </c>
      <c r="G189" s="3" t="s">
        <v>879</v>
      </c>
      <c r="H189" s="29">
        <v>67.48</v>
      </c>
      <c r="I189" s="30">
        <v>170.47</v>
      </c>
      <c r="J189" s="30">
        <v>170.73699999999999</v>
      </c>
      <c r="K189" s="31">
        <v>1</v>
      </c>
      <c r="L189" s="31">
        <v>1</v>
      </c>
      <c r="M189" s="4">
        <v>1</v>
      </c>
      <c r="N189" s="4">
        <v>1</v>
      </c>
      <c r="O189" s="4">
        <v>0</v>
      </c>
      <c r="P189" s="4">
        <v>0</v>
      </c>
      <c r="Q189" s="32">
        <v>170.47</v>
      </c>
      <c r="R189" s="32">
        <v>170.73699999999999</v>
      </c>
      <c r="S189" s="32">
        <v>11503.3156</v>
      </c>
      <c r="T189" s="32">
        <v>11521.332760000001</v>
      </c>
      <c r="U189" s="33">
        <v>6.083219828358047E-4</v>
      </c>
      <c r="V189" s="34">
        <v>6.1154276323222565E-4</v>
      </c>
      <c r="W189" s="34">
        <v>3.2207803964209468E-6</v>
      </c>
      <c r="X189" s="35">
        <v>6.9431330846198955</v>
      </c>
      <c r="Y189" s="36">
        <v>102891.71731801861</v>
      </c>
      <c r="Z189" s="37">
        <v>1.2025044813446012E-3</v>
      </c>
      <c r="AA189" s="38">
        <v>1.2080381781441915E-3</v>
      </c>
      <c r="AB189" s="38">
        <v>5.5336967995903066E-6</v>
      </c>
      <c r="AC189" s="39">
        <v>0.10587213887006781</v>
      </c>
      <c r="AD189" s="40">
        <v>1568.941002816654</v>
      </c>
      <c r="AE189" s="37">
        <v>0</v>
      </c>
      <c r="AF189" s="38">
        <v>0</v>
      </c>
      <c r="AG189" s="38">
        <v>0</v>
      </c>
      <c r="AH189" s="39">
        <v>0</v>
      </c>
      <c r="AI189" s="40">
        <v>0</v>
      </c>
      <c r="AJ189" s="39">
        <v>7.0490052234899636</v>
      </c>
      <c r="AK189" s="28">
        <v>104460.65832083527</v>
      </c>
      <c r="AL189" s="41">
        <f t="shared" si="2"/>
        <v>23.864703589366822</v>
      </c>
      <c r="AM189" s="28">
        <v>1258430.5</v>
      </c>
      <c r="AN189" s="42">
        <v>8.3008682895746144E-2</v>
      </c>
      <c r="AP189" s="30"/>
      <c r="AR189" s="30"/>
    </row>
    <row r="190" spans="1:44" x14ac:dyDescent="0.2">
      <c r="A190" s="3" t="s">
        <v>1164</v>
      </c>
      <c r="B190" s="3" t="s">
        <v>400</v>
      </c>
      <c r="C190" s="3" t="s">
        <v>1726</v>
      </c>
      <c r="D190" s="27"/>
      <c r="E190" s="3" t="s">
        <v>695</v>
      </c>
      <c r="F190" s="133" t="s">
        <v>1060</v>
      </c>
      <c r="G190" s="3" t="s">
        <v>879</v>
      </c>
      <c r="H190" s="29">
        <v>65.010000000000005</v>
      </c>
      <c r="I190" s="30">
        <v>365.50200000000001</v>
      </c>
      <c r="J190" s="30">
        <v>365.55599999999998</v>
      </c>
      <c r="K190" s="31">
        <v>1</v>
      </c>
      <c r="L190" s="31">
        <v>1</v>
      </c>
      <c r="M190" s="4">
        <v>1</v>
      </c>
      <c r="N190" s="4">
        <v>1</v>
      </c>
      <c r="O190" s="4">
        <v>0</v>
      </c>
      <c r="P190" s="4">
        <v>0</v>
      </c>
      <c r="Q190" s="32">
        <v>365.50200000000001</v>
      </c>
      <c r="R190" s="32">
        <v>365.55599999999998</v>
      </c>
      <c r="S190" s="32">
        <v>23761.285020000003</v>
      </c>
      <c r="T190" s="32">
        <v>23764.795560000002</v>
      </c>
      <c r="U190" s="33">
        <v>1.2565518082537095E-3</v>
      </c>
      <c r="V190" s="34">
        <v>1.2614155885565558E-3</v>
      </c>
      <c r="W190" s="34">
        <v>4.8637803028463416E-6</v>
      </c>
      <c r="X190" s="35">
        <v>10.484997354846476</v>
      </c>
      <c r="Y190" s="36">
        <v>161282.83886858137</v>
      </c>
      <c r="Z190" s="37">
        <v>2.4838970530423722E-3</v>
      </c>
      <c r="AA190" s="38">
        <v>2.4917933480702254E-3</v>
      </c>
      <c r="AB190" s="38">
        <v>7.8962950278531341E-6</v>
      </c>
      <c r="AC190" s="39">
        <v>0.15107398797306476</v>
      </c>
      <c r="AD190" s="40">
        <v>2323.8576830189932</v>
      </c>
      <c r="AE190" s="37">
        <v>0</v>
      </c>
      <c r="AF190" s="38">
        <v>0</v>
      </c>
      <c r="AG190" s="38">
        <v>0</v>
      </c>
      <c r="AH190" s="39">
        <v>0</v>
      </c>
      <c r="AI190" s="40">
        <v>0</v>
      </c>
      <c r="AJ190" s="39">
        <v>10.636071342819541</v>
      </c>
      <c r="AK190" s="28">
        <v>163606.69655160035</v>
      </c>
      <c r="AL190" s="41">
        <f t="shared" si="2"/>
        <v>37.407939569653443</v>
      </c>
      <c r="AM190" s="28">
        <v>1980904.375</v>
      </c>
      <c r="AN190" s="42">
        <v>8.2591920446235756E-2</v>
      </c>
      <c r="AP190" s="30"/>
      <c r="AR190" s="30"/>
    </row>
    <row r="191" spans="1:44" x14ac:dyDescent="0.2">
      <c r="A191" s="3" t="s">
        <v>1149</v>
      </c>
      <c r="B191" s="3" t="s">
        <v>385</v>
      </c>
      <c r="C191" s="3" t="s">
        <v>1727</v>
      </c>
      <c r="D191" s="27"/>
      <c r="E191" s="3" t="s">
        <v>682</v>
      </c>
      <c r="F191" s="133" t="s">
        <v>1068</v>
      </c>
      <c r="G191" s="3" t="s">
        <v>879</v>
      </c>
      <c r="H191" s="29">
        <v>73.69</v>
      </c>
      <c r="I191" s="30">
        <v>155.149</v>
      </c>
      <c r="J191" s="30">
        <v>155.21600000000001</v>
      </c>
      <c r="K191" s="31">
        <v>1</v>
      </c>
      <c r="L191" s="31">
        <v>1</v>
      </c>
      <c r="M191" s="4">
        <v>0</v>
      </c>
      <c r="N191" s="4">
        <v>0</v>
      </c>
      <c r="O191" s="4">
        <v>1</v>
      </c>
      <c r="P191" s="4">
        <v>1</v>
      </c>
      <c r="Q191" s="32">
        <v>155.149</v>
      </c>
      <c r="R191" s="32">
        <v>155.21600000000001</v>
      </c>
      <c r="S191" s="32">
        <v>11432.92981</v>
      </c>
      <c r="T191" s="32">
        <v>11437.867040000001</v>
      </c>
      <c r="U191" s="33">
        <v>6.0459981917228983E-4</v>
      </c>
      <c r="V191" s="34">
        <v>6.0711247221405642E-4</v>
      </c>
      <c r="W191" s="34">
        <v>2.5126530417665834E-6</v>
      </c>
      <c r="X191" s="35">
        <v>5.4166016670514656</v>
      </c>
      <c r="Y191" s="36">
        <v>73505.247211988957</v>
      </c>
      <c r="Z191" s="37">
        <v>0</v>
      </c>
      <c r="AA191" s="38">
        <v>0</v>
      </c>
      <c r="AB191" s="38">
        <v>0</v>
      </c>
      <c r="AC191" s="39">
        <v>0</v>
      </c>
      <c r="AD191" s="40">
        <v>0</v>
      </c>
      <c r="AE191" s="37">
        <v>1.2235870188021891E-3</v>
      </c>
      <c r="AF191" s="38">
        <v>1.229540121394438E-3</v>
      </c>
      <c r="AG191" s="38">
        <v>5.9531025922488802E-6</v>
      </c>
      <c r="AH191" s="39">
        <v>8.3436735242015878E-2</v>
      </c>
      <c r="AI191" s="40">
        <v>1132.2667287558133</v>
      </c>
      <c r="AJ191" s="39">
        <v>5.5000384022934812</v>
      </c>
      <c r="AK191" s="28">
        <v>74637.513940744771</v>
      </c>
      <c r="AL191" s="41">
        <f t="shared" si="2"/>
        <v>17.048806091508911</v>
      </c>
      <c r="AM191" s="28">
        <v>906498.5625</v>
      </c>
      <c r="AN191" s="42">
        <v>8.2336053280553073E-2</v>
      </c>
      <c r="AP191" s="30"/>
      <c r="AR191" s="30"/>
    </row>
    <row r="192" spans="1:44" x14ac:dyDescent="0.2">
      <c r="A192" s="3" t="s">
        <v>1152</v>
      </c>
      <c r="B192" s="3" t="s">
        <v>388</v>
      </c>
      <c r="C192" s="3" t="s">
        <v>1728</v>
      </c>
      <c r="D192" s="27"/>
      <c r="E192" s="3" t="s">
        <v>685</v>
      </c>
      <c r="F192" s="133" t="s">
        <v>1058</v>
      </c>
      <c r="G192" s="3" t="s">
        <v>881</v>
      </c>
      <c r="H192" s="29">
        <v>93.52</v>
      </c>
      <c r="I192" s="30">
        <v>179.435</v>
      </c>
      <c r="J192" s="30">
        <v>179.435</v>
      </c>
      <c r="K192" s="31">
        <v>1</v>
      </c>
      <c r="L192" s="31">
        <v>1</v>
      </c>
      <c r="M192" s="4">
        <v>0</v>
      </c>
      <c r="N192" s="4">
        <v>0</v>
      </c>
      <c r="O192" s="4">
        <v>1</v>
      </c>
      <c r="P192" s="4">
        <v>1</v>
      </c>
      <c r="Q192" s="32">
        <v>179.435</v>
      </c>
      <c r="R192" s="32">
        <v>179.435</v>
      </c>
      <c r="S192" s="32">
        <v>16780.761200000001</v>
      </c>
      <c r="T192" s="32">
        <v>16780.761200000001</v>
      </c>
      <c r="U192" s="33">
        <v>8.8740553433812926E-4</v>
      </c>
      <c r="V192" s="34">
        <v>8.9070885175858059E-4</v>
      </c>
      <c r="W192" s="34">
        <v>3.3033174204513249E-6</v>
      </c>
      <c r="X192" s="35">
        <v>7.1210606275496149</v>
      </c>
      <c r="Y192" s="36">
        <v>76144.788575166967</v>
      </c>
      <c r="Z192" s="37">
        <v>0</v>
      </c>
      <c r="AA192" s="38">
        <v>0</v>
      </c>
      <c r="AB192" s="38">
        <v>0</v>
      </c>
      <c r="AC192" s="39">
        <v>0</v>
      </c>
      <c r="AD192" s="40">
        <v>0</v>
      </c>
      <c r="AE192" s="37">
        <v>1.7959282450925363E-3</v>
      </c>
      <c r="AF192" s="38">
        <v>1.8038869564389582E-3</v>
      </c>
      <c r="AG192" s="38">
        <v>7.9587113464218377E-6</v>
      </c>
      <c r="AH192" s="39">
        <v>0.11154669034994262</v>
      </c>
      <c r="AI192" s="40">
        <v>1192.7575957008407</v>
      </c>
      <c r="AJ192" s="39">
        <v>7.2326073178995571</v>
      </c>
      <c r="AK192" s="28">
        <v>77337.546170867805</v>
      </c>
      <c r="AL192" s="41">
        <f t="shared" si="2"/>
        <v>17.661021281283816</v>
      </c>
      <c r="AM192" s="28">
        <v>944707.5</v>
      </c>
      <c r="AN192" s="42">
        <v>8.186401205756047E-2</v>
      </c>
      <c r="AP192" s="30"/>
      <c r="AR192" s="30"/>
    </row>
    <row r="193" spans="1:44" x14ac:dyDescent="0.2">
      <c r="A193" s="3" t="s">
        <v>743</v>
      </c>
      <c r="B193" s="3" t="s">
        <v>170</v>
      </c>
      <c r="C193" s="3" t="s">
        <v>1729</v>
      </c>
      <c r="D193" s="27"/>
      <c r="E193" s="3" t="s">
        <v>613</v>
      </c>
      <c r="F193" s="133" t="s">
        <v>1060</v>
      </c>
      <c r="G193" s="3" t="s">
        <v>879</v>
      </c>
      <c r="H193" s="29">
        <v>115.56</v>
      </c>
      <c r="I193" s="30">
        <v>100.23699999999999</v>
      </c>
      <c r="J193" s="30">
        <v>100.32</v>
      </c>
      <c r="K193" s="31">
        <v>1</v>
      </c>
      <c r="L193" s="31">
        <v>1</v>
      </c>
      <c r="M193" s="4">
        <v>0.42</v>
      </c>
      <c r="N193" s="4">
        <v>0.42</v>
      </c>
      <c r="O193" s="4">
        <v>0.57999999999999996</v>
      </c>
      <c r="P193" s="4">
        <v>0.57999999999999996</v>
      </c>
      <c r="Q193" s="32">
        <v>100.23699999999999</v>
      </c>
      <c r="R193" s="32">
        <v>100.32</v>
      </c>
      <c r="S193" s="32">
        <v>11583.387719999999</v>
      </c>
      <c r="T193" s="32">
        <v>11592.9792</v>
      </c>
      <c r="U193" s="33">
        <v>6.1255638207355714E-4</v>
      </c>
      <c r="V193" s="34">
        <v>6.153456966953982E-4</v>
      </c>
      <c r="W193" s="34">
        <v>2.7893146218410615E-6</v>
      </c>
      <c r="X193" s="35">
        <v>6.0130093488645135</v>
      </c>
      <c r="Y193" s="36">
        <v>52033.656532230125</v>
      </c>
      <c r="Z193" s="37">
        <v>5.0856744031519481E-4</v>
      </c>
      <c r="AA193" s="38">
        <v>5.1053119815048478E-4</v>
      </c>
      <c r="AB193" s="38">
        <v>1.9637578352899726E-6</v>
      </c>
      <c r="AC193" s="39">
        <v>3.7571130073551624E-2</v>
      </c>
      <c r="AD193" s="40">
        <v>325.12227477978217</v>
      </c>
      <c r="AE193" s="37">
        <v>7.1901990027243212E-4</v>
      </c>
      <c r="AF193" s="38">
        <v>7.2280427301390376E-4</v>
      </c>
      <c r="AG193" s="38">
        <v>3.784372741471643E-6</v>
      </c>
      <c r="AH193" s="39">
        <v>5.304052829500952E-2</v>
      </c>
      <c r="AI193" s="40">
        <v>458.98691844071931</v>
      </c>
      <c r="AJ193" s="39">
        <v>6.103621007233075</v>
      </c>
      <c r="AK193" s="28">
        <v>52817.765725450627</v>
      </c>
      <c r="AL193" s="41">
        <f t="shared" si="2"/>
        <v>12.068685625826678</v>
      </c>
      <c r="AM193" s="28">
        <v>645778.5</v>
      </c>
      <c r="AN193" s="42">
        <v>8.1789291104381184E-2</v>
      </c>
      <c r="AP193" s="30"/>
      <c r="AR193" s="30"/>
    </row>
    <row r="194" spans="1:44" x14ac:dyDescent="0.2">
      <c r="A194" s="3" t="s">
        <v>1193</v>
      </c>
      <c r="B194" s="3" t="s">
        <v>428</v>
      </c>
      <c r="C194" s="3" t="s">
        <v>1730</v>
      </c>
      <c r="D194" s="27"/>
      <c r="E194" s="3" t="s">
        <v>4</v>
      </c>
      <c r="F194" s="133" t="s">
        <v>1060</v>
      </c>
      <c r="G194" s="3" t="s">
        <v>879</v>
      </c>
      <c r="H194" s="29">
        <v>39.130000000000003</v>
      </c>
      <c r="I194" s="30">
        <v>467.08800000000002</v>
      </c>
      <c r="J194" s="30">
        <v>467.58300000000003</v>
      </c>
      <c r="K194" s="31">
        <v>1</v>
      </c>
      <c r="L194" s="31">
        <v>1</v>
      </c>
      <c r="M194" s="4">
        <v>0</v>
      </c>
      <c r="N194" s="4">
        <v>0</v>
      </c>
      <c r="O194" s="4">
        <v>1</v>
      </c>
      <c r="P194" s="4">
        <v>1</v>
      </c>
      <c r="Q194" s="32">
        <v>467.08800000000002</v>
      </c>
      <c r="R194" s="32">
        <v>467.58300000000003</v>
      </c>
      <c r="S194" s="32">
        <v>18277.153440000002</v>
      </c>
      <c r="T194" s="32">
        <v>18296.522790000003</v>
      </c>
      <c r="U194" s="33">
        <v>9.6653822322453279E-4</v>
      </c>
      <c r="V194" s="34">
        <v>9.7116421664206762E-4</v>
      </c>
      <c r="W194" s="34">
        <v>4.6259934175348289E-6</v>
      </c>
      <c r="X194" s="35">
        <v>9.9723930207137546</v>
      </c>
      <c r="Y194" s="36">
        <v>254852.87556130215</v>
      </c>
      <c r="Z194" s="37">
        <v>0</v>
      </c>
      <c r="AA194" s="38">
        <v>0</v>
      </c>
      <c r="AB194" s="38">
        <v>0</v>
      </c>
      <c r="AC194" s="39">
        <v>0</v>
      </c>
      <c r="AD194" s="40">
        <v>0</v>
      </c>
      <c r="AE194" s="37">
        <v>1.956076706626766E-3</v>
      </c>
      <c r="AF194" s="38">
        <v>1.9668272741446995E-3</v>
      </c>
      <c r="AG194" s="38">
        <v>1.0750567517933598E-5</v>
      </c>
      <c r="AH194" s="39">
        <v>0.15067643162460401</v>
      </c>
      <c r="AI194" s="40">
        <v>3850.662704436596</v>
      </c>
      <c r="AJ194" s="39">
        <v>10.123069452338358</v>
      </c>
      <c r="AK194" s="28">
        <v>258703.53826573875</v>
      </c>
      <c r="AL194" s="41">
        <f t="shared" si="2"/>
        <v>59.11057267486364</v>
      </c>
      <c r="AM194" s="28">
        <v>3188863.25</v>
      </c>
      <c r="AN194" s="42">
        <v>8.112719736907463E-2</v>
      </c>
      <c r="AP194" s="30"/>
      <c r="AR194" s="30"/>
    </row>
    <row r="195" spans="1:44" x14ac:dyDescent="0.2">
      <c r="A195" s="3" t="s">
        <v>1162</v>
      </c>
      <c r="B195" s="3" t="s">
        <v>398</v>
      </c>
      <c r="C195" s="3" t="s">
        <v>1731</v>
      </c>
      <c r="D195" s="27"/>
      <c r="E195" s="3" t="s">
        <v>693</v>
      </c>
      <c r="F195" s="133" t="s">
        <v>1068</v>
      </c>
      <c r="G195" s="3" t="s">
        <v>879</v>
      </c>
      <c r="H195" s="29">
        <v>53.73</v>
      </c>
      <c r="I195" s="30">
        <v>643.351</v>
      </c>
      <c r="J195" s="30">
        <v>643.53700000000003</v>
      </c>
      <c r="K195" s="31">
        <v>1</v>
      </c>
      <c r="L195" s="31">
        <v>1</v>
      </c>
      <c r="M195" s="4">
        <v>0</v>
      </c>
      <c r="N195" s="4">
        <v>0</v>
      </c>
      <c r="O195" s="4">
        <v>1</v>
      </c>
      <c r="P195" s="4">
        <v>1</v>
      </c>
      <c r="Q195" s="32">
        <v>643.351</v>
      </c>
      <c r="R195" s="32">
        <v>643.53700000000003</v>
      </c>
      <c r="S195" s="32">
        <v>34567.249230000001</v>
      </c>
      <c r="T195" s="32">
        <v>34577.243009999998</v>
      </c>
      <c r="U195" s="33">
        <v>1.8279962337791589E-3</v>
      </c>
      <c r="V195" s="34">
        <v>1.835331308952451E-3</v>
      </c>
      <c r="W195" s="34">
        <v>7.3350751732920941E-6</v>
      </c>
      <c r="X195" s="35">
        <v>15.812441969173658</v>
      </c>
      <c r="Y195" s="36">
        <v>294294.47178808227</v>
      </c>
      <c r="Z195" s="37">
        <v>0</v>
      </c>
      <c r="AA195" s="38">
        <v>0</v>
      </c>
      <c r="AB195" s="38">
        <v>0</v>
      </c>
      <c r="AC195" s="39">
        <v>0</v>
      </c>
      <c r="AD195" s="40">
        <v>0</v>
      </c>
      <c r="AE195" s="37">
        <v>3.699492443007307E-3</v>
      </c>
      <c r="AF195" s="38">
        <v>3.7169611623672433E-3</v>
      </c>
      <c r="AG195" s="38">
        <v>1.7468719359936286E-5</v>
      </c>
      <c r="AH195" s="39">
        <v>0.24483584646262149</v>
      </c>
      <c r="AI195" s="40">
        <v>4556.7810620253404</v>
      </c>
      <c r="AJ195" s="39">
        <v>16.057277815636279</v>
      </c>
      <c r="AK195" s="28">
        <v>298851.25285010762</v>
      </c>
      <c r="AL195" s="41">
        <f t="shared" si="2"/>
        <v>68.258655995645768</v>
      </c>
      <c r="AM195" s="28">
        <v>3692616.5</v>
      </c>
      <c r="AN195" s="42">
        <v>8.0932112189312816E-2</v>
      </c>
      <c r="AP195" s="30"/>
      <c r="AR195" s="30"/>
    </row>
    <row r="196" spans="1:44" x14ac:dyDescent="0.2">
      <c r="A196" s="3" t="s">
        <v>714</v>
      </c>
      <c r="B196" s="3" t="s">
        <v>1386</v>
      </c>
      <c r="C196" s="3" t="s">
        <v>1732</v>
      </c>
      <c r="D196" s="27"/>
      <c r="E196" s="3" t="s">
        <v>587</v>
      </c>
      <c r="F196" s="133" t="s">
        <v>1061</v>
      </c>
      <c r="G196" s="3" t="s">
        <v>879</v>
      </c>
      <c r="H196" s="29">
        <v>142.37</v>
      </c>
      <c r="I196" s="30">
        <v>53.81</v>
      </c>
      <c r="J196" s="30">
        <v>53.872</v>
      </c>
      <c r="K196" s="31">
        <v>1</v>
      </c>
      <c r="L196" s="31">
        <v>1</v>
      </c>
      <c r="M196" s="4">
        <v>0.62</v>
      </c>
      <c r="N196" s="4">
        <v>0.62</v>
      </c>
      <c r="O196" s="4">
        <v>0.38</v>
      </c>
      <c r="P196" s="4">
        <v>0.38</v>
      </c>
      <c r="Q196" s="32">
        <v>53.81</v>
      </c>
      <c r="R196" s="32">
        <v>53.872</v>
      </c>
      <c r="S196" s="32">
        <v>7660.9297000000006</v>
      </c>
      <c r="T196" s="32">
        <v>7669.7566400000005</v>
      </c>
      <c r="U196" s="33">
        <v>4.0512771339332003E-4</v>
      </c>
      <c r="V196" s="34">
        <v>4.0710430526132206E-4</v>
      </c>
      <c r="W196" s="34">
        <v>1.9765918680020333E-6</v>
      </c>
      <c r="X196" s="35">
        <v>4.2609984861948051</v>
      </c>
      <c r="Y196" s="36">
        <v>29929.047455185821</v>
      </c>
      <c r="Z196" s="37">
        <v>4.965201009715746E-4</v>
      </c>
      <c r="AA196" s="38">
        <v>4.9859878187224994E-4</v>
      </c>
      <c r="AB196" s="38">
        <v>2.0786809006753367E-6</v>
      </c>
      <c r="AC196" s="39">
        <v>3.9769868309219678E-2</v>
      </c>
      <c r="AD196" s="40">
        <v>279.34163313352303</v>
      </c>
      <c r="AE196" s="37">
        <v>3.1156050371072266E-4</v>
      </c>
      <c r="AF196" s="38">
        <v>3.1330176521096641E-4</v>
      </c>
      <c r="AG196" s="38">
        <v>1.7412615002437501E-6</v>
      </c>
      <c r="AH196" s="39">
        <v>2.4404950617198974E-2</v>
      </c>
      <c r="AI196" s="40">
        <v>171.41919377115244</v>
      </c>
      <c r="AJ196" s="39">
        <v>4.3251733051212238</v>
      </c>
      <c r="AK196" s="28">
        <v>30379.808282090497</v>
      </c>
      <c r="AL196" s="41">
        <f t="shared" si="2"/>
        <v>6.9417428812321171</v>
      </c>
      <c r="AM196" s="28">
        <v>380082.0625</v>
      </c>
      <c r="AN196" s="42">
        <v>7.99296027870047E-2</v>
      </c>
      <c r="AP196" s="30"/>
      <c r="AR196" s="30"/>
    </row>
    <row r="197" spans="1:44" x14ac:dyDescent="0.2">
      <c r="A197" s="3" t="s">
        <v>1539</v>
      </c>
      <c r="B197" s="3" t="s">
        <v>1500</v>
      </c>
      <c r="C197" s="3" t="s">
        <v>1733</v>
      </c>
      <c r="D197" s="27"/>
      <c r="E197" s="3" t="s">
        <v>2088</v>
      </c>
      <c r="F197" s="133" t="s">
        <v>1058</v>
      </c>
      <c r="G197" s="3" t="s">
        <v>879</v>
      </c>
      <c r="H197" s="29">
        <v>75.430000000000007</v>
      </c>
      <c r="I197" s="30">
        <v>177.715</v>
      </c>
      <c r="J197" s="30">
        <v>177.90199999999999</v>
      </c>
      <c r="K197" s="31">
        <v>1</v>
      </c>
      <c r="L197" s="31">
        <v>1</v>
      </c>
      <c r="M197" s="4">
        <v>0.55000000000000004</v>
      </c>
      <c r="N197" s="4">
        <v>0.55000000000000004</v>
      </c>
      <c r="O197" s="4">
        <v>0.45</v>
      </c>
      <c r="P197" s="4">
        <v>0.45</v>
      </c>
      <c r="Q197" s="32">
        <v>177.715</v>
      </c>
      <c r="R197" s="32">
        <v>177.90199999999999</v>
      </c>
      <c r="S197" s="32">
        <v>13405.042450000001</v>
      </c>
      <c r="T197" s="32">
        <v>13419.147860000001</v>
      </c>
      <c r="U197" s="33">
        <v>7.0888970508486569E-4</v>
      </c>
      <c r="V197" s="34">
        <v>7.1227721075961764E-4</v>
      </c>
      <c r="W197" s="34">
        <v>3.3875056747519495E-6</v>
      </c>
      <c r="X197" s="35">
        <v>7.3025477771921707</v>
      </c>
      <c r="Y197" s="36">
        <v>96812.246814161073</v>
      </c>
      <c r="Z197" s="37">
        <v>7.7071631333028789E-4</v>
      </c>
      <c r="AA197" s="38">
        <v>7.7386564548571023E-4</v>
      </c>
      <c r="AB197" s="38">
        <v>3.1493321554223411E-6</v>
      </c>
      <c r="AC197" s="39">
        <v>6.0253848987810409E-2</v>
      </c>
      <c r="AD197" s="40">
        <v>798.80483876190374</v>
      </c>
      <c r="AE197" s="37">
        <v>6.4559183782311107E-4</v>
      </c>
      <c r="AF197" s="38">
        <v>6.4913513017698455E-4</v>
      </c>
      <c r="AG197" s="38">
        <v>3.5432923538734808E-6</v>
      </c>
      <c r="AH197" s="39">
        <v>4.9661624578775786E-2</v>
      </c>
      <c r="AI197" s="40">
        <v>658.38028077390675</v>
      </c>
      <c r="AJ197" s="39">
        <v>7.4124632507587567</v>
      </c>
      <c r="AK197" s="28">
        <v>98269.431933696891</v>
      </c>
      <c r="AL197" s="41">
        <f t="shared" si="2"/>
        <v>22.45463127901332</v>
      </c>
      <c r="AM197" s="28">
        <v>1232439.375</v>
      </c>
      <c r="AN197" s="42">
        <v>7.9735712706920689E-2</v>
      </c>
      <c r="AP197" s="30"/>
      <c r="AR197" s="30"/>
    </row>
    <row r="198" spans="1:44" x14ac:dyDescent="0.2">
      <c r="A198" s="3" t="s">
        <v>297</v>
      </c>
      <c r="B198" s="3" t="s">
        <v>575</v>
      </c>
      <c r="C198" s="3" t="s">
        <v>1734</v>
      </c>
      <c r="D198" s="27"/>
      <c r="E198" s="3" t="s">
        <v>139</v>
      </c>
      <c r="F198" s="133" t="s">
        <v>1058</v>
      </c>
      <c r="G198" s="3" t="s">
        <v>881</v>
      </c>
      <c r="H198" s="29">
        <v>41.7</v>
      </c>
      <c r="I198" s="30">
        <v>507.95299999999997</v>
      </c>
      <c r="J198" s="30">
        <v>507.95299999999997</v>
      </c>
      <c r="K198" s="31">
        <v>1</v>
      </c>
      <c r="L198" s="31">
        <v>1</v>
      </c>
      <c r="M198" s="4">
        <v>0</v>
      </c>
      <c r="N198" s="4">
        <v>0</v>
      </c>
      <c r="O198" s="4">
        <v>1</v>
      </c>
      <c r="P198" s="4">
        <v>1</v>
      </c>
      <c r="Q198" s="32">
        <v>507.95299999999997</v>
      </c>
      <c r="R198" s="32">
        <v>507.95299999999997</v>
      </c>
      <c r="S198" s="32">
        <v>21181.640100000001</v>
      </c>
      <c r="T198" s="32">
        <v>21181.640100000001</v>
      </c>
      <c r="U198" s="33">
        <v>1.1201342076841215E-3</v>
      </c>
      <c r="V198" s="34">
        <v>1.1243038445618609E-3</v>
      </c>
      <c r="W198" s="34">
        <v>4.1696368777393959E-6</v>
      </c>
      <c r="X198" s="35">
        <v>8.9886115144187784</v>
      </c>
      <c r="Y198" s="36">
        <v>215554.23295968294</v>
      </c>
      <c r="Z198" s="37">
        <v>0</v>
      </c>
      <c r="AA198" s="38">
        <v>0</v>
      </c>
      <c r="AB198" s="38">
        <v>0</v>
      </c>
      <c r="AC198" s="39">
        <v>0</v>
      </c>
      <c r="AD198" s="40">
        <v>0</v>
      </c>
      <c r="AE198" s="37">
        <v>2.2669237276897007E-3</v>
      </c>
      <c r="AF198" s="38">
        <v>2.2769696700275068E-3</v>
      </c>
      <c r="AG198" s="38">
        <v>1.004594233780607E-5</v>
      </c>
      <c r="AH198" s="39">
        <v>0.1408006359889456</v>
      </c>
      <c r="AI198" s="40">
        <v>3376.5140524927001</v>
      </c>
      <c r="AJ198" s="39">
        <v>9.1294121504077239</v>
      </c>
      <c r="AK198" s="28">
        <v>218930.74701217565</v>
      </c>
      <c r="AL198" s="41">
        <f t="shared" si="2"/>
        <v>49.995646016059901</v>
      </c>
      <c r="AM198" s="28">
        <v>2760181</v>
      </c>
      <c r="AN198" s="42">
        <v>7.9317532803890631E-2</v>
      </c>
      <c r="AP198" s="30"/>
      <c r="AR198" s="30"/>
    </row>
    <row r="199" spans="1:44" x14ac:dyDescent="0.2">
      <c r="A199" s="3" t="s">
        <v>905</v>
      </c>
      <c r="B199" s="3" t="s">
        <v>989</v>
      </c>
      <c r="C199" s="3" t="s">
        <v>1735</v>
      </c>
      <c r="D199" s="27"/>
      <c r="E199" s="3" t="s">
        <v>793</v>
      </c>
      <c r="F199" s="133" t="s">
        <v>1064</v>
      </c>
      <c r="G199" s="3" t="s">
        <v>879</v>
      </c>
      <c r="H199" s="29">
        <v>42.35</v>
      </c>
      <c r="I199" s="30">
        <v>1238.3869999999999</v>
      </c>
      <c r="J199" s="30">
        <v>1238.5050000000001</v>
      </c>
      <c r="K199" s="31">
        <v>1</v>
      </c>
      <c r="L199" s="31">
        <v>1</v>
      </c>
      <c r="M199" s="4">
        <v>0</v>
      </c>
      <c r="N199" s="4">
        <v>0</v>
      </c>
      <c r="O199" s="4">
        <v>1</v>
      </c>
      <c r="P199" s="4">
        <v>1</v>
      </c>
      <c r="Q199" s="32">
        <v>1238.3869999999999</v>
      </c>
      <c r="R199" s="32">
        <v>1238.5050000000001</v>
      </c>
      <c r="S199" s="32">
        <v>52445.689449999998</v>
      </c>
      <c r="T199" s="32">
        <v>52450.686750000008</v>
      </c>
      <c r="U199" s="33">
        <v>2.7734495780864124E-3</v>
      </c>
      <c r="V199" s="34">
        <v>2.7840388413990125E-3</v>
      </c>
      <c r="W199" s="34">
        <v>1.0589263312600107E-5</v>
      </c>
      <c r="X199" s="35">
        <v>22.827593129033772</v>
      </c>
      <c r="Y199" s="36">
        <v>539022.26987092732</v>
      </c>
      <c r="Z199" s="37">
        <v>0</v>
      </c>
      <c r="AA199" s="38">
        <v>0</v>
      </c>
      <c r="AB199" s="38">
        <v>0</v>
      </c>
      <c r="AC199" s="39">
        <v>0</v>
      </c>
      <c r="AD199" s="40">
        <v>0</v>
      </c>
      <c r="AE199" s="37">
        <v>5.6128976447508616E-3</v>
      </c>
      <c r="AF199" s="38">
        <v>5.6383085699706339E-3</v>
      </c>
      <c r="AG199" s="38">
        <v>2.541092521977234E-5</v>
      </c>
      <c r="AH199" s="39">
        <v>0.35615120132103539</v>
      </c>
      <c r="AI199" s="40">
        <v>8409.7095943573877</v>
      </c>
      <c r="AJ199" s="39">
        <v>23.183744330354809</v>
      </c>
      <c r="AK199" s="28">
        <v>547431.97946528473</v>
      </c>
      <c r="AL199" s="41">
        <f t="shared" si="2"/>
        <v>125.02081833057977</v>
      </c>
      <c r="AM199" s="28">
        <v>6982459</v>
      </c>
      <c r="AN199" s="42">
        <v>7.8401030276767078E-2</v>
      </c>
      <c r="AP199" s="30"/>
      <c r="AR199" s="30"/>
    </row>
    <row r="200" spans="1:44" x14ac:dyDescent="0.2">
      <c r="A200" s="3" t="s">
        <v>1082</v>
      </c>
      <c r="B200" s="3" t="s">
        <v>314</v>
      </c>
      <c r="C200" s="3" t="s">
        <v>1736</v>
      </c>
      <c r="D200" s="27"/>
      <c r="E200" s="3" t="s">
        <v>627</v>
      </c>
      <c r="F200" s="133" t="s">
        <v>1058</v>
      </c>
      <c r="G200" s="3" t="s">
        <v>881</v>
      </c>
      <c r="H200" s="29">
        <v>49.77</v>
      </c>
      <c r="I200" s="30">
        <v>242.63499999999999</v>
      </c>
      <c r="J200" s="30">
        <v>242.63499999999999</v>
      </c>
      <c r="K200" s="31">
        <v>1</v>
      </c>
      <c r="L200" s="31">
        <v>1</v>
      </c>
      <c r="M200" s="4">
        <v>0</v>
      </c>
      <c r="N200" s="4">
        <v>0</v>
      </c>
      <c r="O200" s="4">
        <v>1</v>
      </c>
      <c r="P200" s="4">
        <v>1</v>
      </c>
      <c r="Q200" s="32">
        <v>242.63499999999999</v>
      </c>
      <c r="R200" s="32">
        <v>242.63499999999999</v>
      </c>
      <c r="S200" s="32">
        <v>12075.943950000001</v>
      </c>
      <c r="T200" s="32">
        <v>12075.943950000001</v>
      </c>
      <c r="U200" s="33">
        <v>6.3860389679980961E-4</v>
      </c>
      <c r="V200" s="34">
        <v>6.4098106405360671E-4</v>
      </c>
      <c r="W200" s="34">
        <v>2.3771672537970965E-6</v>
      </c>
      <c r="X200" s="35">
        <v>5.1245308825943576</v>
      </c>
      <c r="Y200" s="36">
        <v>102964.25321668389</v>
      </c>
      <c r="Z200" s="37">
        <v>0</v>
      </c>
      <c r="AA200" s="38">
        <v>0</v>
      </c>
      <c r="AB200" s="38">
        <v>0</v>
      </c>
      <c r="AC200" s="39">
        <v>0</v>
      </c>
      <c r="AD200" s="40">
        <v>0</v>
      </c>
      <c r="AE200" s="37">
        <v>1.2924043532637442E-3</v>
      </c>
      <c r="AF200" s="38">
        <v>1.2981316829711485E-3</v>
      </c>
      <c r="AG200" s="38">
        <v>5.7273297074042495E-6</v>
      </c>
      <c r="AH200" s="39">
        <v>8.0272376468468964E-2</v>
      </c>
      <c r="AI200" s="40">
        <v>1612.8667162641946</v>
      </c>
      <c r="AJ200" s="39">
        <v>5.2048032590628264</v>
      </c>
      <c r="AK200" s="28">
        <v>104577.11993294809</v>
      </c>
      <c r="AL200" s="41">
        <f t="shared" si="2"/>
        <v>23.881527564768898</v>
      </c>
      <c r="AM200" s="28">
        <v>1334096.25</v>
      </c>
      <c r="AN200" s="42">
        <v>7.8387987323214559E-2</v>
      </c>
      <c r="AP200" s="30"/>
      <c r="AR200" s="30"/>
    </row>
    <row r="201" spans="1:44" x14ac:dyDescent="0.2">
      <c r="A201" s="3" t="s">
        <v>1229</v>
      </c>
      <c r="B201" s="3" t="s">
        <v>464</v>
      </c>
      <c r="C201" s="3" t="s">
        <v>1737</v>
      </c>
      <c r="D201" s="27"/>
      <c r="E201" s="3" t="s">
        <v>37</v>
      </c>
      <c r="F201" s="133" t="s">
        <v>1056</v>
      </c>
      <c r="G201" s="3" t="s">
        <v>879</v>
      </c>
      <c r="H201" s="29">
        <v>58.44</v>
      </c>
      <c r="I201" s="30">
        <v>239.09800000000001</v>
      </c>
      <c r="J201" s="30">
        <v>239.721</v>
      </c>
      <c r="K201" s="31">
        <v>1</v>
      </c>
      <c r="L201" s="31">
        <v>1</v>
      </c>
      <c r="M201" s="4">
        <v>0.59</v>
      </c>
      <c r="N201" s="4">
        <v>0.59</v>
      </c>
      <c r="O201" s="4">
        <v>0.41</v>
      </c>
      <c r="P201" s="4">
        <v>0.41</v>
      </c>
      <c r="Q201" s="32">
        <v>239.09800000000001</v>
      </c>
      <c r="R201" s="32">
        <v>239.721</v>
      </c>
      <c r="S201" s="32">
        <v>13972.887119999999</v>
      </c>
      <c r="T201" s="32">
        <v>14009.295239999999</v>
      </c>
      <c r="U201" s="33">
        <v>7.3891864696638214E-4</v>
      </c>
      <c r="V201" s="34">
        <v>7.4360174299884245E-4</v>
      </c>
      <c r="W201" s="34">
        <v>4.6830960324603134E-6</v>
      </c>
      <c r="X201" s="35">
        <v>10.095490843635185</v>
      </c>
      <c r="Y201" s="36">
        <v>172749.67220457195</v>
      </c>
      <c r="Z201" s="37">
        <v>8.6179075480482604E-4</v>
      </c>
      <c r="AA201" s="38">
        <v>8.6665498447942367E-4</v>
      </c>
      <c r="AB201" s="38">
        <v>4.8642296745976315E-6</v>
      </c>
      <c r="AC201" s="39">
        <v>9.3063718207877372E-2</v>
      </c>
      <c r="AD201" s="40">
        <v>1592.4660884304822</v>
      </c>
      <c r="AE201" s="37">
        <v>6.1312260877427048E-4</v>
      </c>
      <c r="AF201" s="38">
        <v>6.1744432847651376E-4</v>
      </c>
      <c r="AG201" s="38">
        <v>4.3217197022432782E-6</v>
      </c>
      <c r="AH201" s="39">
        <v>6.0571807221292538E-2</v>
      </c>
      <c r="AI201" s="40">
        <v>1036.4785629926855</v>
      </c>
      <c r="AJ201" s="39">
        <v>10.249126369064355</v>
      </c>
      <c r="AK201" s="28">
        <v>175378.61685599512</v>
      </c>
      <c r="AL201" s="41">
        <f t="shared" si="2"/>
        <v>40.067556745895907</v>
      </c>
      <c r="AM201" s="28">
        <v>2257019.5</v>
      </c>
      <c r="AN201" s="42">
        <v>7.7703633865810695E-2</v>
      </c>
      <c r="AP201" s="30"/>
      <c r="AR201" s="30"/>
    </row>
    <row r="202" spans="1:44" x14ac:dyDescent="0.2">
      <c r="A202" s="3" t="s">
        <v>1540</v>
      </c>
      <c r="B202" s="3" t="s">
        <v>1501</v>
      </c>
      <c r="C202" s="3" t="s">
        <v>1738</v>
      </c>
      <c r="D202" s="27"/>
      <c r="E202" s="3" t="s">
        <v>2089</v>
      </c>
      <c r="F202" s="133" t="s">
        <v>1058</v>
      </c>
      <c r="G202" s="3" t="s">
        <v>879</v>
      </c>
      <c r="H202" s="29">
        <v>38.25</v>
      </c>
      <c r="I202" s="30">
        <v>227.125</v>
      </c>
      <c r="J202" s="30">
        <v>227.334</v>
      </c>
      <c r="K202" s="31">
        <v>1</v>
      </c>
      <c r="L202" s="31">
        <v>1</v>
      </c>
      <c r="M202" s="4">
        <v>0</v>
      </c>
      <c r="N202" s="4">
        <v>0</v>
      </c>
      <c r="O202" s="4">
        <v>1</v>
      </c>
      <c r="P202" s="4">
        <v>1</v>
      </c>
      <c r="Q202" s="32">
        <v>227.125</v>
      </c>
      <c r="R202" s="32">
        <v>227.334</v>
      </c>
      <c r="S202" s="32">
        <v>8687.53125</v>
      </c>
      <c r="T202" s="32">
        <v>8695.5254999999997</v>
      </c>
      <c r="U202" s="33">
        <v>4.5941678205786316E-4</v>
      </c>
      <c r="V202" s="34">
        <v>4.6155126345177096E-4</v>
      </c>
      <c r="W202" s="34">
        <v>2.1344813939077993E-6</v>
      </c>
      <c r="X202" s="35">
        <v>4.6013656817507229</v>
      </c>
      <c r="Y202" s="36">
        <v>120297.14200655484</v>
      </c>
      <c r="Z202" s="37">
        <v>0</v>
      </c>
      <c r="AA202" s="38">
        <v>0</v>
      </c>
      <c r="AB202" s="38">
        <v>0</v>
      </c>
      <c r="AC202" s="39">
        <v>0</v>
      </c>
      <c r="AD202" s="40">
        <v>0</v>
      </c>
      <c r="AE202" s="37">
        <v>9.2976609142135156E-4</v>
      </c>
      <c r="AF202" s="38">
        <v>9.3474573899736738E-4</v>
      </c>
      <c r="AG202" s="38">
        <v>4.9796475760158221E-6</v>
      </c>
      <c r="AH202" s="39">
        <v>6.9793108712682531E-2</v>
      </c>
      <c r="AI202" s="40">
        <v>1824.6564369328767</v>
      </c>
      <c r="AJ202" s="39">
        <v>4.6711587904634051</v>
      </c>
      <c r="AK202" s="28">
        <v>122121.79844348771</v>
      </c>
      <c r="AL202" s="41">
        <f t="shared" si="2"/>
        <v>27.90171756742221</v>
      </c>
      <c r="AM202" s="28">
        <v>1573628.75</v>
      </c>
      <c r="AN202" s="42">
        <v>7.7605215616127834E-2</v>
      </c>
      <c r="AP202" s="30"/>
      <c r="AR202" s="30"/>
    </row>
    <row r="203" spans="1:44" x14ac:dyDescent="0.2">
      <c r="A203" s="3" t="s">
        <v>1217</v>
      </c>
      <c r="B203" s="3" t="s">
        <v>452</v>
      </c>
      <c r="C203" s="3" t="s">
        <v>1739</v>
      </c>
      <c r="D203" s="27"/>
      <c r="E203" s="3" t="s">
        <v>26</v>
      </c>
      <c r="F203" s="133" t="s">
        <v>1057</v>
      </c>
      <c r="G203" s="3" t="s">
        <v>879</v>
      </c>
      <c r="H203" s="29">
        <v>83.11</v>
      </c>
      <c r="I203" s="30">
        <v>350.048</v>
      </c>
      <c r="J203" s="30">
        <v>350.25900000000001</v>
      </c>
      <c r="K203" s="31">
        <v>0.72</v>
      </c>
      <c r="L203" s="31">
        <v>0.72</v>
      </c>
      <c r="M203" s="4">
        <v>0.56000000000000005</v>
      </c>
      <c r="N203" s="4">
        <v>0.56000000000000005</v>
      </c>
      <c r="O203" s="4">
        <v>0.44</v>
      </c>
      <c r="P203" s="4">
        <v>0.44</v>
      </c>
      <c r="Q203" s="32">
        <v>252.03456</v>
      </c>
      <c r="R203" s="32">
        <v>252.18647999999999</v>
      </c>
      <c r="S203" s="32">
        <v>20946.592281599998</v>
      </c>
      <c r="T203" s="32">
        <v>20959.218352799999</v>
      </c>
      <c r="U203" s="33">
        <v>1.1077043344265088E-3</v>
      </c>
      <c r="V203" s="34">
        <v>1.1124978831579973E-3</v>
      </c>
      <c r="W203" s="34">
        <v>4.7935487314885311E-6</v>
      </c>
      <c r="X203" s="35">
        <v>10.333597046020351</v>
      </c>
      <c r="Y203" s="36">
        <v>124336.38606690352</v>
      </c>
      <c r="Z203" s="37">
        <v>1.2262106247882525E-3</v>
      </c>
      <c r="AA203" s="38">
        <v>1.2306683983299841E-3</v>
      </c>
      <c r="AB203" s="38">
        <v>4.4577735417315658E-6</v>
      </c>
      <c r="AC203" s="39">
        <v>8.5287292844895293E-2</v>
      </c>
      <c r="AD203" s="40">
        <v>1026.1977240391684</v>
      </c>
      <c r="AE203" s="37">
        <v>9.8637800503731691E-4</v>
      </c>
      <c r="AF203" s="38">
        <v>9.9134636786677214E-4</v>
      </c>
      <c r="AG203" s="38">
        <v>4.9683628294552255E-6</v>
      </c>
      <c r="AH203" s="39">
        <v>6.9634945402633791E-2</v>
      </c>
      <c r="AI203" s="40">
        <v>837.86482255605574</v>
      </c>
      <c r="AJ203" s="39">
        <v>10.48851928426788</v>
      </c>
      <c r="AK203" s="28">
        <v>126200.44861349875</v>
      </c>
      <c r="AL203" s="41">
        <f t="shared" si="2"/>
        <v>28.838579782748955</v>
      </c>
      <c r="AM203" s="28">
        <v>1628114.75</v>
      </c>
      <c r="AN203" s="42">
        <v>7.7513239538858525E-2</v>
      </c>
      <c r="AP203" s="30"/>
      <c r="AR203" s="30"/>
    </row>
    <row r="204" spans="1:44" x14ac:dyDescent="0.2">
      <c r="A204" s="3" t="s">
        <v>1541</v>
      </c>
      <c r="B204" s="3" t="s">
        <v>1502</v>
      </c>
      <c r="C204" s="3" t="s">
        <v>1740</v>
      </c>
      <c r="D204" s="27"/>
      <c r="E204" s="3" t="s">
        <v>2090</v>
      </c>
      <c r="F204" s="133" t="s">
        <v>1060</v>
      </c>
      <c r="G204" s="3" t="s">
        <v>881</v>
      </c>
      <c r="H204" s="29">
        <v>36.17</v>
      </c>
      <c r="I204" s="30">
        <v>267.137</v>
      </c>
      <c r="J204" s="30">
        <v>267.05799999999999</v>
      </c>
      <c r="K204" s="31">
        <v>1</v>
      </c>
      <c r="L204" s="31">
        <v>1</v>
      </c>
      <c r="M204" s="4">
        <v>1</v>
      </c>
      <c r="N204" s="4">
        <v>1</v>
      </c>
      <c r="O204" s="4">
        <v>0</v>
      </c>
      <c r="P204" s="4">
        <v>0</v>
      </c>
      <c r="Q204" s="32">
        <v>267.137</v>
      </c>
      <c r="R204" s="32">
        <v>267.05799999999999</v>
      </c>
      <c r="S204" s="32">
        <v>9662.3452900000011</v>
      </c>
      <c r="T204" s="32">
        <v>9659.4878600000011</v>
      </c>
      <c r="U204" s="33">
        <v>5.109672071986793E-4</v>
      </c>
      <c r="V204" s="34">
        <v>5.1271758401261018E-4</v>
      </c>
      <c r="W204" s="34">
        <v>1.7503768139308764E-6</v>
      </c>
      <c r="X204" s="35">
        <v>3.7733398963990266</v>
      </c>
      <c r="Y204" s="36">
        <v>104322.36373787743</v>
      </c>
      <c r="Z204" s="37">
        <v>1.010057788167083E-3</v>
      </c>
      <c r="AA204" s="38">
        <v>1.012819467962345E-3</v>
      </c>
      <c r="AB204" s="38">
        <v>2.7616797952619617E-6</v>
      </c>
      <c r="AC204" s="39">
        <v>5.2837182337182244E-2</v>
      </c>
      <c r="AD204" s="40">
        <v>1460.8012810943392</v>
      </c>
      <c r="AE204" s="37">
        <v>0</v>
      </c>
      <c r="AF204" s="38">
        <v>0</v>
      </c>
      <c r="AG204" s="38">
        <v>0</v>
      </c>
      <c r="AH204" s="39">
        <v>0</v>
      </c>
      <c r="AI204" s="40">
        <v>0</v>
      </c>
      <c r="AJ204" s="39">
        <v>3.8261770787362086</v>
      </c>
      <c r="AK204" s="28">
        <v>105783.16501897176</v>
      </c>
      <c r="AL204" s="41">
        <f t="shared" si="2"/>
        <v>24.196527701560356</v>
      </c>
      <c r="AM204" s="28">
        <v>1369647.5</v>
      </c>
      <c r="AN204" s="42">
        <v>7.7233861281075428E-2</v>
      </c>
      <c r="AP204" s="30"/>
      <c r="AR204" s="30"/>
    </row>
    <row r="205" spans="1:44" x14ac:dyDescent="0.2">
      <c r="A205" s="3" t="s">
        <v>889</v>
      </c>
      <c r="B205" s="3" t="s">
        <v>975</v>
      </c>
      <c r="C205" s="3" t="s">
        <v>1741</v>
      </c>
      <c r="D205" s="27"/>
      <c r="E205" s="3" t="s">
        <v>777</v>
      </c>
      <c r="F205" s="133" t="s">
        <v>1053</v>
      </c>
      <c r="G205" s="3" t="s">
        <v>879</v>
      </c>
      <c r="H205" s="29">
        <v>43.25</v>
      </c>
      <c r="I205" s="30">
        <v>1469.152</v>
      </c>
      <c r="J205" s="30">
        <v>1469.9949999999999</v>
      </c>
      <c r="K205" s="31">
        <v>1</v>
      </c>
      <c r="L205" s="31">
        <v>1</v>
      </c>
      <c r="M205" s="4">
        <v>0.42</v>
      </c>
      <c r="N205" s="4">
        <v>0.42</v>
      </c>
      <c r="O205" s="4">
        <v>0.57999999999999996</v>
      </c>
      <c r="P205" s="4">
        <v>0.57999999999999996</v>
      </c>
      <c r="Q205" s="32">
        <v>1469.152</v>
      </c>
      <c r="R205" s="32">
        <v>1469.9949999999999</v>
      </c>
      <c r="S205" s="32">
        <v>63540.824000000001</v>
      </c>
      <c r="T205" s="32">
        <v>63577.283749999995</v>
      </c>
      <c r="U205" s="33">
        <v>3.3601860012169786E-3</v>
      </c>
      <c r="V205" s="34">
        <v>3.3746293587022711E-3</v>
      </c>
      <c r="W205" s="34">
        <v>1.4443357485292505E-5</v>
      </c>
      <c r="X205" s="35">
        <v>31.135979752163212</v>
      </c>
      <c r="Y205" s="36">
        <v>719907.04629279103</v>
      </c>
      <c r="Z205" s="37">
        <v>2.7897533086459008E-3</v>
      </c>
      <c r="AA205" s="38">
        <v>2.7998141192249219E-3</v>
      </c>
      <c r="AB205" s="38">
        <v>1.0060810579021109E-5</v>
      </c>
      <c r="AC205" s="39">
        <v>0.19248606733322116</v>
      </c>
      <c r="AD205" s="40">
        <v>4450.5449094386395</v>
      </c>
      <c r="AE205" s="37">
        <v>3.9441930150386235E-3</v>
      </c>
      <c r="AF205" s="38">
        <v>3.9639450367613379E-3</v>
      </c>
      <c r="AG205" s="38">
        <v>1.975202172271439E-5</v>
      </c>
      <c r="AH205" s="39">
        <v>0.27683786419512912</v>
      </c>
      <c r="AI205" s="40">
        <v>6400.8754727197484</v>
      </c>
      <c r="AJ205" s="39">
        <v>31.605303683691563</v>
      </c>
      <c r="AK205" s="28">
        <v>730758.46667494939</v>
      </c>
      <c r="AL205" s="41">
        <f t="shared" si="2"/>
        <v>166.97523104384396</v>
      </c>
      <c r="AM205" s="28">
        <v>9528858</v>
      </c>
      <c r="AN205" s="42">
        <v>7.6688986935784895E-2</v>
      </c>
      <c r="AP205" s="30"/>
      <c r="AR205" s="30"/>
    </row>
    <row r="206" spans="1:44" x14ac:dyDescent="0.2">
      <c r="A206" s="3" t="s">
        <v>1249</v>
      </c>
      <c r="B206" s="3" t="s">
        <v>482</v>
      </c>
      <c r="C206" s="3" t="s">
        <v>1742</v>
      </c>
      <c r="D206" s="27"/>
      <c r="E206" s="3" t="s">
        <v>55</v>
      </c>
      <c r="F206" s="133" t="s">
        <v>1064</v>
      </c>
      <c r="G206" s="3" t="s">
        <v>879</v>
      </c>
      <c r="H206" s="29">
        <v>35.99</v>
      </c>
      <c r="I206" s="30">
        <v>428.57100000000003</v>
      </c>
      <c r="J206" s="30">
        <v>429.67200000000003</v>
      </c>
      <c r="K206" s="31">
        <v>1</v>
      </c>
      <c r="L206" s="31">
        <v>1</v>
      </c>
      <c r="M206" s="4">
        <v>0</v>
      </c>
      <c r="N206" s="4">
        <v>0</v>
      </c>
      <c r="O206" s="4">
        <v>1</v>
      </c>
      <c r="P206" s="4">
        <v>1</v>
      </c>
      <c r="Q206" s="32">
        <v>428.57100000000003</v>
      </c>
      <c r="R206" s="32">
        <v>429.67200000000003</v>
      </c>
      <c r="S206" s="32">
        <v>15424.270290000002</v>
      </c>
      <c r="T206" s="32">
        <v>15463.895280000002</v>
      </c>
      <c r="U206" s="33">
        <v>8.1567115194233167E-4</v>
      </c>
      <c r="V206" s="34">
        <v>8.2081070366246168E-4</v>
      </c>
      <c r="W206" s="34">
        <v>5.1395517201300103E-6</v>
      </c>
      <c r="X206" s="35">
        <v>11.079486085982092</v>
      </c>
      <c r="Y206" s="36">
        <v>307849.01600394811</v>
      </c>
      <c r="Z206" s="37">
        <v>0</v>
      </c>
      <c r="AA206" s="38">
        <v>0</v>
      </c>
      <c r="AB206" s="38">
        <v>0</v>
      </c>
      <c r="AC206" s="39">
        <v>0</v>
      </c>
      <c r="AD206" s="40">
        <v>0</v>
      </c>
      <c r="AE206" s="37">
        <v>1.6507524505951882E-3</v>
      </c>
      <c r="AF206" s="38">
        <v>1.6623273914016471E-3</v>
      </c>
      <c r="AG206" s="38">
        <v>1.1574940806458869E-5</v>
      </c>
      <c r="AH206" s="39">
        <v>0.16223057750894179</v>
      </c>
      <c r="AI206" s="40">
        <v>4507.6570577644288</v>
      </c>
      <c r="AJ206" s="39">
        <v>11.241716663491033</v>
      </c>
      <c r="AK206" s="28">
        <v>312356.67306171253</v>
      </c>
      <c r="AL206" s="41">
        <f t="shared" si="2"/>
        <v>71.402496806474161</v>
      </c>
      <c r="AM206" s="28">
        <v>4093125.25</v>
      </c>
      <c r="AN206" s="42">
        <v>7.6312512807105659E-2</v>
      </c>
      <c r="AP206" s="30"/>
      <c r="AR206" s="30"/>
    </row>
    <row r="207" spans="1:44" x14ac:dyDescent="0.2">
      <c r="A207" s="3" t="s">
        <v>144</v>
      </c>
      <c r="B207" s="3" t="s">
        <v>1390</v>
      </c>
      <c r="C207" s="3" t="s">
        <v>1743</v>
      </c>
      <c r="D207" s="27"/>
      <c r="E207" s="3" t="s">
        <v>619</v>
      </c>
      <c r="F207" s="133" t="s">
        <v>1064</v>
      </c>
      <c r="G207" s="3" t="s">
        <v>879</v>
      </c>
      <c r="H207" s="29">
        <v>133.5</v>
      </c>
      <c r="I207" s="30">
        <v>94.814999999999998</v>
      </c>
      <c r="J207" s="30">
        <v>94.986999999999995</v>
      </c>
      <c r="K207" s="31">
        <v>1</v>
      </c>
      <c r="L207" s="31">
        <v>1</v>
      </c>
      <c r="M207" s="4">
        <v>0.65</v>
      </c>
      <c r="N207" s="4">
        <v>0.65</v>
      </c>
      <c r="O207" s="4">
        <v>0.35</v>
      </c>
      <c r="P207" s="4">
        <v>0.35</v>
      </c>
      <c r="Q207" s="32">
        <v>94.814999999999998</v>
      </c>
      <c r="R207" s="32">
        <v>94.986999999999995</v>
      </c>
      <c r="S207" s="32">
        <v>12657.8025</v>
      </c>
      <c r="T207" s="32">
        <v>12680.764499999999</v>
      </c>
      <c r="U207" s="33">
        <v>6.6937392512677002E-4</v>
      </c>
      <c r="V207" s="34">
        <v>6.7308443595609773E-4</v>
      </c>
      <c r="W207" s="34">
        <v>3.7105108293277074E-6</v>
      </c>
      <c r="X207" s="35">
        <v>7.998859695176348</v>
      </c>
      <c r="Y207" s="36">
        <v>59916.552023792865</v>
      </c>
      <c r="Z207" s="37">
        <v>8.6007305142929262E-4</v>
      </c>
      <c r="AA207" s="38">
        <v>8.6424471682702256E-4</v>
      </c>
      <c r="AB207" s="38">
        <v>4.1716653977299416E-6</v>
      </c>
      <c r="AC207" s="39">
        <v>7.9813396776747883E-2</v>
      </c>
      <c r="AD207" s="40">
        <v>597.8531593763887</v>
      </c>
      <c r="AE207" s="37">
        <v>4.74136820485445E-4</v>
      </c>
      <c r="AF207" s="38">
        <v>4.7710189617193675E-4</v>
      </c>
      <c r="AG207" s="38">
        <v>2.9650756864917516E-6</v>
      </c>
      <c r="AH207" s="39">
        <v>4.1557529236682086E-2</v>
      </c>
      <c r="AI207" s="40">
        <v>311.29235383282457</v>
      </c>
      <c r="AJ207" s="39">
        <v>8.1202306211897781</v>
      </c>
      <c r="AK207" s="28">
        <v>60825.697537002081</v>
      </c>
      <c r="AL207" s="41">
        <f t="shared" si="2"/>
        <v>13.897044304598156</v>
      </c>
      <c r="AM207" s="28">
        <v>808313</v>
      </c>
      <c r="AN207" s="42">
        <v>7.5250178503874221E-2</v>
      </c>
      <c r="AP207" s="30"/>
      <c r="AR207" s="30"/>
    </row>
    <row r="208" spans="1:44" x14ac:dyDescent="0.2">
      <c r="A208" s="3" t="s">
        <v>917</v>
      </c>
      <c r="B208" s="3" t="s">
        <v>999</v>
      </c>
      <c r="C208" s="3" t="s">
        <v>1744</v>
      </c>
      <c r="D208" s="27"/>
      <c r="E208" s="3" t="s">
        <v>803</v>
      </c>
      <c r="F208" s="133" t="s">
        <v>1058</v>
      </c>
      <c r="G208" s="3" t="s">
        <v>881</v>
      </c>
      <c r="H208" s="29">
        <v>34.049999999999997</v>
      </c>
      <c r="I208" s="30">
        <v>921.80200000000002</v>
      </c>
      <c r="J208" s="30">
        <v>921.69500000000005</v>
      </c>
      <c r="K208" s="31">
        <v>1</v>
      </c>
      <c r="L208" s="31">
        <v>1</v>
      </c>
      <c r="M208" s="4">
        <v>0</v>
      </c>
      <c r="N208" s="4">
        <v>0</v>
      </c>
      <c r="O208" s="4">
        <v>1</v>
      </c>
      <c r="P208" s="4">
        <v>1</v>
      </c>
      <c r="Q208" s="32">
        <v>921.80200000000002</v>
      </c>
      <c r="R208" s="32">
        <v>921.69500000000005</v>
      </c>
      <c r="S208" s="32">
        <v>31387.358099999998</v>
      </c>
      <c r="T208" s="32">
        <v>31383.714749999999</v>
      </c>
      <c r="U208" s="33">
        <v>1.6598362228164422E-3</v>
      </c>
      <c r="V208" s="34">
        <v>1.6658214842418071E-3</v>
      </c>
      <c r="W208" s="34">
        <v>5.9852614253648809E-6</v>
      </c>
      <c r="X208" s="35">
        <v>12.902607911029655</v>
      </c>
      <c r="Y208" s="36">
        <v>378931.21618295612</v>
      </c>
      <c r="Z208" s="37">
        <v>0</v>
      </c>
      <c r="AA208" s="38">
        <v>0</v>
      </c>
      <c r="AB208" s="38">
        <v>0</v>
      </c>
      <c r="AC208" s="39">
        <v>0</v>
      </c>
      <c r="AD208" s="40">
        <v>0</v>
      </c>
      <c r="AE208" s="37">
        <v>3.3591707955789277E-3</v>
      </c>
      <c r="AF208" s="38">
        <v>3.3736654140651221E-3</v>
      </c>
      <c r="AG208" s="38">
        <v>1.4494618486194429E-5</v>
      </c>
      <c r="AH208" s="39">
        <v>0.20315182315878239</v>
      </c>
      <c r="AI208" s="40">
        <v>5966.2796816088812</v>
      </c>
      <c r="AJ208" s="39">
        <v>13.105759734188437</v>
      </c>
      <c r="AK208" s="28">
        <v>384897.49586456502</v>
      </c>
      <c r="AL208" s="41">
        <f t="shared" si="2"/>
        <v>87.889301400365369</v>
      </c>
      <c r="AM208" s="28">
        <v>5115465</v>
      </c>
      <c r="AN208" s="42">
        <v>7.5241937119023397E-2</v>
      </c>
      <c r="AP208" s="30"/>
      <c r="AR208" s="30"/>
    </row>
    <row r="209" spans="1:44" x14ac:dyDescent="0.2">
      <c r="A209" s="3" t="s">
        <v>763</v>
      </c>
      <c r="B209" s="3" t="s">
        <v>1309</v>
      </c>
      <c r="C209" s="3" t="s">
        <v>1745</v>
      </c>
      <c r="D209" s="27"/>
      <c r="E209" s="3" t="s">
        <v>962</v>
      </c>
      <c r="F209" s="133" t="s">
        <v>1056</v>
      </c>
      <c r="G209" s="3" t="s">
        <v>881</v>
      </c>
      <c r="H209" s="29">
        <v>69.98</v>
      </c>
      <c r="I209" s="30">
        <v>1004.227</v>
      </c>
      <c r="J209" s="30">
        <v>1003.21</v>
      </c>
      <c r="K209" s="31">
        <v>1</v>
      </c>
      <c r="L209" s="31">
        <v>1</v>
      </c>
      <c r="M209" s="4">
        <v>0.63</v>
      </c>
      <c r="N209" s="4">
        <v>0.63</v>
      </c>
      <c r="O209" s="4">
        <v>0.37</v>
      </c>
      <c r="P209" s="4">
        <v>0.37</v>
      </c>
      <c r="Q209" s="32">
        <v>1004.227</v>
      </c>
      <c r="R209" s="32">
        <v>1003.21</v>
      </c>
      <c r="S209" s="32">
        <v>70275.805460000003</v>
      </c>
      <c r="T209" s="32">
        <v>70204.635800000004</v>
      </c>
      <c r="U209" s="33">
        <v>3.7163474261986238E-3</v>
      </c>
      <c r="V209" s="34">
        <v>3.7264036950568928E-3</v>
      </c>
      <c r="W209" s="34">
        <v>1.0056268858269022E-5</v>
      </c>
      <c r="X209" s="35">
        <v>21.678600967414376</v>
      </c>
      <c r="Y209" s="36">
        <v>309782.80890846491</v>
      </c>
      <c r="Z209" s="37">
        <v>4.628177960041658E-3</v>
      </c>
      <c r="AA209" s="38">
        <v>4.6375038131732894E-3</v>
      </c>
      <c r="AB209" s="38">
        <v>9.3258531316314439E-6</v>
      </c>
      <c r="AC209" s="39">
        <v>0.17842466864231527</v>
      </c>
      <c r="AD209" s="40">
        <v>2549.6523098358853</v>
      </c>
      <c r="AE209" s="37">
        <v>2.7828184855958529E-3</v>
      </c>
      <c r="AF209" s="38">
        <v>2.7923199286354174E-3</v>
      </c>
      <c r="AG209" s="38">
        <v>9.5014430395645375E-6</v>
      </c>
      <c r="AH209" s="39">
        <v>0.13316911224433636</v>
      </c>
      <c r="AI209" s="40">
        <v>1902.9595919453609</v>
      </c>
      <c r="AJ209" s="39">
        <v>21.990194748301025</v>
      </c>
      <c r="AK209" s="28">
        <v>314235.42081024614</v>
      </c>
      <c r="AL209" s="41">
        <f t="shared" si="2"/>
        <v>71.851020707838103</v>
      </c>
      <c r="AM209" s="28">
        <v>4206186.5</v>
      </c>
      <c r="AN209" s="42">
        <v>7.4707914356685362E-2</v>
      </c>
      <c r="AP209" s="30"/>
      <c r="AR209" s="30"/>
    </row>
    <row r="210" spans="1:44" x14ac:dyDescent="0.2">
      <c r="A210" s="3" t="s">
        <v>1302</v>
      </c>
      <c r="B210" s="3" t="s">
        <v>1294</v>
      </c>
      <c r="C210" s="3" t="s">
        <v>1746</v>
      </c>
      <c r="D210" s="27"/>
      <c r="E210" s="3" t="s">
        <v>1267</v>
      </c>
      <c r="F210" s="133" t="s">
        <v>1072</v>
      </c>
      <c r="G210" s="3" t="s">
        <v>879</v>
      </c>
      <c r="H210" s="29">
        <v>41.46</v>
      </c>
      <c r="I210" s="30">
        <v>346.61</v>
      </c>
      <c r="J210" s="30">
        <v>347.22500000000002</v>
      </c>
      <c r="K210" s="31">
        <v>1</v>
      </c>
      <c r="L210" s="31">
        <v>1</v>
      </c>
      <c r="M210" s="4">
        <v>0</v>
      </c>
      <c r="N210" s="4">
        <v>0</v>
      </c>
      <c r="O210" s="4">
        <v>1</v>
      </c>
      <c r="P210" s="4">
        <v>1</v>
      </c>
      <c r="Q210" s="32">
        <v>346.61</v>
      </c>
      <c r="R210" s="32">
        <v>347.22500000000002</v>
      </c>
      <c r="S210" s="32">
        <v>14370.4506</v>
      </c>
      <c r="T210" s="32">
        <v>14395.9485</v>
      </c>
      <c r="U210" s="33">
        <v>7.5994272496844129E-4</v>
      </c>
      <c r="V210" s="34">
        <v>7.6412497654818306E-4</v>
      </c>
      <c r="W210" s="34">
        <v>4.1822515797417751E-6</v>
      </c>
      <c r="X210" s="35">
        <v>9.015805406595554</v>
      </c>
      <c r="Y210" s="36">
        <v>217457.92104668485</v>
      </c>
      <c r="Z210" s="37">
        <v>0</v>
      </c>
      <c r="AA210" s="38">
        <v>0</v>
      </c>
      <c r="AB210" s="38">
        <v>0</v>
      </c>
      <c r="AC210" s="39">
        <v>0</v>
      </c>
      <c r="AD210" s="40">
        <v>0</v>
      </c>
      <c r="AE210" s="37">
        <v>1.5379694532121097E-3</v>
      </c>
      <c r="AF210" s="38">
        <v>1.5475259682926055E-3</v>
      </c>
      <c r="AG210" s="38">
        <v>9.5565150804958077E-6</v>
      </c>
      <c r="AH210" s="39">
        <v>0.13394098392422354</v>
      </c>
      <c r="AI210" s="40">
        <v>3230.6074270193812</v>
      </c>
      <c r="AJ210" s="39">
        <v>9.1497463905197769</v>
      </c>
      <c r="AK210" s="28">
        <v>220688.52847370424</v>
      </c>
      <c r="AL210" s="41">
        <f t="shared" si="2"/>
        <v>50.437187406437232</v>
      </c>
      <c r="AM210" s="28">
        <v>2977086</v>
      </c>
      <c r="AN210" s="42">
        <v>7.4129040435413768E-2</v>
      </c>
      <c r="AP210" s="30"/>
      <c r="AR210" s="30"/>
    </row>
    <row r="211" spans="1:44" x14ac:dyDescent="0.2">
      <c r="A211" s="3" t="s">
        <v>1173</v>
      </c>
      <c r="B211" s="3" t="s">
        <v>409</v>
      </c>
      <c r="C211" s="3" t="s">
        <v>1747</v>
      </c>
      <c r="D211" s="27"/>
      <c r="E211" s="3" t="s">
        <v>702</v>
      </c>
      <c r="F211" s="133" t="s">
        <v>1058</v>
      </c>
      <c r="G211" s="3" t="s">
        <v>879</v>
      </c>
      <c r="H211" s="29">
        <v>32.6</v>
      </c>
      <c r="I211" s="30">
        <v>424.71199999999999</v>
      </c>
      <c r="J211" s="30">
        <v>425.19799999999998</v>
      </c>
      <c r="K211" s="31">
        <v>1</v>
      </c>
      <c r="L211" s="31">
        <v>1</v>
      </c>
      <c r="M211" s="4">
        <v>0</v>
      </c>
      <c r="N211" s="4">
        <v>0</v>
      </c>
      <c r="O211" s="4">
        <v>1</v>
      </c>
      <c r="P211" s="4">
        <v>1</v>
      </c>
      <c r="Q211" s="32">
        <v>424.71199999999999</v>
      </c>
      <c r="R211" s="32">
        <v>425.19799999999998</v>
      </c>
      <c r="S211" s="32">
        <v>13845.611199999999</v>
      </c>
      <c r="T211" s="32">
        <v>13861.4548</v>
      </c>
      <c r="U211" s="33">
        <v>7.3218800141044776E-4</v>
      </c>
      <c r="V211" s="34">
        <v>7.3575449536886705E-4</v>
      </c>
      <c r="W211" s="34">
        <v>3.5664939584192923E-6</v>
      </c>
      <c r="X211" s="35">
        <v>7.6883981988697983</v>
      </c>
      <c r="Y211" s="36">
        <v>235840.43554815333</v>
      </c>
      <c r="Z211" s="37">
        <v>0</v>
      </c>
      <c r="AA211" s="38">
        <v>0</v>
      </c>
      <c r="AB211" s="38">
        <v>0</v>
      </c>
      <c r="AC211" s="39">
        <v>0</v>
      </c>
      <c r="AD211" s="40">
        <v>0</v>
      </c>
      <c r="AE211" s="37">
        <v>1.4817995398593458E-3</v>
      </c>
      <c r="AF211" s="38">
        <v>1.4900693248044185E-3</v>
      </c>
      <c r="AG211" s="38">
        <v>8.2697849450726838E-6</v>
      </c>
      <c r="AH211" s="39">
        <v>0.11590659597717066</v>
      </c>
      <c r="AI211" s="40">
        <v>3555.4170545144375</v>
      </c>
      <c r="AJ211" s="39">
        <v>7.8043047948469688</v>
      </c>
      <c r="AK211" s="28">
        <v>239395.85260266776</v>
      </c>
      <c r="AL211" s="41">
        <f t="shared" si="2"/>
        <v>54.700827583117977</v>
      </c>
      <c r="AM211" s="28">
        <v>3229397.75</v>
      </c>
      <c r="AN211" s="42">
        <v>7.4130184986556005E-2</v>
      </c>
      <c r="AP211" s="30"/>
      <c r="AR211" s="30"/>
    </row>
    <row r="212" spans="1:44" x14ac:dyDescent="0.2">
      <c r="A212" s="3" t="s">
        <v>943</v>
      </c>
      <c r="B212" s="3" t="s">
        <v>1022</v>
      </c>
      <c r="C212" s="3" t="s">
        <v>1748</v>
      </c>
      <c r="D212" s="27"/>
      <c r="E212" s="3" t="s">
        <v>826</v>
      </c>
      <c r="F212" s="133" t="s">
        <v>1054</v>
      </c>
      <c r="G212" s="3" t="s">
        <v>881</v>
      </c>
      <c r="H212" s="29">
        <v>63.01</v>
      </c>
      <c r="I212" s="30">
        <v>2768.0250000000001</v>
      </c>
      <c r="J212" s="30">
        <v>2765.2080000000001</v>
      </c>
      <c r="K212" s="31">
        <v>1</v>
      </c>
      <c r="L212" s="31">
        <v>1</v>
      </c>
      <c r="M212" s="4">
        <v>0</v>
      </c>
      <c r="N212" s="4">
        <v>0</v>
      </c>
      <c r="O212" s="4">
        <v>1</v>
      </c>
      <c r="P212" s="4">
        <v>1</v>
      </c>
      <c r="Q212" s="32">
        <v>2768.0250000000001</v>
      </c>
      <c r="R212" s="32">
        <v>2765.2080000000001</v>
      </c>
      <c r="S212" s="32">
        <v>174413.25524999999</v>
      </c>
      <c r="T212" s="32">
        <v>174235.75607999999</v>
      </c>
      <c r="U212" s="33">
        <v>9.2233770641333458E-3</v>
      </c>
      <c r="V212" s="34">
        <v>9.2482890605287259E-3</v>
      </c>
      <c r="W212" s="34">
        <v>2.4911996395380123E-5</v>
      </c>
      <c r="X212" s="35">
        <v>53.703539231952334</v>
      </c>
      <c r="Y212" s="36">
        <v>852301.84465882147</v>
      </c>
      <c r="Z212" s="37">
        <v>0</v>
      </c>
      <c r="AA212" s="38">
        <v>0</v>
      </c>
      <c r="AB212" s="38">
        <v>0</v>
      </c>
      <c r="AC212" s="39">
        <v>0</v>
      </c>
      <c r="AD212" s="40">
        <v>0</v>
      </c>
      <c r="AE212" s="37">
        <v>1.8666238538810092E-2</v>
      </c>
      <c r="AF212" s="38">
        <v>1.8729877863823713E-2</v>
      </c>
      <c r="AG212" s="38">
        <v>6.3639325013620934E-5</v>
      </c>
      <c r="AH212" s="39">
        <v>0.89194792628900488</v>
      </c>
      <c r="AI212" s="40">
        <v>14155.656662260037</v>
      </c>
      <c r="AJ212" s="39">
        <v>54.59548715824134</v>
      </c>
      <c r="AK212" s="28">
        <v>866457.50132108154</v>
      </c>
      <c r="AL212" s="41">
        <f t="shared" ref="AL212:AL275" si="3">+$AL$6*W212/H212*10^6</f>
        <v>197.68287887144996</v>
      </c>
      <c r="AM212" s="28">
        <v>11733002</v>
      </c>
      <c r="AN212" s="42">
        <v>7.3847895135540034E-2</v>
      </c>
      <c r="AP212" s="30"/>
      <c r="AR212" s="30"/>
    </row>
    <row r="213" spans="1:44" x14ac:dyDescent="0.2">
      <c r="A213" s="3" t="s">
        <v>935</v>
      </c>
      <c r="B213" s="3" t="s">
        <v>1014</v>
      </c>
      <c r="C213" s="3" t="s">
        <v>1749</v>
      </c>
      <c r="D213" s="27"/>
      <c r="E213" s="3" t="s">
        <v>819</v>
      </c>
      <c r="F213" s="133" t="s">
        <v>1063</v>
      </c>
      <c r="G213" s="3" t="s">
        <v>881</v>
      </c>
      <c r="H213" s="29">
        <v>77.180000000000007</v>
      </c>
      <c r="I213" s="30">
        <v>886.10500000000002</v>
      </c>
      <c r="J213" s="30">
        <v>886.10500000000002</v>
      </c>
      <c r="K213" s="31">
        <v>1</v>
      </c>
      <c r="L213" s="31">
        <v>1</v>
      </c>
      <c r="M213" s="4">
        <v>1</v>
      </c>
      <c r="N213" s="4">
        <v>1</v>
      </c>
      <c r="O213" s="4">
        <v>0</v>
      </c>
      <c r="P213" s="4">
        <v>0</v>
      </c>
      <c r="Q213" s="32">
        <v>886.10500000000002</v>
      </c>
      <c r="R213" s="32">
        <v>886.10500000000002</v>
      </c>
      <c r="S213" s="32">
        <v>68389.583900000012</v>
      </c>
      <c r="T213" s="32">
        <v>68389.583900000012</v>
      </c>
      <c r="U213" s="33">
        <v>3.6165996596114981E-3</v>
      </c>
      <c r="V213" s="34">
        <v>3.6300622493701962E-3</v>
      </c>
      <c r="W213" s="34">
        <v>1.346258975869815E-5</v>
      </c>
      <c r="X213" s="35">
        <v>29.02170929199406</v>
      </c>
      <c r="Y213" s="36">
        <v>376026.29297737835</v>
      </c>
      <c r="Z213" s="37">
        <v>7.1491371685084085E-3</v>
      </c>
      <c r="AA213" s="38">
        <v>7.1708048070122168E-3</v>
      </c>
      <c r="AB213" s="38">
        <v>2.1667638503808373E-5</v>
      </c>
      <c r="AC213" s="39">
        <v>0.41455094410511739</v>
      </c>
      <c r="AD213" s="40">
        <v>5371.2223905819819</v>
      </c>
      <c r="AE213" s="37">
        <v>0</v>
      </c>
      <c r="AF213" s="38">
        <v>0</v>
      </c>
      <c r="AG213" s="38">
        <v>0</v>
      </c>
      <c r="AH213" s="39">
        <v>0</v>
      </c>
      <c r="AI213" s="40">
        <v>0</v>
      </c>
      <c r="AJ213" s="39">
        <v>29.436260236099177</v>
      </c>
      <c r="AK213" s="28">
        <v>381397.51536796032</v>
      </c>
      <c r="AL213" s="41">
        <f t="shared" si="3"/>
        <v>87.2155335494827</v>
      </c>
      <c r="AM213" s="28">
        <v>5186053</v>
      </c>
      <c r="AN213" s="42">
        <v>7.3542926647290396E-2</v>
      </c>
      <c r="AP213" s="30"/>
      <c r="AR213" s="30"/>
    </row>
    <row r="214" spans="1:44" x14ac:dyDescent="0.2">
      <c r="A214" s="3" t="s">
        <v>213</v>
      </c>
      <c r="B214" s="3" t="s">
        <v>493</v>
      </c>
      <c r="C214" s="3" t="s">
        <v>1750</v>
      </c>
      <c r="D214" s="27"/>
      <c r="E214" s="3" t="s">
        <v>63</v>
      </c>
      <c r="F214" s="133" t="s">
        <v>1052</v>
      </c>
      <c r="G214" s="3" t="s">
        <v>879</v>
      </c>
      <c r="H214" s="29">
        <v>18.11</v>
      </c>
      <c r="I214" s="30">
        <v>161.91900000000001</v>
      </c>
      <c r="J214" s="30">
        <v>162.08199999999999</v>
      </c>
      <c r="K214" s="31">
        <v>1</v>
      </c>
      <c r="L214" s="31">
        <v>1</v>
      </c>
      <c r="M214" s="4">
        <v>0</v>
      </c>
      <c r="N214" s="4">
        <v>0</v>
      </c>
      <c r="O214" s="4">
        <v>1</v>
      </c>
      <c r="P214" s="4">
        <v>1</v>
      </c>
      <c r="Q214" s="32">
        <v>161.91900000000001</v>
      </c>
      <c r="R214" s="32">
        <v>162.08199999999999</v>
      </c>
      <c r="S214" s="32">
        <v>2932.3530900000001</v>
      </c>
      <c r="T214" s="32">
        <v>2935.3050199999998</v>
      </c>
      <c r="U214" s="33">
        <v>1.5506962584626463E-4</v>
      </c>
      <c r="V214" s="34">
        <v>1.5580354983690472E-4</v>
      </c>
      <c r="W214" s="34">
        <v>7.3392399064009842E-7</v>
      </c>
      <c r="X214" s="35">
        <v>1.5821420009486211</v>
      </c>
      <c r="Y214" s="36">
        <v>87362.893481425795</v>
      </c>
      <c r="Z214" s="37">
        <v>0</v>
      </c>
      <c r="AA214" s="38">
        <v>0</v>
      </c>
      <c r="AB214" s="38">
        <v>0</v>
      </c>
      <c r="AC214" s="39">
        <v>0</v>
      </c>
      <c r="AD214" s="40">
        <v>0</v>
      </c>
      <c r="AE214" s="37">
        <v>3.138293713943904E-4</v>
      </c>
      <c r="AF214" s="38">
        <v>3.1553744050346146E-4</v>
      </c>
      <c r="AG214" s="38">
        <v>1.7080691090710638E-6</v>
      </c>
      <c r="AH214" s="39">
        <v>2.3939736938884279E-2</v>
      </c>
      <c r="AI214" s="40">
        <v>1321.9070645435825</v>
      </c>
      <c r="AJ214" s="39">
        <v>1.6060817378875054</v>
      </c>
      <c r="AK214" s="28">
        <v>88684.800545969381</v>
      </c>
      <c r="AL214" s="41">
        <f t="shared" si="3"/>
        <v>20.262948388738224</v>
      </c>
      <c r="AM214" s="28">
        <v>1211230.125</v>
      </c>
      <c r="AN214" s="42">
        <v>7.3218787012888559E-2</v>
      </c>
      <c r="AP214" s="30"/>
      <c r="AR214" s="30"/>
    </row>
    <row r="215" spans="1:44" x14ac:dyDescent="0.2">
      <c r="A215" s="3" t="s">
        <v>1180</v>
      </c>
      <c r="B215" s="3" t="s">
        <v>416</v>
      </c>
      <c r="C215" s="3" t="s">
        <v>1751</v>
      </c>
      <c r="D215" s="27"/>
      <c r="E215" s="3" t="s">
        <v>709</v>
      </c>
      <c r="F215" s="133" t="s">
        <v>1052</v>
      </c>
      <c r="G215" s="3" t="s">
        <v>879</v>
      </c>
      <c r="H215" s="29">
        <v>47.23</v>
      </c>
      <c r="I215" s="30">
        <v>133.75200000000001</v>
      </c>
      <c r="J215" s="30">
        <v>133.809</v>
      </c>
      <c r="K215" s="31">
        <v>1</v>
      </c>
      <c r="L215" s="31">
        <v>1</v>
      </c>
      <c r="M215" s="4">
        <v>0</v>
      </c>
      <c r="N215" s="4">
        <v>0</v>
      </c>
      <c r="O215" s="4">
        <v>1</v>
      </c>
      <c r="P215" s="4">
        <v>1</v>
      </c>
      <c r="Q215" s="32">
        <v>133.75200000000001</v>
      </c>
      <c r="R215" s="32">
        <v>133.809</v>
      </c>
      <c r="S215" s="32">
        <v>6317.1069600000001</v>
      </c>
      <c r="T215" s="32">
        <v>6319.7990699999991</v>
      </c>
      <c r="U215" s="33">
        <v>3.340632531800712E-4</v>
      </c>
      <c r="V215" s="34">
        <v>3.35449679897992E-4</v>
      </c>
      <c r="W215" s="34">
        <v>1.3864267179207945E-6</v>
      </c>
      <c r="X215" s="35">
        <v>2.9887617377744169</v>
      </c>
      <c r="Y215" s="36">
        <v>63281.00228190593</v>
      </c>
      <c r="Z215" s="37">
        <v>0</v>
      </c>
      <c r="AA215" s="38">
        <v>0</v>
      </c>
      <c r="AB215" s="38">
        <v>0</v>
      </c>
      <c r="AC215" s="39">
        <v>0</v>
      </c>
      <c r="AD215" s="40">
        <v>0</v>
      </c>
      <c r="AE215" s="37">
        <v>6.7607605409071949E-4</v>
      </c>
      <c r="AF215" s="38">
        <v>6.7936150057889243E-4</v>
      </c>
      <c r="AG215" s="38">
        <v>3.2854464881729379E-6</v>
      </c>
      <c r="AH215" s="39">
        <v>4.6047741415109797E-2</v>
      </c>
      <c r="AI215" s="40">
        <v>974.96805875735333</v>
      </c>
      <c r="AJ215" s="39">
        <v>3.0348094791895268</v>
      </c>
      <c r="AK215" s="28">
        <v>64255.970340663283</v>
      </c>
      <c r="AL215" s="41">
        <f t="shared" si="3"/>
        <v>14.677394854126556</v>
      </c>
      <c r="AM215" s="28">
        <v>885191.125</v>
      </c>
      <c r="AN215" s="42">
        <v>7.2589939647963911E-2</v>
      </c>
      <c r="AP215" s="30"/>
      <c r="AR215" s="30"/>
    </row>
    <row r="216" spans="1:44" x14ac:dyDescent="0.2">
      <c r="A216" s="3" t="s">
        <v>306</v>
      </c>
      <c r="B216" s="3" t="s">
        <v>1404</v>
      </c>
      <c r="C216" s="3" t="s">
        <v>1752</v>
      </c>
      <c r="D216" s="27"/>
      <c r="E216" s="3" t="s">
        <v>202</v>
      </c>
      <c r="F216" s="133" t="s">
        <v>1063</v>
      </c>
      <c r="G216" s="3" t="s">
        <v>879</v>
      </c>
      <c r="H216" s="29">
        <v>85.27</v>
      </c>
      <c r="I216" s="30">
        <v>133.42699999999999</v>
      </c>
      <c r="J216" s="30">
        <v>133.66499999999999</v>
      </c>
      <c r="K216" s="31">
        <v>1</v>
      </c>
      <c r="L216" s="31">
        <v>1</v>
      </c>
      <c r="M216" s="4">
        <v>1</v>
      </c>
      <c r="N216" s="4">
        <v>1</v>
      </c>
      <c r="O216" s="4">
        <v>0</v>
      </c>
      <c r="P216" s="4">
        <v>0</v>
      </c>
      <c r="Q216" s="32">
        <v>133.42699999999999</v>
      </c>
      <c r="R216" s="32">
        <v>133.66499999999999</v>
      </c>
      <c r="S216" s="32">
        <v>11377.32029</v>
      </c>
      <c r="T216" s="32">
        <v>11397.614549999998</v>
      </c>
      <c r="U216" s="33">
        <v>6.0165905890392443E-4</v>
      </c>
      <c r="V216" s="34">
        <v>6.0497590351368498E-4</v>
      </c>
      <c r="W216" s="34">
        <v>3.3168446097605556E-6</v>
      </c>
      <c r="X216" s="35">
        <v>7.1502215960339006</v>
      </c>
      <c r="Y216" s="36">
        <v>83853.894640951112</v>
      </c>
      <c r="Z216" s="37">
        <v>1.1893335026310029E-3</v>
      </c>
      <c r="AA216" s="38">
        <v>1.1950660399267666E-3</v>
      </c>
      <c r="AB216" s="38">
        <v>5.7325372957636993E-6</v>
      </c>
      <c r="AC216" s="39">
        <v>0.10967640740632394</v>
      </c>
      <c r="AD216" s="40">
        <v>1286.2250194244627</v>
      </c>
      <c r="AE216" s="37">
        <v>0</v>
      </c>
      <c r="AF216" s="38">
        <v>0</v>
      </c>
      <c r="AG216" s="38">
        <v>0</v>
      </c>
      <c r="AH216" s="39">
        <v>0</v>
      </c>
      <c r="AI216" s="40">
        <v>0</v>
      </c>
      <c r="AJ216" s="39">
        <v>7.2598980034402247</v>
      </c>
      <c r="AK216" s="28">
        <v>85140.119660375582</v>
      </c>
      <c r="AL216" s="41">
        <f t="shared" si="3"/>
        <v>19.44907124287883</v>
      </c>
      <c r="AM216" s="28">
        <v>1174980.875</v>
      </c>
      <c r="AN216" s="42">
        <v>7.2460855722758538E-2</v>
      </c>
      <c r="AP216" s="30"/>
      <c r="AR216" s="30"/>
    </row>
    <row r="217" spans="1:44" x14ac:dyDescent="0.2">
      <c r="A217" s="3" t="s">
        <v>1083</v>
      </c>
      <c r="B217" s="3" t="s">
        <v>315</v>
      </c>
      <c r="C217" s="3" t="s">
        <v>1753</v>
      </c>
      <c r="D217" s="27"/>
      <c r="E217" s="3" t="s">
        <v>628</v>
      </c>
      <c r="F217" s="133" t="s">
        <v>1058</v>
      </c>
      <c r="G217" s="3" t="s">
        <v>879</v>
      </c>
      <c r="H217" s="29">
        <v>12.15</v>
      </c>
      <c r="I217" s="30">
        <v>659.00099999999998</v>
      </c>
      <c r="J217" s="30">
        <v>659.09</v>
      </c>
      <c r="K217" s="31">
        <v>1</v>
      </c>
      <c r="L217" s="31">
        <v>1</v>
      </c>
      <c r="M217" s="4">
        <v>0</v>
      </c>
      <c r="N217" s="4">
        <v>0</v>
      </c>
      <c r="O217" s="4">
        <v>1</v>
      </c>
      <c r="P217" s="4">
        <v>1</v>
      </c>
      <c r="Q217" s="32">
        <v>659.00099999999998</v>
      </c>
      <c r="R217" s="32">
        <v>659.09</v>
      </c>
      <c r="S217" s="32">
        <v>8006.8621499999999</v>
      </c>
      <c r="T217" s="32">
        <v>8007.9435000000003</v>
      </c>
      <c r="U217" s="33">
        <v>4.2342142289662597E-4</v>
      </c>
      <c r="V217" s="34">
        <v>4.2505498259712965E-4</v>
      </c>
      <c r="W217" s="34">
        <v>1.6335597005036795E-6</v>
      </c>
      <c r="X217" s="35">
        <v>3.5215137346441097</v>
      </c>
      <c r="Y217" s="36">
        <v>289836.5213698856</v>
      </c>
      <c r="Z217" s="37">
        <v>0</v>
      </c>
      <c r="AA217" s="38">
        <v>0</v>
      </c>
      <c r="AB217" s="38">
        <v>0</v>
      </c>
      <c r="AC217" s="39">
        <v>0</v>
      </c>
      <c r="AD217" s="40">
        <v>0</v>
      </c>
      <c r="AE217" s="37">
        <v>8.569188082926389E-4</v>
      </c>
      <c r="AF217" s="38">
        <v>8.6083251262464408E-4</v>
      </c>
      <c r="AG217" s="38">
        <v>3.9137043320051825E-6</v>
      </c>
      <c r="AH217" s="39">
        <v>5.4853197489023738E-2</v>
      </c>
      <c r="AI217" s="40">
        <v>4514.666460001954</v>
      </c>
      <c r="AJ217" s="39">
        <v>3.5763669321331335</v>
      </c>
      <c r="AK217" s="28">
        <v>294351.18782988755</v>
      </c>
      <c r="AL217" s="41">
        <f t="shared" si="3"/>
        <v>67.22467903307323</v>
      </c>
      <c r="AM217" s="28">
        <v>4120021.25</v>
      </c>
      <c r="AN217" s="42">
        <v>7.1444094573514041E-2</v>
      </c>
      <c r="AP217" s="30"/>
      <c r="AR217" s="30"/>
    </row>
    <row r="218" spans="1:44" x14ac:dyDescent="0.2">
      <c r="A218" s="3" t="s">
        <v>217</v>
      </c>
      <c r="B218" s="3" t="s">
        <v>497</v>
      </c>
      <c r="C218" s="3" t="s">
        <v>1754</v>
      </c>
      <c r="D218" s="27"/>
      <c r="E218" s="3" t="s">
        <v>67</v>
      </c>
      <c r="F218" s="133" t="s">
        <v>1069</v>
      </c>
      <c r="G218" s="3" t="s">
        <v>879</v>
      </c>
      <c r="H218" s="29">
        <v>15.97</v>
      </c>
      <c r="I218" s="30">
        <v>310.86099999999999</v>
      </c>
      <c r="J218" s="30">
        <v>311.21699999999998</v>
      </c>
      <c r="K218" s="31">
        <v>1</v>
      </c>
      <c r="L218" s="31">
        <v>1</v>
      </c>
      <c r="M218" s="4">
        <v>0</v>
      </c>
      <c r="N218" s="4">
        <v>0</v>
      </c>
      <c r="O218" s="4">
        <v>1</v>
      </c>
      <c r="P218" s="4">
        <v>1</v>
      </c>
      <c r="Q218" s="32">
        <v>310.86099999999999</v>
      </c>
      <c r="R218" s="32">
        <v>311.21699999999998</v>
      </c>
      <c r="S218" s="32">
        <v>4964.4501700000001</v>
      </c>
      <c r="T218" s="32">
        <v>4970.1354899999997</v>
      </c>
      <c r="U218" s="33">
        <v>2.6253162793377137E-4</v>
      </c>
      <c r="V218" s="34">
        <v>2.6381065927941753E-4</v>
      </c>
      <c r="W218" s="34">
        <v>1.279031345646157E-6</v>
      </c>
      <c r="X218" s="35">
        <v>2.7572463065442365</v>
      </c>
      <c r="Y218" s="36">
        <v>172651.61593890021</v>
      </c>
      <c r="Z218" s="37">
        <v>0</v>
      </c>
      <c r="AA218" s="38">
        <v>0</v>
      </c>
      <c r="AB218" s="38">
        <v>0</v>
      </c>
      <c r="AC218" s="39">
        <v>0</v>
      </c>
      <c r="AD218" s="40">
        <v>0</v>
      </c>
      <c r="AE218" s="37">
        <v>5.3131059880987062E-4</v>
      </c>
      <c r="AF218" s="38">
        <v>5.342762747940987E-4</v>
      </c>
      <c r="AG218" s="38">
        <v>2.9656759842280759E-6</v>
      </c>
      <c r="AH218" s="39">
        <v>4.1565942813051031E-2</v>
      </c>
      <c r="AI218" s="40">
        <v>2602.7515850376349</v>
      </c>
      <c r="AJ218" s="39">
        <v>2.7988122493572876</v>
      </c>
      <c r="AK218" s="28">
        <v>175254.36752393784</v>
      </c>
      <c r="AL218" s="41">
        <f t="shared" si="3"/>
        <v>40.044813576899095</v>
      </c>
      <c r="AM218" s="28">
        <v>2454312</v>
      </c>
      <c r="AN218" s="42">
        <v>7.1406719082145159E-2</v>
      </c>
      <c r="AP218" s="30"/>
      <c r="AR218" s="30"/>
    </row>
    <row r="219" spans="1:44" x14ac:dyDescent="0.2">
      <c r="A219" s="3" t="s">
        <v>1078</v>
      </c>
      <c r="B219" s="3" t="s">
        <v>1317</v>
      </c>
      <c r="C219" s="3" t="s">
        <v>1755</v>
      </c>
      <c r="D219" s="27"/>
      <c r="E219" s="3" t="s">
        <v>623</v>
      </c>
      <c r="F219" s="133" t="s">
        <v>1056</v>
      </c>
      <c r="G219" s="3" t="s">
        <v>879</v>
      </c>
      <c r="H219" s="29">
        <v>62.89</v>
      </c>
      <c r="I219" s="30">
        <v>307.35000000000002</v>
      </c>
      <c r="J219" s="30">
        <v>307.47399999999999</v>
      </c>
      <c r="K219" s="31">
        <v>1</v>
      </c>
      <c r="L219" s="31">
        <v>1</v>
      </c>
      <c r="M219" s="4">
        <v>1</v>
      </c>
      <c r="N219" s="4">
        <v>1</v>
      </c>
      <c r="O219" s="4">
        <v>0</v>
      </c>
      <c r="P219" s="4">
        <v>0</v>
      </c>
      <c r="Q219" s="32">
        <v>307.35000000000002</v>
      </c>
      <c r="R219" s="32">
        <v>307.47399999999999</v>
      </c>
      <c r="S219" s="32">
        <v>19329.2415</v>
      </c>
      <c r="T219" s="32">
        <v>19337.039860000001</v>
      </c>
      <c r="U219" s="33">
        <v>1.022175077591727E-3</v>
      </c>
      <c r="V219" s="34">
        <v>1.026393997556589E-3</v>
      </c>
      <c r="W219" s="34">
        <v>4.2189199648619453E-6</v>
      </c>
      <c r="X219" s="35">
        <v>9.0948525462795722</v>
      </c>
      <c r="Y219" s="36">
        <v>144615.24163268518</v>
      </c>
      <c r="Z219" s="37">
        <v>2.0205913088868085E-3</v>
      </c>
      <c r="AA219" s="38">
        <v>2.0275330024558729E-3</v>
      </c>
      <c r="AB219" s="38">
        <v>6.9416935690644853E-6</v>
      </c>
      <c r="AC219" s="39">
        <v>0.1328103024350491</v>
      </c>
      <c r="AD219" s="40">
        <v>2111.7872862943091</v>
      </c>
      <c r="AE219" s="37">
        <v>0</v>
      </c>
      <c r="AF219" s="38">
        <v>0</v>
      </c>
      <c r="AG219" s="38">
        <v>0</v>
      </c>
      <c r="AH219" s="39">
        <v>0</v>
      </c>
      <c r="AI219" s="40">
        <v>0</v>
      </c>
      <c r="AJ219" s="39">
        <v>9.2276628487146208</v>
      </c>
      <c r="AK219" s="28">
        <v>146727.02891897949</v>
      </c>
      <c r="AL219" s="41">
        <f t="shared" si="3"/>
        <v>33.542057281459257</v>
      </c>
      <c r="AM219" s="28">
        <v>2080902.875</v>
      </c>
      <c r="AN219" s="42">
        <v>7.0511233696565243E-2</v>
      </c>
      <c r="AP219" s="30"/>
      <c r="AR219" s="30"/>
    </row>
    <row r="220" spans="1:44" x14ac:dyDescent="0.2">
      <c r="A220" s="3" t="s">
        <v>1238</v>
      </c>
      <c r="B220" s="3" t="s">
        <v>192</v>
      </c>
      <c r="C220" s="3" t="s">
        <v>1756</v>
      </c>
      <c r="D220" s="27"/>
      <c r="E220" s="3" t="s">
        <v>45</v>
      </c>
      <c r="F220" s="133" t="s">
        <v>1070</v>
      </c>
      <c r="G220" s="3" t="s">
        <v>879</v>
      </c>
      <c r="H220" s="29">
        <v>33.700000000000003</v>
      </c>
      <c r="I220" s="30">
        <v>340.44600000000003</v>
      </c>
      <c r="J220" s="30">
        <v>340.61900000000003</v>
      </c>
      <c r="K220" s="31">
        <v>1</v>
      </c>
      <c r="L220" s="31">
        <v>1</v>
      </c>
      <c r="M220" s="4">
        <v>0</v>
      </c>
      <c r="N220" s="4">
        <v>0</v>
      </c>
      <c r="O220" s="4">
        <v>1</v>
      </c>
      <c r="P220" s="4">
        <v>1</v>
      </c>
      <c r="Q220" s="32">
        <v>340.44600000000003</v>
      </c>
      <c r="R220" s="32">
        <v>340.61900000000003</v>
      </c>
      <c r="S220" s="32">
        <v>11473.030200000001</v>
      </c>
      <c r="T220" s="32">
        <v>11478.860300000002</v>
      </c>
      <c r="U220" s="33">
        <v>6.0672042071062274E-4</v>
      </c>
      <c r="V220" s="34">
        <v>6.0928836037009795E-4</v>
      </c>
      <c r="W220" s="34">
        <v>2.5679396594752071E-6</v>
      </c>
      <c r="X220" s="35">
        <v>5.535784690202016</v>
      </c>
      <c r="Y220" s="36">
        <v>164266.60801786397</v>
      </c>
      <c r="Z220" s="37">
        <v>0</v>
      </c>
      <c r="AA220" s="38">
        <v>0</v>
      </c>
      <c r="AB220" s="38">
        <v>0</v>
      </c>
      <c r="AC220" s="39">
        <v>0</v>
      </c>
      <c r="AD220" s="40">
        <v>0</v>
      </c>
      <c r="AE220" s="37">
        <v>1.2278786848465297E-3</v>
      </c>
      <c r="AF220" s="38">
        <v>1.2339467872264931E-3</v>
      </c>
      <c r="AG220" s="38">
        <v>6.0681023799633634E-6</v>
      </c>
      <c r="AH220" s="39">
        <v>8.5048534583911067E-2</v>
      </c>
      <c r="AI220" s="40">
        <v>2523.6953882466191</v>
      </c>
      <c r="AJ220" s="39">
        <v>5.620833224785927</v>
      </c>
      <c r="AK220" s="28">
        <v>166790.30340611059</v>
      </c>
      <c r="AL220" s="41">
        <f t="shared" si="3"/>
        <v>38.099994947703365</v>
      </c>
      <c r="AM220" s="28">
        <v>2380614.5</v>
      </c>
      <c r="AN220" s="42">
        <v>7.0061869910525446E-2</v>
      </c>
      <c r="AP220" s="30"/>
      <c r="AR220" s="30"/>
    </row>
    <row r="221" spans="1:44" x14ac:dyDescent="0.2">
      <c r="A221" s="3" t="s">
        <v>278</v>
      </c>
      <c r="B221" s="3" t="s">
        <v>557</v>
      </c>
      <c r="C221" s="3" t="s">
        <v>1757</v>
      </c>
      <c r="D221" s="27"/>
      <c r="E221" s="3" t="s">
        <v>120</v>
      </c>
      <c r="F221" s="133" t="s">
        <v>1055</v>
      </c>
      <c r="G221" s="3" t="s">
        <v>879</v>
      </c>
      <c r="H221" s="29">
        <v>48.92</v>
      </c>
      <c r="I221" s="30">
        <v>183.61</v>
      </c>
      <c r="J221" s="30">
        <v>183.83600000000001</v>
      </c>
      <c r="K221" s="31">
        <v>0.92</v>
      </c>
      <c r="L221" s="31">
        <v>0.92</v>
      </c>
      <c r="M221" s="4">
        <v>1</v>
      </c>
      <c r="N221" s="4">
        <v>1</v>
      </c>
      <c r="O221" s="4">
        <v>0</v>
      </c>
      <c r="P221" s="4">
        <v>0</v>
      </c>
      <c r="Q221" s="32">
        <v>168.92120000000003</v>
      </c>
      <c r="R221" s="32">
        <v>169.12912000000003</v>
      </c>
      <c r="S221" s="32">
        <v>8263.6251040000025</v>
      </c>
      <c r="T221" s="32">
        <v>8273.7965504000022</v>
      </c>
      <c r="U221" s="33">
        <v>4.3699964284010556E-4</v>
      </c>
      <c r="V221" s="34">
        <v>4.3916624146292545E-4</v>
      </c>
      <c r="W221" s="34">
        <v>2.1665986228198856E-6</v>
      </c>
      <c r="X221" s="35">
        <v>4.6706017572352909</v>
      </c>
      <c r="Y221" s="36">
        <v>95474.279583714044</v>
      </c>
      <c r="Z221" s="37">
        <v>8.6384191873443419E-4</v>
      </c>
      <c r="AA221" s="38">
        <v>8.6752655437415842E-4</v>
      </c>
      <c r="AB221" s="38">
        <v>3.6846356397242331E-6</v>
      </c>
      <c r="AC221" s="39">
        <v>7.0495415680050744E-2</v>
      </c>
      <c r="AD221" s="40">
        <v>1441.0346623068426</v>
      </c>
      <c r="AE221" s="37">
        <v>0</v>
      </c>
      <c r="AF221" s="38">
        <v>0</v>
      </c>
      <c r="AG221" s="38">
        <v>0</v>
      </c>
      <c r="AH221" s="39">
        <v>0</v>
      </c>
      <c r="AI221" s="40">
        <v>0</v>
      </c>
      <c r="AJ221" s="39">
        <v>4.7410971729153415</v>
      </c>
      <c r="AK221" s="28">
        <v>96915.314246020891</v>
      </c>
      <c r="AL221" s="41">
        <f t="shared" si="3"/>
        <v>22.144303176818127</v>
      </c>
      <c r="AM221" s="28">
        <v>1387152</v>
      </c>
      <c r="AN221" s="42">
        <v>6.9866398380293501E-2</v>
      </c>
      <c r="AP221" s="30"/>
      <c r="AR221" s="30"/>
    </row>
    <row r="222" spans="1:44" x14ac:dyDescent="0.2">
      <c r="A222" s="3" t="s">
        <v>1239</v>
      </c>
      <c r="B222" s="3" t="s">
        <v>472</v>
      </c>
      <c r="C222" s="3" t="s">
        <v>1758</v>
      </c>
      <c r="D222" s="27"/>
      <c r="E222" s="3" t="s">
        <v>46</v>
      </c>
      <c r="F222" s="133" t="s">
        <v>1056</v>
      </c>
      <c r="G222" s="3" t="s">
        <v>879</v>
      </c>
      <c r="H222" s="29">
        <v>61.6</v>
      </c>
      <c r="I222" s="30">
        <v>214.82</v>
      </c>
      <c r="J222" s="30">
        <v>215.28800000000001</v>
      </c>
      <c r="K222" s="31">
        <v>1</v>
      </c>
      <c r="L222" s="31">
        <v>1</v>
      </c>
      <c r="M222" s="4">
        <v>1</v>
      </c>
      <c r="N222" s="4">
        <v>1</v>
      </c>
      <c r="O222" s="4">
        <v>0</v>
      </c>
      <c r="P222" s="4">
        <v>0</v>
      </c>
      <c r="Q222" s="32">
        <v>214.82</v>
      </c>
      <c r="R222" s="32">
        <v>215.28800000000001</v>
      </c>
      <c r="S222" s="32">
        <v>13232.912</v>
      </c>
      <c r="T222" s="32">
        <v>13261.740800000001</v>
      </c>
      <c r="U222" s="33">
        <v>6.9978704805175604E-4</v>
      </c>
      <c r="V222" s="34">
        <v>7.0392217489442137E-4</v>
      </c>
      <c r="W222" s="34">
        <v>4.1351268426653319E-6</v>
      </c>
      <c r="X222" s="35">
        <v>8.9142171947873052</v>
      </c>
      <c r="Y222" s="36">
        <v>144711.31809719652</v>
      </c>
      <c r="Z222" s="37">
        <v>1.3833086507023028E-3</v>
      </c>
      <c r="AA222" s="38">
        <v>1.3905239548911779E-3</v>
      </c>
      <c r="AB222" s="38">
        <v>7.2153041888751296E-6</v>
      </c>
      <c r="AC222" s="39">
        <v>0.13804509259179612</v>
      </c>
      <c r="AD222" s="40">
        <v>2240.9917628538328</v>
      </c>
      <c r="AE222" s="37">
        <v>0</v>
      </c>
      <c r="AF222" s="38">
        <v>0</v>
      </c>
      <c r="AG222" s="38">
        <v>0</v>
      </c>
      <c r="AH222" s="39">
        <v>0</v>
      </c>
      <c r="AI222" s="40">
        <v>0</v>
      </c>
      <c r="AJ222" s="39">
        <v>9.0522622873791008</v>
      </c>
      <c r="AK222" s="28">
        <v>146952.30986005036</v>
      </c>
      <c r="AL222" s="41">
        <f t="shared" si="3"/>
        <v>33.564341255400421</v>
      </c>
      <c r="AM222" s="28">
        <v>2107574</v>
      </c>
      <c r="AN222" s="42">
        <v>6.9725812645273832E-2</v>
      </c>
      <c r="AP222" s="30"/>
      <c r="AR222" s="30"/>
    </row>
    <row r="223" spans="1:44" x14ac:dyDescent="0.2">
      <c r="A223" s="3" t="s">
        <v>1203</v>
      </c>
      <c r="B223" s="3" t="s">
        <v>438</v>
      </c>
      <c r="C223" s="3" t="s">
        <v>1759</v>
      </c>
      <c r="D223" s="27"/>
      <c r="E223" s="3" t="s">
        <v>14</v>
      </c>
      <c r="F223" s="133" t="s">
        <v>1053</v>
      </c>
      <c r="G223" s="3" t="s">
        <v>879</v>
      </c>
      <c r="H223" s="29">
        <v>176.93</v>
      </c>
      <c r="I223" s="30">
        <v>149.03700000000001</v>
      </c>
      <c r="J223" s="30">
        <v>149.06700000000001</v>
      </c>
      <c r="K223" s="31">
        <v>1</v>
      </c>
      <c r="L223" s="31">
        <v>1</v>
      </c>
      <c r="M223" s="4">
        <v>0.47</v>
      </c>
      <c r="N223" s="4">
        <v>0.47</v>
      </c>
      <c r="O223" s="4">
        <v>0.53</v>
      </c>
      <c r="P223" s="4">
        <v>0.53</v>
      </c>
      <c r="Q223" s="32">
        <v>149.03700000000001</v>
      </c>
      <c r="R223" s="32">
        <v>149.06700000000001</v>
      </c>
      <c r="S223" s="32">
        <v>26369.116410000002</v>
      </c>
      <c r="T223" s="32">
        <v>26374.424310000002</v>
      </c>
      <c r="U223" s="33">
        <v>1.3944599746667265E-3</v>
      </c>
      <c r="V223" s="34">
        <v>1.3999325127726442E-3</v>
      </c>
      <c r="W223" s="34">
        <v>5.4725381059177527E-6</v>
      </c>
      <c r="X223" s="35">
        <v>11.797314844024717</v>
      </c>
      <c r="Y223" s="36">
        <v>66677.866071467331</v>
      </c>
      <c r="Z223" s="37">
        <v>1.2955587262595454E-3</v>
      </c>
      <c r="AA223" s="38">
        <v>1.2997468881139672E-3</v>
      </c>
      <c r="AB223" s="38">
        <v>4.1881618544218138E-6</v>
      </c>
      <c r="AC223" s="39">
        <v>8.0129011313828269E-2</v>
      </c>
      <c r="AD223" s="40">
        <v>452.88538582393187</v>
      </c>
      <c r="AE223" s="37">
        <v>1.4957147300440469E-3</v>
      </c>
      <c r="AF223" s="38">
        <v>1.5026454460295672E-3</v>
      </c>
      <c r="AG223" s="38">
        <v>6.9307159855202648E-6</v>
      </c>
      <c r="AH223" s="39">
        <v>9.7138644221316586E-2</v>
      </c>
      <c r="AI223" s="40">
        <v>549.02302730637302</v>
      </c>
      <c r="AJ223" s="39">
        <v>11.974582499559862</v>
      </c>
      <c r="AK223" s="28">
        <v>67679.774484597641</v>
      </c>
      <c r="AL223" s="41">
        <f t="shared" si="3"/>
        <v>15.465263397721564</v>
      </c>
      <c r="AM223" s="28">
        <v>975328.1875</v>
      </c>
      <c r="AN223" s="42">
        <v>6.9391795861121514E-2</v>
      </c>
      <c r="AP223" s="30"/>
      <c r="AR223" s="30"/>
    </row>
    <row r="224" spans="1:44" x14ac:dyDescent="0.2">
      <c r="A224" s="3" t="s">
        <v>1086</v>
      </c>
      <c r="B224" s="3" t="s">
        <v>318</v>
      </c>
      <c r="C224" s="3" t="s">
        <v>1760</v>
      </c>
      <c r="D224" s="27"/>
      <c r="E224" s="3" t="s">
        <v>1456</v>
      </c>
      <c r="F224" s="133" t="s">
        <v>1054</v>
      </c>
      <c r="G224" s="3" t="s">
        <v>879</v>
      </c>
      <c r="H224" s="29">
        <v>236.65</v>
      </c>
      <c r="I224" s="30">
        <v>395.55700000000002</v>
      </c>
      <c r="J224" s="30">
        <v>395.952</v>
      </c>
      <c r="K224" s="31">
        <v>1</v>
      </c>
      <c r="L224" s="31">
        <v>1</v>
      </c>
      <c r="M224" s="4">
        <v>1</v>
      </c>
      <c r="N224" s="4">
        <v>1</v>
      </c>
      <c r="O224" s="4">
        <v>0</v>
      </c>
      <c r="P224" s="4">
        <v>0</v>
      </c>
      <c r="Q224" s="32">
        <v>395.55700000000002</v>
      </c>
      <c r="R224" s="32">
        <v>395.952</v>
      </c>
      <c r="S224" s="32">
        <v>93608.564050000001</v>
      </c>
      <c r="T224" s="32">
        <v>93702.040800000002</v>
      </c>
      <c r="U224" s="33">
        <v>4.9502377639111658E-3</v>
      </c>
      <c r="V224" s="34">
        <v>4.9736264150164813E-3</v>
      </c>
      <c r="W224" s="34">
        <v>2.3388651105315551E-5</v>
      </c>
      <c r="X224" s="35">
        <v>50.419618013821307</v>
      </c>
      <c r="Y224" s="36">
        <v>213055.64341356987</v>
      </c>
      <c r="Z224" s="37">
        <v>9.7854150643626719E-3</v>
      </c>
      <c r="AA224" s="38">
        <v>9.8248739980342937E-3</v>
      </c>
      <c r="AB224" s="38">
        <v>3.9458933671621815E-5</v>
      </c>
      <c r="AC224" s="39">
        <v>0.75493867059287256</v>
      </c>
      <c r="AD224" s="40">
        <v>3190.1063621080607</v>
      </c>
      <c r="AE224" s="37">
        <v>0</v>
      </c>
      <c r="AF224" s="38">
        <v>0</v>
      </c>
      <c r="AG224" s="38">
        <v>0</v>
      </c>
      <c r="AH224" s="39">
        <v>0</v>
      </c>
      <c r="AI224" s="40">
        <v>0</v>
      </c>
      <c r="AJ224" s="39">
        <v>51.174556684414178</v>
      </c>
      <c r="AK224" s="28">
        <v>216245.74977567792</v>
      </c>
      <c r="AL224" s="41">
        <f t="shared" si="3"/>
        <v>49.416123188919393</v>
      </c>
      <c r="AM224" s="28">
        <v>3131944.25</v>
      </c>
      <c r="AN224" s="42">
        <v>6.9045210423422418E-2</v>
      </c>
      <c r="AP224" s="30"/>
      <c r="AR224" s="30"/>
    </row>
    <row r="225" spans="1:44" x14ac:dyDescent="0.2">
      <c r="A225" s="3" t="s">
        <v>1207</v>
      </c>
      <c r="B225" s="3" t="s">
        <v>443</v>
      </c>
      <c r="C225" s="3" t="s">
        <v>1761</v>
      </c>
      <c r="D225" s="27"/>
      <c r="E225" s="3" t="s">
        <v>17</v>
      </c>
      <c r="F225" s="133" t="s">
        <v>1052</v>
      </c>
      <c r="G225" s="3" t="s">
        <v>879</v>
      </c>
      <c r="H225" s="29">
        <v>48.9</v>
      </c>
      <c r="I225" s="30">
        <v>411.17399999999998</v>
      </c>
      <c r="J225" s="30">
        <v>411.202</v>
      </c>
      <c r="K225" s="31">
        <v>1</v>
      </c>
      <c r="L225" s="31">
        <v>1</v>
      </c>
      <c r="M225" s="4">
        <v>0</v>
      </c>
      <c r="N225" s="4">
        <v>0</v>
      </c>
      <c r="O225" s="4">
        <v>1</v>
      </c>
      <c r="P225" s="4">
        <v>1</v>
      </c>
      <c r="Q225" s="32">
        <v>411.17399999999998</v>
      </c>
      <c r="R225" s="32">
        <v>411.202</v>
      </c>
      <c r="S225" s="32">
        <v>20106.408599999999</v>
      </c>
      <c r="T225" s="32">
        <v>20107.7778</v>
      </c>
      <c r="U225" s="33">
        <v>1.0632734745849167E-3</v>
      </c>
      <c r="V225" s="34">
        <v>1.0673041265645731E-3</v>
      </c>
      <c r="W225" s="34">
        <v>4.03065197965638E-6</v>
      </c>
      <c r="X225" s="35">
        <v>8.6889975931421084</v>
      </c>
      <c r="Y225" s="36">
        <v>177689.11233419445</v>
      </c>
      <c r="Z225" s="37">
        <v>0</v>
      </c>
      <c r="AA225" s="38">
        <v>0</v>
      </c>
      <c r="AB225" s="38">
        <v>0</v>
      </c>
      <c r="AC225" s="39">
        <v>0</v>
      </c>
      <c r="AD225" s="40">
        <v>0</v>
      </c>
      <c r="AE225" s="37">
        <v>2.1518491730942147E-3</v>
      </c>
      <c r="AF225" s="38">
        <v>2.1615323443368497E-3</v>
      </c>
      <c r="AG225" s="38">
        <v>9.6831712426350032E-6</v>
      </c>
      <c r="AH225" s="39">
        <v>0.13571615519053726</v>
      </c>
      <c r="AI225" s="40">
        <v>2775.3814967390031</v>
      </c>
      <c r="AJ225" s="39">
        <v>8.8247137483326448</v>
      </c>
      <c r="AK225" s="28">
        <v>180464.49383093344</v>
      </c>
      <c r="AL225" s="41">
        <f t="shared" si="3"/>
        <v>41.213210425934356</v>
      </c>
      <c r="AM225" s="28">
        <v>2641223.75</v>
      </c>
      <c r="AN225" s="42">
        <v>6.8326090824729804E-2</v>
      </c>
      <c r="AP225" s="30"/>
      <c r="AR225" s="30"/>
    </row>
    <row r="226" spans="1:44" x14ac:dyDescent="0.2">
      <c r="A226" s="3" t="s">
        <v>1542</v>
      </c>
      <c r="B226" s="3" t="s">
        <v>1503</v>
      </c>
      <c r="C226" s="3" t="s">
        <v>1762</v>
      </c>
      <c r="D226" s="27"/>
      <c r="E226" s="3" t="s">
        <v>2091</v>
      </c>
      <c r="F226" s="133" t="s">
        <v>1061</v>
      </c>
      <c r="G226" s="3" t="s">
        <v>879</v>
      </c>
      <c r="H226" s="29">
        <v>27.17</v>
      </c>
      <c r="I226" s="30">
        <v>833.92</v>
      </c>
      <c r="J226" s="30">
        <v>833.92499999999995</v>
      </c>
      <c r="K226" s="31">
        <v>1</v>
      </c>
      <c r="L226" s="31">
        <v>1</v>
      </c>
      <c r="M226" s="4">
        <v>0.42</v>
      </c>
      <c r="N226" s="4">
        <v>0.42</v>
      </c>
      <c r="O226" s="4">
        <v>0.57999999999999996</v>
      </c>
      <c r="P226" s="4">
        <v>0.57999999999999996</v>
      </c>
      <c r="Q226" s="32">
        <v>833.92</v>
      </c>
      <c r="R226" s="32">
        <v>833.92499999999995</v>
      </c>
      <c r="S226" s="32">
        <v>22657.606400000001</v>
      </c>
      <c r="T226" s="32">
        <v>22657.742249999999</v>
      </c>
      <c r="U226" s="33">
        <v>1.1981867255351334E-3</v>
      </c>
      <c r="V226" s="34">
        <v>1.2026541193458718E-3</v>
      </c>
      <c r="W226" s="34">
        <v>4.467393810738329E-6</v>
      </c>
      <c r="X226" s="35">
        <v>9.6304950824438382</v>
      </c>
      <c r="Y226" s="36">
        <v>354453.26030341687</v>
      </c>
      <c r="Z226" s="37">
        <v>9.9477986656887774E-4</v>
      </c>
      <c r="AA226" s="38">
        <v>9.978008326175002E-4</v>
      </c>
      <c r="AB226" s="38">
        <v>3.0209660486224532E-6</v>
      </c>
      <c r="AC226" s="39">
        <v>5.7797914957175789E-2</v>
      </c>
      <c r="AD226" s="40">
        <v>2127.2695972460724</v>
      </c>
      <c r="AE226" s="37">
        <v>1.4064339628389838E-3</v>
      </c>
      <c r="AF226" s="38">
        <v>1.4126750883110065E-3</v>
      </c>
      <c r="AG226" s="38">
        <v>6.2411254720226746E-6</v>
      </c>
      <c r="AH226" s="39">
        <v>8.7473569546638652E-2</v>
      </c>
      <c r="AI226" s="40">
        <v>3219.4909660154085</v>
      </c>
      <c r="AJ226" s="39">
        <v>9.7757665669476523</v>
      </c>
      <c r="AK226" s="28">
        <v>359800.02086667839</v>
      </c>
      <c r="AL226" s="41">
        <f t="shared" si="3"/>
        <v>82.211884628971816</v>
      </c>
      <c r="AM226" s="28">
        <v>5271929</v>
      </c>
      <c r="AN226" s="42">
        <v>6.8248267544323601E-2</v>
      </c>
      <c r="AP226" s="30"/>
      <c r="AR226" s="30"/>
    </row>
    <row r="227" spans="1:44" x14ac:dyDescent="0.2">
      <c r="A227" s="3" t="s">
        <v>771</v>
      </c>
      <c r="B227" s="3" t="s">
        <v>1045</v>
      </c>
      <c r="C227" s="3" t="s">
        <v>1763</v>
      </c>
      <c r="D227" s="27"/>
      <c r="E227" s="3" t="s">
        <v>969</v>
      </c>
      <c r="F227" s="133" t="s">
        <v>1073</v>
      </c>
      <c r="G227" s="3" t="s">
        <v>881</v>
      </c>
      <c r="H227" s="29">
        <v>71.400000000000006</v>
      </c>
      <c r="I227" s="30">
        <v>3116.6469999999999</v>
      </c>
      <c r="J227" s="30">
        <v>3116.6469999999999</v>
      </c>
      <c r="K227" s="31">
        <v>0.49</v>
      </c>
      <c r="L227" s="31">
        <v>0.49</v>
      </c>
      <c r="M227" s="4">
        <v>0</v>
      </c>
      <c r="N227" s="4">
        <v>0</v>
      </c>
      <c r="O227" s="4">
        <v>1</v>
      </c>
      <c r="P227" s="4">
        <v>1</v>
      </c>
      <c r="Q227" s="32">
        <v>1527.1570299999998</v>
      </c>
      <c r="R227" s="32">
        <v>1527.1570299999998</v>
      </c>
      <c r="S227" s="32">
        <v>109039.011942</v>
      </c>
      <c r="T227" s="32">
        <v>109039.011942</v>
      </c>
      <c r="U227" s="33">
        <v>5.7662356017611502E-3</v>
      </c>
      <c r="V227" s="34">
        <v>5.7877000909678025E-3</v>
      </c>
      <c r="W227" s="34">
        <v>2.1464489206652303E-5</v>
      </c>
      <c r="X227" s="35">
        <v>46.271644388044258</v>
      </c>
      <c r="Y227" s="36">
        <v>648062.24633115204</v>
      </c>
      <c r="Z227" s="37">
        <v>0</v>
      </c>
      <c r="AA227" s="38">
        <v>0</v>
      </c>
      <c r="AB227" s="38">
        <v>0</v>
      </c>
      <c r="AC227" s="39">
        <v>0</v>
      </c>
      <c r="AD227" s="40">
        <v>0</v>
      </c>
      <c r="AE227" s="37">
        <v>1.1669687627973645E-2</v>
      </c>
      <c r="AF227" s="38">
        <v>1.1721402208212436E-2</v>
      </c>
      <c r="AG227" s="38">
        <v>5.1714580238790622E-5</v>
      </c>
      <c r="AH227" s="39">
        <v>0.7248146109818574</v>
      </c>
      <c r="AI227" s="40">
        <v>10151.465139801923</v>
      </c>
      <c r="AJ227" s="39">
        <v>46.996458999026117</v>
      </c>
      <c r="AK227" s="28">
        <v>658213.711470954</v>
      </c>
      <c r="AL227" s="41">
        <f t="shared" si="3"/>
        <v>150.31154906619258</v>
      </c>
      <c r="AM227" s="28">
        <v>9725293</v>
      </c>
      <c r="AN227" s="42">
        <v>6.7680604735605804E-2</v>
      </c>
      <c r="AP227" s="30"/>
      <c r="AR227" s="30"/>
    </row>
    <row r="228" spans="1:44" x14ac:dyDescent="0.2">
      <c r="A228" s="3" t="s">
        <v>1289</v>
      </c>
      <c r="B228" s="3" t="s">
        <v>1287</v>
      </c>
      <c r="C228" s="3" t="s">
        <v>1764</v>
      </c>
      <c r="D228" s="27"/>
      <c r="E228" s="3" t="s">
        <v>2092</v>
      </c>
      <c r="F228" s="133" t="s">
        <v>1055</v>
      </c>
      <c r="G228" s="3" t="s">
        <v>881</v>
      </c>
      <c r="H228" s="29">
        <v>114.85</v>
      </c>
      <c r="I228" s="30">
        <v>623.79100000000005</v>
      </c>
      <c r="J228" s="30">
        <v>622.54200000000003</v>
      </c>
      <c r="K228" s="31">
        <v>1</v>
      </c>
      <c r="L228" s="31">
        <v>1</v>
      </c>
      <c r="M228" s="4">
        <v>1</v>
      </c>
      <c r="N228" s="4">
        <v>1</v>
      </c>
      <c r="O228" s="4">
        <v>0</v>
      </c>
      <c r="P228" s="4">
        <v>0</v>
      </c>
      <c r="Q228" s="32">
        <v>623.79100000000005</v>
      </c>
      <c r="R228" s="32">
        <v>622.54200000000003</v>
      </c>
      <c r="S228" s="32">
        <v>71642.396349999995</v>
      </c>
      <c r="T228" s="32">
        <v>71498.948699999994</v>
      </c>
      <c r="U228" s="33">
        <v>3.7886159189391114E-3</v>
      </c>
      <c r="V228" s="34">
        <v>3.7951047476036219E-3</v>
      </c>
      <c r="W228" s="34">
        <v>6.4888286645105146E-6</v>
      </c>
      <c r="X228" s="35">
        <v>13.988162940589575</v>
      </c>
      <c r="Y228" s="36">
        <v>121795.06260852919</v>
      </c>
      <c r="Z228" s="37">
        <v>7.4891714407228031E-3</v>
      </c>
      <c r="AA228" s="38">
        <v>7.4968288414206854E-3</v>
      </c>
      <c r="AB228" s="38">
        <v>7.6574006978823161E-6</v>
      </c>
      <c r="AC228" s="39">
        <v>0.14650339898094383</v>
      </c>
      <c r="AD228" s="40">
        <v>1275.6064343138341</v>
      </c>
      <c r="AE228" s="37">
        <v>0</v>
      </c>
      <c r="AF228" s="38">
        <v>0</v>
      </c>
      <c r="AG228" s="38">
        <v>0</v>
      </c>
      <c r="AH228" s="39">
        <v>0</v>
      </c>
      <c r="AI228" s="40">
        <v>0</v>
      </c>
      <c r="AJ228" s="39">
        <v>14.134666339570519</v>
      </c>
      <c r="AK228" s="28">
        <v>123070.66904284302</v>
      </c>
      <c r="AL228" s="41">
        <f t="shared" si="3"/>
        <v>28.249145252549042</v>
      </c>
      <c r="AM228" s="28">
        <v>1836965.125</v>
      </c>
      <c r="AN228" s="42">
        <v>6.6996736828546496E-2</v>
      </c>
      <c r="AP228" s="30"/>
      <c r="AR228" s="30"/>
    </row>
    <row r="229" spans="1:44" x14ac:dyDescent="0.2">
      <c r="A229" s="3" t="s">
        <v>1337</v>
      </c>
      <c r="B229" s="3" t="s">
        <v>1342</v>
      </c>
      <c r="C229" s="3" t="s">
        <v>1765</v>
      </c>
      <c r="D229" s="27"/>
      <c r="E229" s="3" t="s">
        <v>1350</v>
      </c>
      <c r="F229" s="133" t="s">
        <v>1051</v>
      </c>
      <c r="G229" s="3" t="s">
        <v>879</v>
      </c>
      <c r="H229" s="29">
        <v>33.729999999999997</v>
      </c>
      <c r="I229" s="30">
        <v>298.48399999999998</v>
      </c>
      <c r="J229" s="30">
        <v>299.76900000000001</v>
      </c>
      <c r="K229" s="31">
        <v>1</v>
      </c>
      <c r="L229" s="31">
        <v>1</v>
      </c>
      <c r="M229" s="4">
        <v>0</v>
      </c>
      <c r="N229" s="4">
        <v>0</v>
      </c>
      <c r="O229" s="4">
        <v>1</v>
      </c>
      <c r="P229" s="4">
        <v>1</v>
      </c>
      <c r="Q229" s="32">
        <v>298.48399999999998</v>
      </c>
      <c r="R229" s="32">
        <v>299.76900000000001</v>
      </c>
      <c r="S229" s="32">
        <v>10067.865319999999</v>
      </c>
      <c r="T229" s="32">
        <v>10111.208369999998</v>
      </c>
      <c r="U229" s="33">
        <v>5.3241204600056643E-4</v>
      </c>
      <c r="V229" s="34">
        <v>5.3669453309033728E-4</v>
      </c>
      <c r="W229" s="34">
        <v>4.282487089770845E-6</v>
      </c>
      <c r="X229" s="35">
        <v>9.2318861076299825</v>
      </c>
      <c r="Y229" s="36">
        <v>273699.55848295236</v>
      </c>
      <c r="Z229" s="37">
        <v>0</v>
      </c>
      <c r="AA229" s="38">
        <v>0</v>
      </c>
      <c r="AB229" s="38">
        <v>0</v>
      </c>
      <c r="AC229" s="39">
        <v>0</v>
      </c>
      <c r="AD229" s="40">
        <v>0</v>
      </c>
      <c r="AE229" s="37">
        <v>1.0774936536237466E-3</v>
      </c>
      <c r="AF229" s="38">
        <v>1.0869278619184102E-3</v>
      </c>
      <c r="AG229" s="38">
        <v>9.4342082946636402E-6</v>
      </c>
      <c r="AH229" s="39">
        <v>0.13222677209104136</v>
      </c>
      <c r="AI229" s="40">
        <v>3920.153338008935</v>
      </c>
      <c r="AJ229" s="39">
        <v>9.3641128797210236</v>
      </c>
      <c r="AK229" s="28">
        <v>277619.71182096127</v>
      </c>
      <c r="AL229" s="41">
        <f t="shared" si="3"/>
        <v>63.481872068942273</v>
      </c>
      <c r="AM229" s="28">
        <v>4183852</v>
      </c>
      <c r="AN229" s="42">
        <v>6.6355050757283304E-2</v>
      </c>
      <c r="AP229" s="30"/>
      <c r="AR229" s="30"/>
    </row>
    <row r="230" spans="1:44" x14ac:dyDescent="0.2">
      <c r="A230" s="3" t="s">
        <v>947</v>
      </c>
      <c r="B230" s="3" t="s">
        <v>1025</v>
      </c>
      <c r="C230" s="3" t="s">
        <v>1766</v>
      </c>
      <c r="D230" s="27"/>
      <c r="E230" s="3" t="s">
        <v>830</v>
      </c>
      <c r="F230" s="133" t="s">
        <v>1064</v>
      </c>
      <c r="G230" s="3" t="s">
        <v>879</v>
      </c>
      <c r="H230" s="29">
        <v>34.450000000000003</v>
      </c>
      <c r="I230" s="30">
        <v>377.06099999999998</v>
      </c>
      <c r="J230" s="30">
        <v>377.63099999999997</v>
      </c>
      <c r="K230" s="31">
        <v>1</v>
      </c>
      <c r="L230" s="31">
        <v>1</v>
      </c>
      <c r="M230" s="4">
        <v>0</v>
      </c>
      <c r="N230" s="4">
        <v>0</v>
      </c>
      <c r="O230" s="4">
        <v>1</v>
      </c>
      <c r="P230" s="4">
        <v>1</v>
      </c>
      <c r="Q230" s="32">
        <v>377.06099999999998</v>
      </c>
      <c r="R230" s="32">
        <v>377.63099999999997</v>
      </c>
      <c r="S230" s="32">
        <v>12989.75145</v>
      </c>
      <c r="T230" s="32">
        <v>13009.38795</v>
      </c>
      <c r="U230" s="33">
        <v>6.869281547494246E-4</v>
      </c>
      <c r="V230" s="34">
        <v>6.9052749544081557E-4</v>
      </c>
      <c r="W230" s="34">
        <v>3.5993406913909691E-6</v>
      </c>
      <c r="X230" s="35">
        <v>7.7592068881771326</v>
      </c>
      <c r="Y230" s="36">
        <v>225230.96917785579</v>
      </c>
      <c r="Z230" s="37">
        <v>0</v>
      </c>
      <c r="AA230" s="38">
        <v>0</v>
      </c>
      <c r="AB230" s="38">
        <v>0</v>
      </c>
      <c r="AC230" s="39">
        <v>0</v>
      </c>
      <c r="AD230" s="40">
        <v>0</v>
      </c>
      <c r="AE230" s="37">
        <v>1.3902028190346174E-3</v>
      </c>
      <c r="AF230" s="38">
        <v>1.3984744168970807E-3</v>
      </c>
      <c r="AG230" s="38">
        <v>8.2715978624633285E-6</v>
      </c>
      <c r="AH230" s="39">
        <v>0.11593200523326777</v>
      </c>
      <c r="AI230" s="40">
        <v>3365.2251156246084</v>
      </c>
      <c r="AJ230" s="39">
        <v>7.8751388934104005</v>
      </c>
      <c r="AK230" s="28">
        <v>228596.1942934804</v>
      </c>
      <c r="AL230" s="41">
        <f t="shared" si="3"/>
        <v>52.240068089854411</v>
      </c>
      <c r="AM230" s="28">
        <v>3444878.25</v>
      </c>
      <c r="AN230" s="42">
        <v>6.6358279655741217E-2</v>
      </c>
      <c r="AP230" s="30"/>
      <c r="AR230" s="30"/>
    </row>
    <row r="231" spans="1:44" x14ac:dyDescent="0.2">
      <c r="A231" s="3" t="s">
        <v>1179</v>
      </c>
      <c r="B231" s="3" t="s">
        <v>415</v>
      </c>
      <c r="C231" s="3" t="s">
        <v>1767</v>
      </c>
      <c r="D231" s="27"/>
      <c r="E231" s="3" t="s">
        <v>708</v>
      </c>
      <c r="F231" s="133" t="s">
        <v>1068</v>
      </c>
      <c r="G231" s="3" t="s">
        <v>879</v>
      </c>
      <c r="H231" s="29">
        <v>49.42</v>
      </c>
      <c r="I231" s="30">
        <v>130.36699999999999</v>
      </c>
      <c r="J231" s="30">
        <v>130.38</v>
      </c>
      <c r="K231" s="31">
        <v>1</v>
      </c>
      <c r="L231" s="31">
        <v>1</v>
      </c>
      <c r="M231" s="4">
        <v>0</v>
      </c>
      <c r="N231" s="4">
        <v>0</v>
      </c>
      <c r="O231" s="4">
        <v>1</v>
      </c>
      <c r="P231" s="4">
        <v>1</v>
      </c>
      <c r="Q231" s="32">
        <v>130.36699999999999</v>
      </c>
      <c r="R231" s="32">
        <v>130.38</v>
      </c>
      <c r="S231" s="32">
        <v>6442.7371400000002</v>
      </c>
      <c r="T231" s="32">
        <v>6443.3796000000002</v>
      </c>
      <c r="U231" s="33">
        <v>3.4070686819152228E-4</v>
      </c>
      <c r="V231" s="34">
        <v>3.4200923167660964E-4</v>
      </c>
      <c r="W231" s="34">
        <v>1.3023634850873613E-6</v>
      </c>
      <c r="X231" s="35">
        <v>2.8075441006655648</v>
      </c>
      <c r="Y231" s="36">
        <v>56809.876581658536</v>
      </c>
      <c r="Z231" s="37">
        <v>0</v>
      </c>
      <c r="AA231" s="38">
        <v>0</v>
      </c>
      <c r="AB231" s="38">
        <v>0</v>
      </c>
      <c r="AC231" s="39">
        <v>0</v>
      </c>
      <c r="AD231" s="40">
        <v>0</v>
      </c>
      <c r="AE231" s="37">
        <v>6.8952137912746815E-4</v>
      </c>
      <c r="AF231" s="38">
        <v>6.9264607709362261E-4</v>
      </c>
      <c r="AG231" s="38">
        <v>3.124697966154456E-6</v>
      </c>
      <c r="AH231" s="39">
        <v>4.3794742803988145E-2</v>
      </c>
      <c r="AI231" s="40">
        <v>886.1744800483234</v>
      </c>
      <c r="AJ231" s="39">
        <v>2.851338843469553</v>
      </c>
      <c r="AK231" s="28">
        <v>57696.051061706858</v>
      </c>
      <c r="AL231" s="41">
        <f t="shared" si="3"/>
        <v>13.176482042567395</v>
      </c>
      <c r="AM231" s="28">
        <v>872215.375</v>
      </c>
      <c r="AN231" s="42">
        <v>6.6148858086463855E-2</v>
      </c>
      <c r="AP231" s="30"/>
      <c r="AR231" s="30"/>
    </row>
    <row r="232" spans="1:44" x14ac:dyDescent="0.2">
      <c r="A232" s="3" t="s">
        <v>737</v>
      </c>
      <c r="B232" s="3" t="s">
        <v>165</v>
      </c>
      <c r="C232" s="3" t="s">
        <v>1768</v>
      </c>
      <c r="D232" s="27"/>
      <c r="E232" s="3" t="s">
        <v>606</v>
      </c>
      <c r="F232" s="133" t="s">
        <v>1064</v>
      </c>
      <c r="G232" s="3" t="s">
        <v>879</v>
      </c>
      <c r="H232" s="29">
        <v>47.36</v>
      </c>
      <c r="I232" s="30">
        <v>210.10499999999999</v>
      </c>
      <c r="J232" s="30">
        <v>210.42699999999999</v>
      </c>
      <c r="K232" s="31">
        <v>1</v>
      </c>
      <c r="L232" s="31">
        <v>1</v>
      </c>
      <c r="M232" s="4">
        <v>0</v>
      </c>
      <c r="N232" s="4">
        <v>0</v>
      </c>
      <c r="O232" s="4">
        <v>1</v>
      </c>
      <c r="P232" s="4">
        <v>1</v>
      </c>
      <c r="Q232" s="32">
        <v>210.10499999999999</v>
      </c>
      <c r="R232" s="32">
        <v>210.42699999999999</v>
      </c>
      <c r="S232" s="32">
        <v>9950.5727999999999</v>
      </c>
      <c r="T232" s="32">
        <v>9965.8227200000001</v>
      </c>
      <c r="U232" s="33">
        <v>5.2620934576879947E-4</v>
      </c>
      <c r="V232" s="34">
        <v>5.2897758367247214E-4</v>
      </c>
      <c r="W232" s="34">
        <v>2.7682379036726712E-6</v>
      </c>
      <c r="X232" s="35">
        <v>5.967573634156123</v>
      </c>
      <c r="Y232" s="36">
        <v>126004.51085633707</v>
      </c>
      <c r="Z232" s="37">
        <v>0</v>
      </c>
      <c r="AA232" s="38">
        <v>0</v>
      </c>
      <c r="AB232" s="38">
        <v>0</v>
      </c>
      <c r="AC232" s="39">
        <v>0</v>
      </c>
      <c r="AD232" s="40">
        <v>0</v>
      </c>
      <c r="AE232" s="37">
        <v>1.064940650390134E-3</v>
      </c>
      <c r="AF232" s="38">
        <v>1.071299293311618E-3</v>
      </c>
      <c r="AG232" s="38">
        <v>6.358642921483991E-6</v>
      </c>
      <c r="AH232" s="39">
        <v>8.9120655610599245E-2</v>
      </c>
      <c r="AI232" s="40">
        <v>1881.770599885964</v>
      </c>
      <c r="AJ232" s="39">
        <v>6.056694289766722</v>
      </c>
      <c r="AK232" s="28">
        <v>127886.28145622303</v>
      </c>
      <c r="AL232" s="41">
        <f t="shared" si="3"/>
        <v>29.225484624922625</v>
      </c>
      <c r="AM232" s="28">
        <v>1956734.75</v>
      </c>
      <c r="AN232" s="42">
        <v>6.5356983850888853E-2</v>
      </c>
      <c r="AP232" s="30"/>
      <c r="AR232" s="30"/>
    </row>
    <row r="233" spans="1:44" x14ac:dyDescent="0.2">
      <c r="A233" s="3" t="s">
        <v>1221</v>
      </c>
      <c r="B233" s="3" t="s">
        <v>456</v>
      </c>
      <c r="C233" s="3" t="s">
        <v>1769</v>
      </c>
      <c r="D233" s="27"/>
      <c r="E233" s="3" t="s">
        <v>30</v>
      </c>
      <c r="F233" s="133" t="s">
        <v>1066</v>
      </c>
      <c r="G233" s="3" t="s">
        <v>881</v>
      </c>
      <c r="H233" s="29">
        <v>128.72</v>
      </c>
      <c r="I233" s="30">
        <v>360.12799999999999</v>
      </c>
      <c r="J233" s="30">
        <v>359.63600000000002</v>
      </c>
      <c r="K233" s="31">
        <v>1</v>
      </c>
      <c r="L233" s="31">
        <v>1</v>
      </c>
      <c r="M233" s="4">
        <v>0.55000000000000004</v>
      </c>
      <c r="N233" s="4">
        <v>0.55000000000000004</v>
      </c>
      <c r="O233" s="4">
        <v>0.45</v>
      </c>
      <c r="P233" s="4">
        <v>0.45</v>
      </c>
      <c r="Q233" s="32">
        <v>360.12799999999999</v>
      </c>
      <c r="R233" s="32">
        <v>359.63600000000002</v>
      </c>
      <c r="S233" s="32">
        <v>46355.676159999995</v>
      </c>
      <c r="T233" s="32">
        <v>46292.34592</v>
      </c>
      <c r="U233" s="33">
        <v>2.4513955643662979E-3</v>
      </c>
      <c r="V233" s="34">
        <v>2.4571592306321722E-3</v>
      </c>
      <c r="W233" s="34">
        <v>5.7636662658742781E-6</v>
      </c>
      <c r="X233" s="35">
        <v>12.424908566808442</v>
      </c>
      <c r="Y233" s="36">
        <v>96526.635851526124</v>
      </c>
      <c r="Z233" s="37">
        <v>2.6651967694416297E-3</v>
      </c>
      <c r="AA233" s="38">
        <v>2.6696222837825248E-3</v>
      </c>
      <c r="AB233" s="38">
        <v>4.425514340895137E-6</v>
      </c>
      <c r="AC233" s="39">
        <v>8.4670101351670607E-2</v>
      </c>
      <c r="AD233" s="40">
        <v>657.78512547910668</v>
      </c>
      <c r="AE233" s="37">
        <v>2.2325066315375505E-3</v>
      </c>
      <c r="AF233" s="38">
        <v>2.2393365293000948E-3</v>
      </c>
      <c r="AG233" s="38">
        <v>6.8298977625442896E-6</v>
      </c>
      <c r="AH233" s="39">
        <v>9.5725609043832899E-2</v>
      </c>
      <c r="AI233" s="40">
        <v>743.67315913481127</v>
      </c>
      <c r="AJ233" s="39">
        <v>12.605304277203945</v>
      </c>
      <c r="AK233" s="28">
        <v>97928.094136140033</v>
      </c>
      <c r="AL233" s="41">
        <f t="shared" si="3"/>
        <v>22.388386676018794</v>
      </c>
      <c r="AM233" s="28">
        <v>1546467.25</v>
      </c>
      <c r="AN233" s="42">
        <v>6.3323742637382094E-2</v>
      </c>
      <c r="AP233" s="30"/>
      <c r="AR233" s="30"/>
    </row>
    <row r="234" spans="1:44" x14ac:dyDescent="0.2">
      <c r="A234" s="3" t="s">
        <v>730</v>
      </c>
      <c r="B234" s="3" t="s">
        <v>160</v>
      </c>
      <c r="C234" s="3" t="s">
        <v>1770</v>
      </c>
      <c r="D234" s="27"/>
      <c r="E234" s="3" t="s">
        <v>599</v>
      </c>
      <c r="F234" s="133" t="s">
        <v>1056</v>
      </c>
      <c r="G234" s="3" t="s">
        <v>879</v>
      </c>
      <c r="H234" s="29">
        <v>94.34</v>
      </c>
      <c r="I234" s="30">
        <v>159.6</v>
      </c>
      <c r="J234" s="30">
        <v>160.26</v>
      </c>
      <c r="K234" s="31">
        <v>1</v>
      </c>
      <c r="L234" s="31">
        <v>1</v>
      </c>
      <c r="M234" s="4">
        <v>1</v>
      </c>
      <c r="N234" s="4">
        <v>1</v>
      </c>
      <c r="O234" s="4">
        <v>0</v>
      </c>
      <c r="P234" s="4">
        <v>0</v>
      </c>
      <c r="Q234" s="32">
        <v>159.6</v>
      </c>
      <c r="R234" s="32">
        <v>160.26</v>
      </c>
      <c r="S234" s="32">
        <v>15056.664000000001</v>
      </c>
      <c r="T234" s="32">
        <v>15118.928399999999</v>
      </c>
      <c r="U234" s="33">
        <v>7.9623127956017124E-4</v>
      </c>
      <c r="V234" s="34">
        <v>8.0250014850245246E-4</v>
      </c>
      <c r="W234" s="34">
        <v>6.2688689422812222E-6</v>
      </c>
      <c r="X234" s="35">
        <v>13.513989157617257</v>
      </c>
      <c r="Y234" s="36">
        <v>143247.71207989458</v>
      </c>
      <c r="Z234" s="37">
        <v>1.5739554197834865E-3</v>
      </c>
      <c r="AA234" s="38">
        <v>1.5852543364808145E-3</v>
      </c>
      <c r="AB234" s="38">
        <v>1.1298916697327936E-5</v>
      </c>
      <c r="AC234" s="39">
        <v>0.2161738383912534</v>
      </c>
      <c r="AD234" s="40">
        <v>2291.4335212132009</v>
      </c>
      <c r="AE234" s="37">
        <v>0</v>
      </c>
      <c r="AF234" s="38">
        <v>0</v>
      </c>
      <c r="AG234" s="38">
        <v>0</v>
      </c>
      <c r="AH234" s="39">
        <v>0</v>
      </c>
      <c r="AI234" s="40">
        <v>0</v>
      </c>
      <c r="AJ234" s="39">
        <v>13.730162996008509</v>
      </c>
      <c r="AK234" s="28">
        <v>145539.1456011078</v>
      </c>
      <c r="AL234" s="41">
        <f t="shared" si="3"/>
        <v>33.224872494600497</v>
      </c>
      <c r="AM234" s="28">
        <v>2306699</v>
      </c>
      <c r="AN234" s="42">
        <v>6.3094120906588932E-2</v>
      </c>
      <c r="AP234" s="30"/>
      <c r="AR234" s="30"/>
    </row>
    <row r="235" spans="1:44" x14ac:dyDescent="0.2">
      <c r="A235" s="3" t="s">
        <v>920</v>
      </c>
      <c r="B235" s="3" t="s">
        <v>1002</v>
      </c>
      <c r="C235" s="3" t="s">
        <v>1771</v>
      </c>
      <c r="D235" s="27"/>
      <c r="E235" s="3" t="s">
        <v>806</v>
      </c>
      <c r="F235" s="133" t="s">
        <v>1068</v>
      </c>
      <c r="G235" s="3" t="s">
        <v>881</v>
      </c>
      <c r="H235" s="29">
        <v>152.82</v>
      </c>
      <c r="I235" s="30">
        <v>305.64699999999999</v>
      </c>
      <c r="J235" s="30">
        <v>305.279</v>
      </c>
      <c r="K235" s="31">
        <v>0.94</v>
      </c>
      <c r="L235" s="31">
        <v>0.94</v>
      </c>
      <c r="M235" s="4">
        <v>0.45</v>
      </c>
      <c r="N235" s="4">
        <v>0.45</v>
      </c>
      <c r="O235" s="4">
        <v>0.55000000000000004</v>
      </c>
      <c r="P235" s="4">
        <v>0.55000000000000004</v>
      </c>
      <c r="Q235" s="32">
        <v>287.30817999999999</v>
      </c>
      <c r="R235" s="32">
        <v>286.96225999999996</v>
      </c>
      <c r="S235" s="32">
        <v>43906.4360676</v>
      </c>
      <c r="T235" s="32">
        <v>43853.572573199992</v>
      </c>
      <c r="U235" s="33">
        <v>2.3218740732364089E-3</v>
      </c>
      <c r="V235" s="34">
        <v>2.3277111691564112E-3</v>
      </c>
      <c r="W235" s="34">
        <v>5.8370959200022658E-6</v>
      </c>
      <c r="X235" s="35">
        <v>12.583203078764232</v>
      </c>
      <c r="Y235" s="36">
        <v>82340.027998718972</v>
      </c>
      <c r="Z235" s="37">
        <v>2.0654009317993198E-3</v>
      </c>
      <c r="AA235" s="38">
        <v>2.0691664722301767E-3</v>
      </c>
      <c r="AB235" s="38">
        <v>3.7655404308569417E-6</v>
      </c>
      <c r="AC235" s="39">
        <v>7.204330736842264E-2</v>
      </c>
      <c r="AD235" s="40">
        <v>471.42590870581495</v>
      </c>
      <c r="AE235" s="37">
        <v>2.584450386632871E-3</v>
      </c>
      <c r="AF235" s="38">
        <v>2.5927779817833643E-3</v>
      </c>
      <c r="AG235" s="38">
        <v>8.3275951504933714E-6</v>
      </c>
      <c r="AH235" s="39">
        <v>0.11671684487330976</v>
      </c>
      <c r="AI235" s="40">
        <v>763.75372904927201</v>
      </c>
      <c r="AJ235" s="39">
        <v>12.771963231005964</v>
      </c>
      <c r="AK235" s="28">
        <v>83575.207636474064</v>
      </c>
      <c r="AL235" s="41">
        <f t="shared" si="3"/>
        <v>19.097945033380007</v>
      </c>
      <c r="AM235" s="28">
        <v>1335847.875</v>
      </c>
      <c r="AN235" s="42">
        <v>6.2563416988236073E-2</v>
      </c>
      <c r="AP235" s="30"/>
      <c r="AR235" s="30"/>
    </row>
    <row r="236" spans="1:44" x14ac:dyDescent="0.2">
      <c r="A236" s="3" t="s">
        <v>939</v>
      </c>
      <c r="B236" s="3" t="s">
        <v>1018</v>
      </c>
      <c r="C236" s="3" t="s">
        <v>1772</v>
      </c>
      <c r="D236" s="27"/>
      <c r="E236" s="3" t="s">
        <v>822</v>
      </c>
      <c r="F236" s="133" t="s">
        <v>1059</v>
      </c>
      <c r="G236" s="3" t="s">
        <v>879</v>
      </c>
      <c r="H236" s="29">
        <v>42.41</v>
      </c>
      <c r="I236" s="30">
        <v>1098.6669999999999</v>
      </c>
      <c r="J236" s="30">
        <v>1098.8720000000001</v>
      </c>
      <c r="K236" s="31">
        <v>1</v>
      </c>
      <c r="L236" s="31">
        <v>1</v>
      </c>
      <c r="M236" s="4">
        <v>0</v>
      </c>
      <c r="N236" s="4">
        <v>0</v>
      </c>
      <c r="O236" s="4">
        <v>1</v>
      </c>
      <c r="P236" s="4">
        <v>1</v>
      </c>
      <c r="Q236" s="32">
        <v>1098.6669999999999</v>
      </c>
      <c r="R236" s="32">
        <v>1098.8720000000001</v>
      </c>
      <c r="S236" s="32">
        <v>46594.467469999996</v>
      </c>
      <c r="T236" s="32">
        <v>46603.161520000001</v>
      </c>
      <c r="U236" s="33">
        <v>2.4640234021336247E-3</v>
      </c>
      <c r="V236" s="34">
        <v>2.4736570642456233E-3</v>
      </c>
      <c r="W236" s="34">
        <v>9.6336621119986858E-6</v>
      </c>
      <c r="X236" s="35">
        <v>20.7675749051986</v>
      </c>
      <c r="Y236" s="36">
        <v>489685.80299925967</v>
      </c>
      <c r="Z236" s="37">
        <v>0</v>
      </c>
      <c r="AA236" s="38">
        <v>0</v>
      </c>
      <c r="AB236" s="38">
        <v>0</v>
      </c>
      <c r="AC236" s="39">
        <v>0</v>
      </c>
      <c r="AD236" s="40">
        <v>0</v>
      </c>
      <c r="AE236" s="37">
        <v>4.9866820221730092E-3</v>
      </c>
      <c r="AF236" s="38">
        <v>5.0097152443088202E-3</v>
      </c>
      <c r="AG236" s="38">
        <v>2.3033222135811042E-5</v>
      </c>
      <c r="AH236" s="39">
        <v>0.32282609401330814</v>
      </c>
      <c r="AI236" s="40">
        <v>7612.0276824642342</v>
      </c>
      <c r="AJ236" s="39">
        <v>21.090400999211909</v>
      </c>
      <c r="AK236" s="28">
        <v>497297.83068172389</v>
      </c>
      <c r="AL236" s="41">
        <f t="shared" si="3"/>
        <v>113.57771883988077</v>
      </c>
      <c r="AM236" s="28">
        <v>8003800.5</v>
      </c>
      <c r="AN236" s="42">
        <v>6.2132711913761955E-2</v>
      </c>
      <c r="AP236" s="30"/>
      <c r="AR236" s="30"/>
    </row>
    <row r="237" spans="1:44" x14ac:dyDescent="0.2">
      <c r="A237" s="3" t="s">
        <v>303</v>
      </c>
      <c r="B237" s="3" t="s">
        <v>581</v>
      </c>
      <c r="C237" s="3" t="s">
        <v>1773</v>
      </c>
      <c r="D237" s="27"/>
      <c r="E237" s="3" t="s">
        <v>143</v>
      </c>
      <c r="F237" s="133" t="s">
        <v>1069</v>
      </c>
      <c r="G237" s="3" t="s">
        <v>879</v>
      </c>
      <c r="H237" s="29">
        <v>30.01</v>
      </c>
      <c r="I237" s="30">
        <v>204.624</v>
      </c>
      <c r="J237" s="30">
        <v>205.11099999999999</v>
      </c>
      <c r="K237" s="31">
        <v>1</v>
      </c>
      <c r="L237" s="31">
        <v>1</v>
      </c>
      <c r="M237" s="4">
        <v>0</v>
      </c>
      <c r="N237" s="4">
        <v>0</v>
      </c>
      <c r="O237" s="4">
        <v>1</v>
      </c>
      <c r="P237" s="4">
        <v>1</v>
      </c>
      <c r="Q237" s="32">
        <v>204.624</v>
      </c>
      <c r="R237" s="32">
        <v>205.11099999999999</v>
      </c>
      <c r="S237" s="32">
        <v>6140.7662399999999</v>
      </c>
      <c r="T237" s="32">
        <v>6155.3811100000003</v>
      </c>
      <c r="U237" s="33">
        <v>3.2473794731390046E-4</v>
      </c>
      <c r="V237" s="34">
        <v>3.2672251129016466E-4</v>
      </c>
      <c r="W237" s="34">
        <v>1.9845639762641949E-6</v>
      </c>
      <c r="X237" s="35">
        <v>4.2781841995364207</v>
      </c>
      <c r="Y237" s="36">
        <v>142558.62044439922</v>
      </c>
      <c r="Z237" s="37">
        <v>0</v>
      </c>
      <c r="AA237" s="38">
        <v>0</v>
      </c>
      <c r="AB237" s="38">
        <v>0</v>
      </c>
      <c r="AC237" s="39">
        <v>0</v>
      </c>
      <c r="AD237" s="40">
        <v>0</v>
      </c>
      <c r="AE237" s="37">
        <v>6.5720353239558007E-4</v>
      </c>
      <c r="AF237" s="38">
        <v>6.6168700954041077E-4</v>
      </c>
      <c r="AG237" s="38">
        <v>4.4834771448307035E-6</v>
      </c>
      <c r="AH237" s="39">
        <v>6.2838946532509085E-2</v>
      </c>
      <c r="AI237" s="40">
        <v>2093.9335732258937</v>
      </c>
      <c r="AJ237" s="39">
        <v>4.3410231460689301</v>
      </c>
      <c r="AK237" s="28">
        <v>144652.55401762511</v>
      </c>
      <c r="AL237" s="41">
        <f t="shared" si="3"/>
        <v>33.065044589540065</v>
      </c>
      <c r="AM237" s="28">
        <v>2336846</v>
      </c>
      <c r="AN237" s="42">
        <v>6.1900764542304074E-2</v>
      </c>
      <c r="AP237" s="30"/>
      <c r="AR237" s="30"/>
    </row>
    <row r="238" spans="1:44" x14ac:dyDescent="0.2">
      <c r="A238" s="3" t="s">
        <v>205</v>
      </c>
      <c r="B238" s="3" t="s">
        <v>485</v>
      </c>
      <c r="C238" s="3" t="s">
        <v>1774</v>
      </c>
      <c r="D238" s="27"/>
      <c r="E238" s="3" t="s">
        <v>57</v>
      </c>
      <c r="F238" s="133" t="s">
        <v>1058</v>
      </c>
      <c r="G238" s="3" t="s">
        <v>879</v>
      </c>
      <c r="H238" s="29">
        <v>24.25</v>
      </c>
      <c r="I238" s="30">
        <v>321.54399999999998</v>
      </c>
      <c r="J238" s="30">
        <v>322.185</v>
      </c>
      <c r="K238" s="31">
        <v>1</v>
      </c>
      <c r="L238" s="31">
        <v>1</v>
      </c>
      <c r="M238" s="4">
        <v>0</v>
      </c>
      <c r="N238" s="4">
        <v>0</v>
      </c>
      <c r="O238" s="4">
        <v>1</v>
      </c>
      <c r="P238" s="4">
        <v>1</v>
      </c>
      <c r="Q238" s="32">
        <v>321.54399999999998</v>
      </c>
      <c r="R238" s="32">
        <v>322.185</v>
      </c>
      <c r="S238" s="32">
        <v>7797.442</v>
      </c>
      <c r="T238" s="32">
        <v>7812.9862499999999</v>
      </c>
      <c r="U238" s="33">
        <v>4.1234680012492943E-4</v>
      </c>
      <c r="V238" s="34">
        <v>4.1470681386867469E-4</v>
      </c>
      <c r="W238" s="34">
        <v>2.3600137437452618E-6</v>
      </c>
      <c r="X238" s="35">
        <v>5.0875525455147477</v>
      </c>
      <c r="Y238" s="36">
        <v>209795.98125834012</v>
      </c>
      <c r="Z238" s="37">
        <v>0</v>
      </c>
      <c r="AA238" s="38">
        <v>0</v>
      </c>
      <c r="AB238" s="38">
        <v>0</v>
      </c>
      <c r="AC238" s="39">
        <v>0</v>
      </c>
      <c r="AD238" s="40">
        <v>0</v>
      </c>
      <c r="AE238" s="37">
        <v>8.3450602510634837E-4</v>
      </c>
      <c r="AF238" s="38">
        <v>8.3987512957468986E-4</v>
      </c>
      <c r="AG238" s="38">
        <v>5.3691044683414979E-6</v>
      </c>
      <c r="AH238" s="39">
        <v>7.5251608899705197E-2</v>
      </c>
      <c r="AI238" s="40">
        <v>3103.1591298847502</v>
      </c>
      <c r="AJ238" s="39">
        <v>5.1628041544144532</v>
      </c>
      <c r="AK238" s="28">
        <v>212899.14038822489</v>
      </c>
      <c r="AL238" s="41">
        <f t="shared" si="3"/>
        <v>48.660077190623952</v>
      </c>
      <c r="AM238" s="28">
        <v>3449984.5</v>
      </c>
      <c r="AN238" s="42">
        <v>6.1710173013306259E-2</v>
      </c>
      <c r="AP238" s="30"/>
      <c r="AR238" s="30"/>
    </row>
    <row r="239" spans="1:44" x14ac:dyDescent="0.2">
      <c r="A239" s="3" t="s">
        <v>1088</v>
      </c>
      <c r="B239" s="3" t="s">
        <v>320</v>
      </c>
      <c r="C239" s="3" t="s">
        <v>1775</v>
      </c>
      <c r="D239" s="27"/>
      <c r="E239" s="3" t="s">
        <v>632</v>
      </c>
      <c r="F239" s="133" t="s">
        <v>1060</v>
      </c>
      <c r="G239" s="3" t="s">
        <v>879</v>
      </c>
      <c r="H239" s="29">
        <v>45.15</v>
      </c>
      <c r="I239" s="30">
        <v>156.61000000000001</v>
      </c>
      <c r="J239" s="30">
        <v>156.614</v>
      </c>
      <c r="K239" s="31">
        <v>1</v>
      </c>
      <c r="L239" s="31">
        <v>1</v>
      </c>
      <c r="M239" s="4">
        <v>0.54</v>
      </c>
      <c r="N239" s="4">
        <v>0.54</v>
      </c>
      <c r="O239" s="4">
        <v>0.46</v>
      </c>
      <c r="P239" s="4">
        <v>0.46</v>
      </c>
      <c r="Q239" s="32">
        <v>156.61000000000001</v>
      </c>
      <c r="R239" s="32">
        <v>156.614</v>
      </c>
      <c r="S239" s="32">
        <v>7070.9415000000008</v>
      </c>
      <c r="T239" s="32">
        <v>7071.1220999999996</v>
      </c>
      <c r="U239" s="33">
        <v>3.7392777033744772E-4</v>
      </c>
      <c r="V239" s="34">
        <v>3.7532928162613521E-4</v>
      </c>
      <c r="W239" s="34">
        <v>1.4015112886874904E-6</v>
      </c>
      <c r="X239" s="35">
        <v>3.0212800002656817</v>
      </c>
      <c r="Y239" s="36">
        <v>66916.500559594278</v>
      </c>
      <c r="Z239" s="37">
        <v>3.9914865712115035E-4</v>
      </c>
      <c r="AA239" s="38">
        <v>4.0036862436080954E-4</v>
      </c>
      <c r="AB239" s="38">
        <v>1.219967239659192E-6</v>
      </c>
      <c r="AC239" s="39">
        <v>2.3340733273224116E-2</v>
      </c>
      <c r="AD239" s="40">
        <v>516.95976241913877</v>
      </c>
      <c r="AE239" s="37">
        <v>3.481067138511938E-4</v>
      </c>
      <c r="AF239" s="38">
        <v>3.4965828992581917E-4</v>
      </c>
      <c r="AG239" s="38">
        <v>1.551576074625366E-6</v>
      </c>
      <c r="AH239" s="39">
        <v>2.1746381847160125E-2</v>
      </c>
      <c r="AI239" s="40">
        <v>481.6474384753073</v>
      </c>
      <c r="AJ239" s="39">
        <v>3.0663671153860657</v>
      </c>
      <c r="AK239" s="28">
        <v>67915.107760488725</v>
      </c>
      <c r="AL239" s="41">
        <f t="shared" si="3"/>
        <v>15.520612277823814</v>
      </c>
      <c r="AM239" s="28">
        <v>1108230.625</v>
      </c>
      <c r="AN239" s="42">
        <v>6.1282467952452339E-2</v>
      </c>
      <c r="AP239" s="30"/>
      <c r="AR239" s="30"/>
    </row>
    <row r="240" spans="1:44" x14ac:dyDescent="0.2">
      <c r="A240" s="3" t="s">
        <v>1135</v>
      </c>
      <c r="B240" s="3" t="s">
        <v>371</v>
      </c>
      <c r="C240" s="3" t="s">
        <v>1776</v>
      </c>
      <c r="D240" s="27"/>
      <c r="E240" s="3" t="s">
        <v>672</v>
      </c>
      <c r="F240" s="133" t="s">
        <v>1055</v>
      </c>
      <c r="G240" s="3" t="s">
        <v>881</v>
      </c>
      <c r="H240" s="29">
        <v>79.92</v>
      </c>
      <c r="I240" s="30">
        <v>677.5</v>
      </c>
      <c r="J240" s="30">
        <v>677.5</v>
      </c>
      <c r="K240" s="31">
        <v>0.94</v>
      </c>
      <c r="L240" s="31">
        <v>0.94</v>
      </c>
      <c r="M240" s="4">
        <v>1</v>
      </c>
      <c r="N240" s="4">
        <v>1</v>
      </c>
      <c r="O240" s="4">
        <v>0</v>
      </c>
      <c r="P240" s="4">
        <v>0</v>
      </c>
      <c r="Q240" s="32">
        <v>636.84999999999991</v>
      </c>
      <c r="R240" s="32">
        <v>636.84999999999991</v>
      </c>
      <c r="S240" s="32">
        <v>50897.051999999996</v>
      </c>
      <c r="T240" s="32">
        <v>50897.051999999996</v>
      </c>
      <c r="U240" s="33">
        <v>2.6915540414397619E-3</v>
      </c>
      <c r="V240" s="34">
        <v>2.7015732006732069E-3</v>
      </c>
      <c r="W240" s="34">
        <v>1.0019159233445006E-5</v>
      </c>
      <c r="X240" s="35">
        <v>21.598602634041576</v>
      </c>
      <c r="Y240" s="36">
        <v>270252.78571123088</v>
      </c>
      <c r="Z240" s="37">
        <v>5.3205471574846817E-3</v>
      </c>
      <c r="AA240" s="38">
        <v>5.3366726967957277E-3</v>
      </c>
      <c r="AB240" s="38">
        <v>1.6125539311045989E-5</v>
      </c>
      <c r="AC240" s="39">
        <v>0.30851804844461234</v>
      </c>
      <c r="AD240" s="40">
        <v>3860.3359414991533</v>
      </c>
      <c r="AE240" s="37">
        <v>0</v>
      </c>
      <c r="AF240" s="38">
        <v>0</v>
      </c>
      <c r="AG240" s="38">
        <v>0</v>
      </c>
      <c r="AH240" s="39">
        <v>0</v>
      </c>
      <c r="AI240" s="40">
        <v>0</v>
      </c>
      <c r="AJ240" s="39">
        <v>21.907120682486187</v>
      </c>
      <c r="AK240" s="28">
        <v>274113.12165273004</v>
      </c>
      <c r="AL240" s="41">
        <f t="shared" si="3"/>
        <v>62.68242763666796</v>
      </c>
      <c r="AM240" s="28">
        <v>4485420</v>
      </c>
      <c r="AN240" s="42">
        <v>6.1112030011176217E-2</v>
      </c>
      <c r="AP240" s="30"/>
      <c r="AR240" s="30"/>
    </row>
    <row r="241" spans="1:44" x14ac:dyDescent="0.2">
      <c r="A241" s="3" t="s">
        <v>1110</v>
      </c>
      <c r="B241" s="3" t="s">
        <v>344</v>
      </c>
      <c r="C241" s="3" t="s">
        <v>1777</v>
      </c>
      <c r="D241" s="27"/>
      <c r="E241" s="3" t="s">
        <v>651</v>
      </c>
      <c r="F241" s="133" t="s">
        <v>1052</v>
      </c>
      <c r="G241" s="3" t="s">
        <v>879</v>
      </c>
      <c r="H241" s="29">
        <v>78.94</v>
      </c>
      <c r="I241" s="30">
        <v>173.954035</v>
      </c>
      <c r="J241" s="30">
        <v>174.22900000000001</v>
      </c>
      <c r="K241" s="31">
        <v>1</v>
      </c>
      <c r="L241" s="31">
        <v>1</v>
      </c>
      <c r="M241" s="4">
        <v>0.53</v>
      </c>
      <c r="N241" s="4">
        <v>0.53</v>
      </c>
      <c r="O241" s="4">
        <v>0.47</v>
      </c>
      <c r="P241" s="4">
        <v>0.47</v>
      </c>
      <c r="Q241" s="32">
        <v>173.954035</v>
      </c>
      <c r="R241" s="32">
        <v>174.22900000000001</v>
      </c>
      <c r="S241" s="32">
        <v>13731.9315229</v>
      </c>
      <c r="T241" s="32">
        <v>13753.637260000001</v>
      </c>
      <c r="U241" s="33">
        <v>7.2617635668241769E-4</v>
      </c>
      <c r="V241" s="34">
        <v>7.300316299929607E-4</v>
      </c>
      <c r="W241" s="34">
        <v>3.8552733105430169E-6</v>
      </c>
      <c r="X241" s="35">
        <v>8.3109285260269683</v>
      </c>
      <c r="Y241" s="36">
        <v>105281.5876111853</v>
      </c>
      <c r="Z241" s="37">
        <v>7.6080116177255506E-4</v>
      </c>
      <c r="AA241" s="38">
        <v>7.6431322656859263E-4</v>
      </c>
      <c r="AB241" s="38">
        <v>3.5120647960375706E-6</v>
      </c>
      <c r="AC241" s="39">
        <v>6.7193745026705276E-2</v>
      </c>
      <c r="AD241" s="40">
        <v>851.20021569173139</v>
      </c>
      <c r="AE241" s="37">
        <v>6.9072760122328408E-4</v>
      </c>
      <c r="AF241" s="38">
        <v>6.9488523695493745E-4</v>
      </c>
      <c r="AG241" s="38">
        <v>4.1576357316533766E-6</v>
      </c>
      <c r="AH241" s="39">
        <v>5.8272060055941495E-2</v>
      </c>
      <c r="AI241" s="40">
        <v>738.18165766330753</v>
      </c>
      <c r="AJ241" s="39">
        <v>8.4363943311096143</v>
      </c>
      <c r="AK241" s="28">
        <v>106870.96948454034</v>
      </c>
      <c r="AL241" s="41">
        <f t="shared" si="3"/>
        <v>24.419010074379383</v>
      </c>
      <c r="AM241" s="28">
        <v>1750986</v>
      </c>
      <c r="AN241" s="42">
        <v>6.1034736705227993E-2</v>
      </c>
      <c r="AP241" s="30"/>
      <c r="AR241" s="30"/>
    </row>
    <row r="242" spans="1:44" x14ac:dyDescent="0.2">
      <c r="A242" s="3" t="s">
        <v>211</v>
      </c>
      <c r="B242" s="3" t="s">
        <v>491</v>
      </c>
      <c r="C242" s="3" t="s">
        <v>1778</v>
      </c>
      <c r="D242" s="27"/>
      <c r="E242" s="3" t="s">
        <v>2093</v>
      </c>
      <c r="F242" s="133" t="s">
        <v>1070</v>
      </c>
      <c r="G242" s="3" t="s">
        <v>881</v>
      </c>
      <c r="H242" s="29">
        <v>53.91</v>
      </c>
      <c r="I242" s="30">
        <v>482.2</v>
      </c>
      <c r="J242" s="30">
        <v>482.2</v>
      </c>
      <c r="K242" s="31">
        <v>1</v>
      </c>
      <c r="L242" s="31">
        <v>1</v>
      </c>
      <c r="M242" s="4">
        <v>1</v>
      </c>
      <c r="N242" s="4">
        <v>1</v>
      </c>
      <c r="O242" s="4">
        <v>0</v>
      </c>
      <c r="P242" s="4">
        <v>0</v>
      </c>
      <c r="Q242" s="32">
        <v>482.2</v>
      </c>
      <c r="R242" s="32">
        <v>482.2</v>
      </c>
      <c r="S242" s="32">
        <v>25995.401999999998</v>
      </c>
      <c r="T242" s="32">
        <v>25995.401999999998</v>
      </c>
      <c r="U242" s="33">
        <v>1.3746970907460665E-3</v>
      </c>
      <c r="V242" s="34">
        <v>1.3798143237043804E-3</v>
      </c>
      <c r="W242" s="34">
        <v>5.1172329583138929E-6</v>
      </c>
      <c r="X242" s="35">
        <v>11.031372860459037</v>
      </c>
      <c r="Y242" s="36">
        <v>204625.7254768881</v>
      </c>
      <c r="Z242" s="37">
        <v>2.7174415174138497E-3</v>
      </c>
      <c r="AA242" s="38">
        <v>2.725677551926368E-3</v>
      </c>
      <c r="AB242" s="38">
        <v>8.2360345125182845E-6</v>
      </c>
      <c r="AC242" s="39">
        <v>0.15757397292033853</v>
      </c>
      <c r="AD242" s="40">
        <v>2922.9080489767862</v>
      </c>
      <c r="AE242" s="37">
        <v>0</v>
      </c>
      <c r="AF242" s="38">
        <v>0</v>
      </c>
      <c r="AG242" s="38">
        <v>0</v>
      </c>
      <c r="AH242" s="39">
        <v>0</v>
      </c>
      <c r="AI242" s="40">
        <v>0</v>
      </c>
      <c r="AJ242" s="39">
        <v>11.188946833379376</v>
      </c>
      <c r="AK242" s="28">
        <v>207548.63352586489</v>
      </c>
      <c r="AL242" s="41">
        <f t="shared" si="3"/>
        <v>47.460888131273357</v>
      </c>
      <c r="AM242" s="28">
        <v>3408418.5</v>
      </c>
      <c r="AN242" s="42">
        <v>6.0892943025002616E-2</v>
      </c>
      <c r="AP242" s="30"/>
      <c r="AR242" s="30"/>
    </row>
    <row r="243" spans="1:44" x14ac:dyDescent="0.2">
      <c r="A243" s="3" t="s">
        <v>266</v>
      </c>
      <c r="B243" s="3" t="s">
        <v>545</v>
      </c>
      <c r="C243" s="3" t="s">
        <v>1779</v>
      </c>
      <c r="D243" s="27"/>
      <c r="E243" s="3" t="s">
        <v>108</v>
      </c>
      <c r="F243" s="133" t="s">
        <v>1055</v>
      </c>
      <c r="G243" s="3" t="s">
        <v>879</v>
      </c>
      <c r="H243" s="29">
        <v>24.13</v>
      </c>
      <c r="I243" s="30">
        <v>612.29200000000003</v>
      </c>
      <c r="J243" s="30">
        <v>615.58900000000006</v>
      </c>
      <c r="K243" s="31">
        <v>1</v>
      </c>
      <c r="L243" s="31">
        <v>1</v>
      </c>
      <c r="M243" s="4">
        <v>0</v>
      </c>
      <c r="N243" s="4">
        <v>0</v>
      </c>
      <c r="O243" s="4">
        <v>1</v>
      </c>
      <c r="P243" s="4">
        <v>1</v>
      </c>
      <c r="Q243" s="32">
        <v>612.29200000000003</v>
      </c>
      <c r="R243" s="32">
        <v>615.58900000000006</v>
      </c>
      <c r="S243" s="32">
        <v>14774.605960000001</v>
      </c>
      <c r="T243" s="32">
        <v>14854.16257</v>
      </c>
      <c r="U243" s="33">
        <v>7.8131539685870213E-4</v>
      </c>
      <c r="V243" s="34">
        <v>7.8844659839149526E-4</v>
      </c>
      <c r="W243" s="34">
        <v>7.1312015327931223E-6</v>
      </c>
      <c r="X243" s="35">
        <v>15.372945435972172</v>
      </c>
      <c r="Y243" s="36">
        <v>637088.49713933584</v>
      </c>
      <c r="Z243" s="37">
        <v>0</v>
      </c>
      <c r="AA243" s="38">
        <v>0</v>
      </c>
      <c r="AB243" s="38">
        <v>0</v>
      </c>
      <c r="AC243" s="39">
        <v>0</v>
      </c>
      <c r="AD243" s="40">
        <v>0</v>
      </c>
      <c r="AE243" s="37">
        <v>1.5812233925166952E-3</v>
      </c>
      <c r="AF243" s="38">
        <v>1.5967827555311849E-3</v>
      </c>
      <c r="AG243" s="38">
        <v>1.5559363014489621E-5</v>
      </c>
      <c r="AH243" s="39">
        <v>0.21807493357576424</v>
      </c>
      <c r="AI243" s="40">
        <v>9037.5024275078431</v>
      </c>
      <c r="AJ243" s="39">
        <v>15.591020369547936</v>
      </c>
      <c r="AK243" s="28">
        <v>646125.99956684373</v>
      </c>
      <c r="AL243" s="41">
        <f t="shared" si="3"/>
        <v>147.76629781999839</v>
      </c>
      <c r="AM243" s="28">
        <v>10666670</v>
      </c>
      <c r="AN243" s="42">
        <v>6.0574293529924869E-2</v>
      </c>
      <c r="AP243" s="30"/>
      <c r="AR243" s="30"/>
    </row>
    <row r="244" spans="1:44" x14ac:dyDescent="0.2">
      <c r="A244" s="3" t="s">
        <v>727</v>
      </c>
      <c r="B244" s="3" t="s">
        <v>157</v>
      </c>
      <c r="C244" s="3" t="s">
        <v>1780</v>
      </c>
      <c r="D244" s="27"/>
      <c r="E244" s="3" t="s">
        <v>1361</v>
      </c>
      <c r="F244" s="133" t="s">
        <v>1071</v>
      </c>
      <c r="G244" s="3" t="s">
        <v>879</v>
      </c>
      <c r="H244" s="29">
        <v>80.58</v>
      </c>
      <c r="I244" s="30">
        <v>112.654</v>
      </c>
      <c r="J244" s="30">
        <v>112.68</v>
      </c>
      <c r="K244" s="31">
        <v>0.79</v>
      </c>
      <c r="L244" s="31">
        <v>0.79</v>
      </c>
      <c r="M244" s="4">
        <v>0.59</v>
      </c>
      <c r="N244" s="4">
        <v>0.59</v>
      </c>
      <c r="O244" s="4">
        <v>0.41</v>
      </c>
      <c r="P244" s="4">
        <v>0.41</v>
      </c>
      <c r="Q244" s="32">
        <v>88.996660000000006</v>
      </c>
      <c r="R244" s="32">
        <v>89.017200000000003</v>
      </c>
      <c r="S244" s="32">
        <v>7171.3508628</v>
      </c>
      <c r="T244" s="32">
        <v>7173.0059760000004</v>
      </c>
      <c r="U244" s="33">
        <v>3.7923765009713854E-4</v>
      </c>
      <c r="V244" s="34">
        <v>3.807371930505987E-4</v>
      </c>
      <c r="W244" s="34">
        <v>1.4995429534601533E-6</v>
      </c>
      <c r="X244" s="35">
        <v>3.2326098058555948</v>
      </c>
      <c r="Y244" s="36">
        <v>40116.775947575021</v>
      </c>
      <c r="Z244" s="37">
        <v>4.4229970656362488E-4</v>
      </c>
      <c r="AA244" s="38">
        <v>4.4374262061744476E-4</v>
      </c>
      <c r="AB244" s="38">
        <v>1.4429140538198748E-6</v>
      </c>
      <c r="AC244" s="39">
        <v>2.7606210209222225E-2</v>
      </c>
      <c r="AD244" s="40">
        <v>342.59382240285709</v>
      </c>
      <c r="AE244" s="37">
        <v>3.1467493522809996E-4</v>
      </c>
      <c r="AF244" s="38">
        <v>3.1614237419764308E-4</v>
      </c>
      <c r="AG244" s="38">
        <v>1.46743896954312E-6</v>
      </c>
      <c r="AH244" s="39">
        <v>2.0567143752067082E-2</v>
      </c>
      <c r="AI244" s="40">
        <v>255.23881548854655</v>
      </c>
      <c r="AJ244" s="39">
        <v>3.2807831598168837</v>
      </c>
      <c r="AK244" s="28">
        <v>40714.608585466427</v>
      </c>
      <c r="AL244" s="41">
        <f t="shared" si="3"/>
        <v>9.3046844965261428</v>
      </c>
      <c r="AM244" s="28">
        <v>672089.875</v>
      </c>
      <c r="AN244" s="42">
        <v>6.0579113151297548E-2</v>
      </c>
      <c r="AP244" s="30"/>
      <c r="AR244" s="30"/>
    </row>
    <row r="245" spans="1:44" x14ac:dyDescent="0.2">
      <c r="A245" s="3" t="s">
        <v>933</v>
      </c>
      <c r="B245" s="3" t="s">
        <v>1012</v>
      </c>
      <c r="C245" s="3" t="s">
        <v>1781</v>
      </c>
      <c r="D245" s="27"/>
      <c r="E245" s="3" t="s">
        <v>817</v>
      </c>
      <c r="F245" s="133" t="s">
        <v>1057</v>
      </c>
      <c r="G245" s="3" t="s">
        <v>881</v>
      </c>
      <c r="H245" s="29">
        <v>43.54</v>
      </c>
      <c r="I245" s="30">
        <v>4326.1989999999996</v>
      </c>
      <c r="J245" s="30">
        <v>4316.0290000000005</v>
      </c>
      <c r="K245" s="31">
        <v>0.9</v>
      </c>
      <c r="L245" s="31">
        <v>0.9</v>
      </c>
      <c r="M245" s="4">
        <v>0.52</v>
      </c>
      <c r="N245" s="4">
        <v>0.52</v>
      </c>
      <c r="O245" s="4">
        <v>0.48</v>
      </c>
      <c r="P245" s="4">
        <v>0.48</v>
      </c>
      <c r="Q245" s="32">
        <v>3893.5790999999999</v>
      </c>
      <c r="R245" s="32">
        <v>3884.4261000000006</v>
      </c>
      <c r="S245" s="32">
        <v>169526.434014</v>
      </c>
      <c r="T245" s="32">
        <v>169127.91239400001</v>
      </c>
      <c r="U245" s="33">
        <v>8.9649506341006324E-3</v>
      </c>
      <c r="V245" s="34">
        <v>8.977168964706175E-3</v>
      </c>
      <c r="W245" s="34">
        <v>1.2218330605542546E-5</v>
      </c>
      <c r="X245" s="35">
        <v>26.339422445701821</v>
      </c>
      <c r="Y245" s="36">
        <v>604947.6905305885</v>
      </c>
      <c r="Z245" s="37">
        <v>9.2151930732272107E-3</v>
      </c>
      <c r="AA245" s="38">
        <v>9.2213938523657956E-3</v>
      </c>
      <c r="AB245" s="38">
        <v>6.2007791385848554E-6</v>
      </c>
      <c r="AC245" s="39">
        <v>0.11863493318092151</v>
      </c>
      <c r="AD245" s="40">
        <v>2724.7343403978302</v>
      </c>
      <c r="AE245" s="37">
        <v>8.7087532921371995E-3</v>
      </c>
      <c r="AF245" s="38">
        <v>8.7267831965750133E-3</v>
      </c>
      <c r="AG245" s="38">
        <v>1.802990443781384E-5</v>
      </c>
      <c r="AH245" s="39">
        <v>0.25270123262707378</v>
      </c>
      <c r="AI245" s="40">
        <v>5803.8868311225024</v>
      </c>
      <c r="AJ245" s="39">
        <v>26.710758611509817</v>
      </c>
      <c r="AK245" s="28">
        <v>613476.31170210883</v>
      </c>
      <c r="AL245" s="41">
        <f t="shared" si="3"/>
        <v>140.31155954917946</v>
      </c>
      <c r="AM245" s="28">
        <v>10141530</v>
      </c>
      <c r="AN245" s="42">
        <v>6.049149504089707E-2</v>
      </c>
      <c r="AP245" s="30"/>
      <c r="AR245" s="30"/>
    </row>
    <row r="246" spans="1:44" x14ac:dyDescent="0.2">
      <c r="A246" s="3" t="s">
        <v>1220</v>
      </c>
      <c r="B246" s="3" t="s">
        <v>455</v>
      </c>
      <c r="C246" s="3" t="s">
        <v>1782</v>
      </c>
      <c r="D246" s="27"/>
      <c r="E246" s="3" t="s">
        <v>29</v>
      </c>
      <c r="F246" s="133" t="s">
        <v>1056</v>
      </c>
      <c r="G246" s="3" t="s">
        <v>879</v>
      </c>
      <c r="H246" s="29">
        <v>68.73</v>
      </c>
      <c r="I246" s="30">
        <v>155.708</v>
      </c>
      <c r="J246" s="30">
        <v>155.995</v>
      </c>
      <c r="K246" s="31">
        <v>1</v>
      </c>
      <c r="L246" s="31">
        <v>1</v>
      </c>
      <c r="M246" s="4">
        <v>0.52</v>
      </c>
      <c r="N246" s="4">
        <v>0.52</v>
      </c>
      <c r="O246" s="4">
        <v>0.48</v>
      </c>
      <c r="P246" s="4">
        <v>0.48</v>
      </c>
      <c r="Q246" s="32">
        <v>155.708</v>
      </c>
      <c r="R246" s="32">
        <v>155.995</v>
      </c>
      <c r="S246" s="32">
        <v>10701.81084</v>
      </c>
      <c r="T246" s="32">
        <v>10721.53635</v>
      </c>
      <c r="U246" s="33">
        <v>5.6593655398992171E-4</v>
      </c>
      <c r="V246" s="34">
        <v>5.6909023479795318E-4</v>
      </c>
      <c r="W246" s="34">
        <v>3.1536808080314662E-6</v>
      </c>
      <c r="X246" s="35">
        <v>6.7984844855943036</v>
      </c>
      <c r="Y246" s="36">
        <v>98915.822575211743</v>
      </c>
      <c r="Z246" s="37">
        <v>5.8173377914391569E-4</v>
      </c>
      <c r="AA246" s="38">
        <v>5.8457239840745438E-4</v>
      </c>
      <c r="AB246" s="38">
        <v>2.8386192635386845E-6</v>
      </c>
      <c r="AC246" s="39">
        <v>5.430920842841757E-2</v>
      </c>
      <c r="AD246" s="40">
        <v>790.18199372061065</v>
      </c>
      <c r="AE246" s="37">
        <v>5.4976340962249509E-4</v>
      </c>
      <c r="AF246" s="38">
        <v>5.5321751410660413E-4</v>
      </c>
      <c r="AG246" s="38">
        <v>3.4541044841090388E-6</v>
      </c>
      <c r="AH246" s="39">
        <v>4.8411596620913232E-2</v>
      </c>
      <c r="AI246" s="40">
        <v>704.37358680217119</v>
      </c>
      <c r="AJ246" s="39">
        <v>6.9012052906436345</v>
      </c>
      <c r="AK246" s="28">
        <v>100410.37815573454</v>
      </c>
      <c r="AL246" s="41">
        <f t="shared" si="3"/>
        <v>22.942534613934718</v>
      </c>
      <c r="AM246" s="28">
        <v>1660914</v>
      </c>
      <c r="AN246" s="42">
        <v>6.0454893002126864E-2</v>
      </c>
      <c r="AP246" s="30"/>
      <c r="AR246" s="30"/>
    </row>
    <row r="247" spans="1:44" x14ac:dyDescent="0.2">
      <c r="A247" s="3" t="s">
        <v>1543</v>
      </c>
      <c r="B247" s="3" t="s">
        <v>1504</v>
      </c>
      <c r="C247" s="3" t="s">
        <v>1783</v>
      </c>
      <c r="D247" s="27"/>
      <c r="E247" s="3" t="s">
        <v>2094</v>
      </c>
      <c r="F247" s="133" t="s">
        <v>1061</v>
      </c>
      <c r="G247" s="3" t="s">
        <v>881</v>
      </c>
      <c r="H247" s="29">
        <v>122.6</v>
      </c>
      <c r="I247" s="30">
        <v>264.60000000000002</v>
      </c>
      <c r="J247" s="30">
        <v>264</v>
      </c>
      <c r="K247" s="31">
        <v>1</v>
      </c>
      <c r="L247" s="31">
        <v>1</v>
      </c>
      <c r="M247" s="4">
        <v>1</v>
      </c>
      <c r="N247" s="4">
        <v>1</v>
      </c>
      <c r="O247" s="4">
        <v>0</v>
      </c>
      <c r="P247" s="4">
        <v>0</v>
      </c>
      <c r="Q247" s="32">
        <v>264.60000000000002</v>
      </c>
      <c r="R247" s="32">
        <v>264</v>
      </c>
      <c r="S247" s="32">
        <v>32439.960000000003</v>
      </c>
      <c r="T247" s="32">
        <v>32366.399999999998</v>
      </c>
      <c r="U247" s="33">
        <v>1.7155002502334364E-3</v>
      </c>
      <c r="V247" s="34">
        <v>1.7179816002362825E-3</v>
      </c>
      <c r="W247" s="34">
        <v>2.4813500028460743E-6</v>
      </c>
      <c r="X247" s="35">
        <v>5.3491207653980499</v>
      </c>
      <c r="Y247" s="36">
        <v>43630.675084812807</v>
      </c>
      <c r="Z247" s="37">
        <v>3.3911264048636217E-3</v>
      </c>
      <c r="AA247" s="38">
        <v>3.3936913118969886E-3</v>
      </c>
      <c r="AB247" s="38">
        <v>2.5649070333668561E-6</v>
      </c>
      <c r="AC247" s="39">
        <v>4.9072474235584085E-2</v>
      </c>
      <c r="AD247" s="40">
        <v>400.264879572464</v>
      </c>
      <c r="AE247" s="37">
        <v>0</v>
      </c>
      <c r="AF247" s="38">
        <v>0</v>
      </c>
      <c r="AG247" s="38">
        <v>0</v>
      </c>
      <c r="AH247" s="39">
        <v>0</v>
      </c>
      <c r="AI247" s="40">
        <v>0</v>
      </c>
      <c r="AJ247" s="39">
        <v>5.3981932396336338</v>
      </c>
      <c r="AK247" s="28">
        <v>44030.939964385274</v>
      </c>
      <c r="AL247" s="41">
        <f t="shared" si="3"/>
        <v>10.119698217153648</v>
      </c>
      <c r="AM247" s="28">
        <v>741496.125</v>
      </c>
      <c r="AN247" s="42">
        <v>5.9381213845703204E-2</v>
      </c>
      <c r="AP247" s="30"/>
      <c r="AR247" s="30"/>
    </row>
    <row r="248" spans="1:44" x14ac:dyDescent="0.2">
      <c r="A248" s="3" t="s">
        <v>1178</v>
      </c>
      <c r="B248" s="3" t="s">
        <v>414</v>
      </c>
      <c r="C248" s="3" t="s">
        <v>1784</v>
      </c>
      <c r="D248" s="27"/>
      <c r="E248" s="3" t="s">
        <v>707</v>
      </c>
      <c r="F248" s="133" t="s">
        <v>1068</v>
      </c>
      <c r="G248" s="3" t="s">
        <v>879</v>
      </c>
      <c r="H248" s="29">
        <v>53.08</v>
      </c>
      <c r="I248" s="30">
        <v>139.22999999999999</v>
      </c>
      <c r="J248" s="30">
        <v>139.24799999999999</v>
      </c>
      <c r="K248" s="31">
        <v>1</v>
      </c>
      <c r="L248" s="31">
        <v>1</v>
      </c>
      <c r="M248" s="4">
        <v>0</v>
      </c>
      <c r="N248" s="4">
        <v>0</v>
      </c>
      <c r="O248" s="4">
        <v>1</v>
      </c>
      <c r="P248" s="4">
        <v>1</v>
      </c>
      <c r="Q248" s="32">
        <v>139.22999999999999</v>
      </c>
      <c r="R248" s="32">
        <v>139.24799999999999</v>
      </c>
      <c r="S248" s="32">
        <v>7390.3283999999994</v>
      </c>
      <c r="T248" s="32">
        <v>7391.2838399999991</v>
      </c>
      <c r="U248" s="33">
        <v>3.9081768964903998E-4</v>
      </c>
      <c r="V248" s="34">
        <v>3.9232320057973005E-4</v>
      </c>
      <c r="W248" s="34">
        <v>1.50551093069007E-6</v>
      </c>
      <c r="X248" s="35">
        <v>3.2454751537071087</v>
      </c>
      <c r="Y248" s="36">
        <v>61143.088803826467</v>
      </c>
      <c r="Z248" s="37">
        <v>0</v>
      </c>
      <c r="AA248" s="38">
        <v>0</v>
      </c>
      <c r="AB248" s="38">
        <v>0</v>
      </c>
      <c r="AC248" s="39">
        <v>0</v>
      </c>
      <c r="AD248" s="40">
        <v>0</v>
      </c>
      <c r="AE248" s="37">
        <v>7.9093548593430504E-4</v>
      </c>
      <c r="AF248" s="38">
        <v>7.945432481521788E-4</v>
      </c>
      <c r="AG248" s="38">
        <v>3.6077622178737594E-6</v>
      </c>
      <c r="AH248" s="39">
        <v>5.0565213067353801E-2</v>
      </c>
      <c r="AI248" s="40">
        <v>952.62270285142813</v>
      </c>
      <c r="AJ248" s="39">
        <v>3.2960403667744624</v>
      </c>
      <c r="AK248" s="28">
        <v>62095.711506677893</v>
      </c>
      <c r="AL248" s="41">
        <f t="shared" si="3"/>
        <v>14.181527229559816</v>
      </c>
      <c r="AM248" s="28">
        <v>1053689.125</v>
      </c>
      <c r="AN248" s="42">
        <v>5.8931719074805759E-2</v>
      </c>
      <c r="AP248" s="30"/>
      <c r="AR248" s="30"/>
    </row>
    <row r="249" spans="1:44" x14ac:dyDescent="0.2">
      <c r="A249" s="3" t="s">
        <v>1411</v>
      </c>
      <c r="B249" s="3" t="s">
        <v>1392</v>
      </c>
      <c r="C249" s="3" t="s">
        <v>1785</v>
      </c>
      <c r="D249" s="27"/>
      <c r="E249" s="3" t="s">
        <v>1461</v>
      </c>
      <c r="F249" s="133" t="s">
        <v>1072</v>
      </c>
      <c r="G249" s="3" t="s">
        <v>881</v>
      </c>
      <c r="H249" s="29">
        <v>24.94</v>
      </c>
      <c r="I249" s="30">
        <v>238.53899999999999</v>
      </c>
      <c r="J249" s="30">
        <v>238.53899999999999</v>
      </c>
      <c r="K249" s="31">
        <v>0.94</v>
      </c>
      <c r="L249" s="31">
        <v>0.94</v>
      </c>
      <c r="M249" s="4">
        <v>1</v>
      </c>
      <c r="N249" s="4">
        <v>1</v>
      </c>
      <c r="O249" s="4">
        <v>0</v>
      </c>
      <c r="P249" s="4">
        <v>0</v>
      </c>
      <c r="Q249" s="32">
        <v>224.22665999999998</v>
      </c>
      <c r="R249" s="32">
        <v>224.22665999999998</v>
      </c>
      <c r="S249" s="32">
        <v>5592.2129003999999</v>
      </c>
      <c r="T249" s="32">
        <v>5592.2129003999999</v>
      </c>
      <c r="U249" s="33">
        <v>2.9572917568316517E-4</v>
      </c>
      <c r="V249" s="34">
        <v>2.9683001098333999E-4</v>
      </c>
      <c r="W249" s="34">
        <v>1.1008353001748126E-6</v>
      </c>
      <c r="X249" s="35">
        <v>2.3731037365523835</v>
      </c>
      <c r="Y249" s="36">
        <v>95152.515499293644</v>
      </c>
      <c r="Z249" s="37">
        <v>5.8458459345096033E-4</v>
      </c>
      <c r="AA249" s="38">
        <v>5.8635635518209436E-4</v>
      </c>
      <c r="AB249" s="38">
        <v>1.7717617311340276E-6</v>
      </c>
      <c r="AC249" s="39">
        <v>3.3897810240919098E-2</v>
      </c>
      <c r="AD249" s="40">
        <v>1359.1744282645989</v>
      </c>
      <c r="AE249" s="37">
        <v>0</v>
      </c>
      <c r="AF249" s="38">
        <v>0</v>
      </c>
      <c r="AG249" s="38">
        <v>0</v>
      </c>
      <c r="AH249" s="39">
        <v>0</v>
      </c>
      <c r="AI249" s="40">
        <v>0</v>
      </c>
      <c r="AJ249" s="39">
        <v>2.4070015467933028</v>
      </c>
      <c r="AK249" s="28">
        <v>96511.68992755824</v>
      </c>
      <c r="AL249" s="41">
        <f t="shared" si="3"/>
        <v>22.069673219222384</v>
      </c>
      <c r="AM249" s="28">
        <v>1664506.375</v>
      </c>
      <c r="AN249" s="42">
        <v>5.7982168994431302E-2</v>
      </c>
      <c r="AP249" s="30"/>
      <c r="AR249" s="30"/>
    </row>
    <row r="250" spans="1:44" x14ac:dyDescent="0.2">
      <c r="A250" s="3" t="s">
        <v>1096</v>
      </c>
      <c r="B250" s="3" t="s">
        <v>330</v>
      </c>
      <c r="C250" s="3" t="s">
        <v>1786</v>
      </c>
      <c r="D250" s="27"/>
      <c r="E250" s="3" t="s">
        <v>640</v>
      </c>
      <c r="F250" s="133" t="s">
        <v>1064</v>
      </c>
      <c r="G250" s="3" t="s">
        <v>879</v>
      </c>
      <c r="H250" s="29">
        <v>56.22</v>
      </c>
      <c r="I250" s="30">
        <v>510.42700000000002</v>
      </c>
      <c r="J250" s="30">
        <v>510.45800000000003</v>
      </c>
      <c r="K250" s="31">
        <v>1</v>
      </c>
      <c r="L250" s="31">
        <v>1</v>
      </c>
      <c r="M250" s="4">
        <v>0.44</v>
      </c>
      <c r="N250" s="4">
        <v>0.44</v>
      </c>
      <c r="O250" s="4">
        <v>0.56000000000000005</v>
      </c>
      <c r="P250" s="4">
        <v>0.56000000000000005</v>
      </c>
      <c r="Q250" s="32">
        <v>510.42700000000002</v>
      </c>
      <c r="R250" s="32">
        <v>510.45800000000003</v>
      </c>
      <c r="S250" s="32">
        <v>28696.20594</v>
      </c>
      <c r="T250" s="32">
        <v>28697.948759999999</v>
      </c>
      <c r="U250" s="33">
        <v>1.5175218610263459E-3</v>
      </c>
      <c r="V250" s="34">
        <v>1.5232632586325214E-3</v>
      </c>
      <c r="W250" s="34">
        <v>5.741397606175494E-6</v>
      </c>
      <c r="X250" s="35">
        <v>12.376903347925285</v>
      </c>
      <c r="Y250" s="36">
        <v>220151.25129714134</v>
      </c>
      <c r="Z250" s="37">
        <v>1.3198993815133201E-3</v>
      </c>
      <c r="AA250" s="38">
        <v>1.3239801437748362E-3</v>
      </c>
      <c r="AB250" s="38">
        <v>4.080762261516116E-6</v>
      </c>
      <c r="AC250" s="39">
        <v>7.8074214127335756E-2</v>
      </c>
      <c r="AD250" s="40">
        <v>1388.7266831614329</v>
      </c>
      <c r="AE250" s="37">
        <v>1.7198470706917279E-3</v>
      </c>
      <c r="AF250" s="38">
        <v>1.7275735411240963E-3</v>
      </c>
      <c r="AG250" s="38">
        <v>7.7264704323684076E-6</v>
      </c>
      <c r="AH250" s="39">
        <v>0.1082916777984254</v>
      </c>
      <c r="AI250" s="40">
        <v>1926.2126965212628</v>
      </c>
      <c r="AJ250" s="39">
        <v>12.563269239851046</v>
      </c>
      <c r="AK250" s="28">
        <v>223466.19067682402</v>
      </c>
      <c r="AL250" s="41">
        <f t="shared" si="3"/>
        <v>51.061878390034629</v>
      </c>
      <c r="AM250" s="28">
        <v>3890907</v>
      </c>
      <c r="AN250" s="42">
        <v>5.7432930336506122E-2</v>
      </c>
      <c r="AP250" s="30"/>
      <c r="AR250" s="30"/>
    </row>
    <row r="251" spans="1:44" x14ac:dyDescent="0.2">
      <c r="A251" s="3" t="s">
        <v>928</v>
      </c>
      <c r="B251" s="3" t="s">
        <v>1008</v>
      </c>
      <c r="C251" s="3" t="s">
        <v>1787</v>
      </c>
      <c r="D251" s="27"/>
      <c r="E251" s="3" t="s">
        <v>2095</v>
      </c>
      <c r="F251" s="133" t="s">
        <v>1051</v>
      </c>
      <c r="G251" s="3" t="s">
        <v>881</v>
      </c>
      <c r="H251" s="29">
        <v>14.43</v>
      </c>
      <c r="I251" s="30">
        <v>1710.607</v>
      </c>
      <c r="J251" s="30">
        <v>1710.607</v>
      </c>
      <c r="K251" s="31">
        <v>1</v>
      </c>
      <c r="L251" s="31">
        <v>1</v>
      </c>
      <c r="M251" s="4">
        <v>0</v>
      </c>
      <c r="N251" s="4">
        <v>0</v>
      </c>
      <c r="O251" s="4">
        <v>1</v>
      </c>
      <c r="P251" s="4">
        <v>1</v>
      </c>
      <c r="Q251" s="32">
        <v>1710.607</v>
      </c>
      <c r="R251" s="32">
        <v>1710.607</v>
      </c>
      <c r="S251" s="32">
        <v>24684.059010000001</v>
      </c>
      <c r="T251" s="32">
        <v>24684.059010000001</v>
      </c>
      <c r="U251" s="33">
        <v>1.3053502349704472E-3</v>
      </c>
      <c r="V251" s="34">
        <v>1.3102093281404984E-3</v>
      </c>
      <c r="W251" s="34">
        <v>4.8590931700511712E-6</v>
      </c>
      <c r="X251" s="35">
        <v>10.474893161832162</v>
      </c>
      <c r="Y251" s="36">
        <v>725910.82202579081</v>
      </c>
      <c r="Z251" s="37">
        <v>0</v>
      </c>
      <c r="AA251" s="38">
        <v>0</v>
      </c>
      <c r="AB251" s="38">
        <v>0</v>
      </c>
      <c r="AC251" s="39">
        <v>0</v>
      </c>
      <c r="AD251" s="40">
        <v>0</v>
      </c>
      <c r="AE251" s="37">
        <v>2.6417632818462318E-3</v>
      </c>
      <c r="AF251" s="38">
        <v>2.6534703372162009E-3</v>
      </c>
      <c r="AG251" s="38">
        <v>1.170705536996915E-5</v>
      </c>
      <c r="AH251" s="39">
        <v>0.16408225194028359</v>
      </c>
      <c r="AI251" s="40">
        <v>11370.911430373084</v>
      </c>
      <c r="AJ251" s="39">
        <v>10.638975413772446</v>
      </c>
      <c r="AK251" s="28">
        <v>737281.7334561639</v>
      </c>
      <c r="AL251" s="41">
        <f t="shared" si="3"/>
        <v>168.36774671001979</v>
      </c>
      <c r="AM251" s="28">
        <v>12880875</v>
      </c>
      <c r="AN251" s="42">
        <v>5.7238482126110525E-2</v>
      </c>
      <c r="AP251" s="30"/>
      <c r="AR251" s="30"/>
    </row>
    <row r="252" spans="1:44" x14ac:dyDescent="0.2">
      <c r="A252" s="3" t="s">
        <v>1477</v>
      </c>
      <c r="B252" s="3" t="s">
        <v>1505</v>
      </c>
      <c r="C252" s="3" t="s">
        <v>1788</v>
      </c>
      <c r="D252" s="27"/>
      <c r="E252" s="3" t="s">
        <v>2096</v>
      </c>
      <c r="F252" s="133" t="s">
        <v>1072</v>
      </c>
      <c r="G252" s="3" t="s">
        <v>881</v>
      </c>
      <c r="H252" s="29">
        <v>14.38</v>
      </c>
      <c r="I252" s="30">
        <v>199.63</v>
      </c>
      <c r="J252" s="30">
        <v>199.63</v>
      </c>
      <c r="K252" s="31">
        <v>0.54</v>
      </c>
      <c r="L252" s="31">
        <v>0.54</v>
      </c>
      <c r="M252" s="4">
        <v>0</v>
      </c>
      <c r="N252" s="4">
        <v>0</v>
      </c>
      <c r="O252" s="4">
        <v>1</v>
      </c>
      <c r="P252" s="4">
        <v>1</v>
      </c>
      <c r="Q252" s="32">
        <v>107.8002</v>
      </c>
      <c r="R252" s="32">
        <v>107.8002</v>
      </c>
      <c r="S252" s="32">
        <v>1550.1668760000002</v>
      </c>
      <c r="T252" s="32">
        <v>1550.1668760000002</v>
      </c>
      <c r="U252" s="33">
        <v>8.1976416237306845E-5</v>
      </c>
      <c r="V252" s="34">
        <v>8.2281568857326093E-5</v>
      </c>
      <c r="W252" s="34">
        <v>3.0515262001924769E-7</v>
      </c>
      <c r="X252" s="35">
        <v>0.65782667277423779</v>
      </c>
      <c r="Y252" s="36">
        <v>45745.943864689689</v>
      </c>
      <c r="Z252" s="37">
        <v>0</v>
      </c>
      <c r="AA252" s="38">
        <v>0</v>
      </c>
      <c r="AB252" s="38">
        <v>0</v>
      </c>
      <c r="AC252" s="39">
        <v>0</v>
      </c>
      <c r="AD252" s="40">
        <v>0</v>
      </c>
      <c r="AE252" s="37">
        <v>1.659035870920599E-4</v>
      </c>
      <c r="AF252" s="38">
        <v>1.6663879394935481E-4</v>
      </c>
      <c r="AG252" s="38">
        <v>7.3520685729490973E-7</v>
      </c>
      <c r="AH252" s="39">
        <v>1.0304418401944007E-2</v>
      </c>
      <c r="AI252" s="40">
        <v>716.57986105312978</v>
      </c>
      <c r="AJ252" s="39">
        <v>0.66813109117618175</v>
      </c>
      <c r="AK252" s="28">
        <v>46462.523725742816</v>
      </c>
      <c r="AL252" s="41">
        <f t="shared" si="3"/>
        <v>10.610313630710976</v>
      </c>
      <c r="AM252" s="28">
        <v>819403.0625</v>
      </c>
      <c r="AN252" s="42">
        <v>5.670289244951756E-2</v>
      </c>
      <c r="AP252" s="30"/>
      <c r="AR252" s="30"/>
    </row>
    <row r="253" spans="1:44" x14ac:dyDescent="0.2">
      <c r="A253" s="3" t="s">
        <v>918</v>
      </c>
      <c r="B253" s="3" t="s">
        <v>1000</v>
      </c>
      <c r="C253" s="3" t="s">
        <v>1789</v>
      </c>
      <c r="D253" s="27"/>
      <c r="E253" s="3" t="s">
        <v>804</v>
      </c>
      <c r="F253" s="133" t="s">
        <v>1074</v>
      </c>
      <c r="G253" s="3" t="s">
        <v>879</v>
      </c>
      <c r="H253" s="29">
        <v>12.47</v>
      </c>
      <c r="I253" s="30">
        <v>3901.9830000000002</v>
      </c>
      <c r="J253" s="30">
        <v>3902.3890000000001</v>
      </c>
      <c r="K253" s="31">
        <v>1</v>
      </c>
      <c r="L253" s="31">
        <v>1</v>
      </c>
      <c r="M253" s="4">
        <v>0</v>
      </c>
      <c r="N253" s="4">
        <v>0</v>
      </c>
      <c r="O253" s="4">
        <v>1</v>
      </c>
      <c r="P253" s="4">
        <v>1</v>
      </c>
      <c r="Q253" s="32">
        <v>3901.9830000000002</v>
      </c>
      <c r="R253" s="32">
        <v>3902.3890000000001</v>
      </c>
      <c r="S253" s="32">
        <v>48657.728010000006</v>
      </c>
      <c r="T253" s="32">
        <v>48662.790830000005</v>
      </c>
      <c r="U253" s="33">
        <v>2.5731334001936343E-3</v>
      </c>
      <c r="V253" s="34">
        <v>2.5829804754957889E-3</v>
      </c>
      <c r="W253" s="34">
        <v>9.8470753021545968E-6</v>
      </c>
      <c r="X253" s="35">
        <v>21.227636132257846</v>
      </c>
      <c r="Y253" s="36">
        <v>1702296.4019452964</v>
      </c>
      <c r="Z253" s="37">
        <v>0</v>
      </c>
      <c r="AA253" s="38">
        <v>0</v>
      </c>
      <c r="AB253" s="38">
        <v>0</v>
      </c>
      <c r="AC253" s="39">
        <v>0</v>
      </c>
      <c r="AD253" s="40">
        <v>0</v>
      </c>
      <c r="AE253" s="37">
        <v>5.2074984581265155E-3</v>
      </c>
      <c r="AF253" s="38">
        <v>5.2311198875861688E-3</v>
      </c>
      <c r="AG253" s="38">
        <v>2.3621429459653315E-5</v>
      </c>
      <c r="AH253" s="39">
        <v>0.33107021512265095</v>
      </c>
      <c r="AI253" s="40">
        <v>26549.335615288768</v>
      </c>
      <c r="AJ253" s="39">
        <v>21.558706347380497</v>
      </c>
      <c r="AK253" s="28">
        <v>1728845.7375605851</v>
      </c>
      <c r="AL253" s="41">
        <f t="shared" si="3"/>
        <v>394.83060553947865</v>
      </c>
      <c r="AM253" s="28">
        <v>31142538</v>
      </c>
      <c r="AN253" s="42">
        <v>5.5513964133577849E-2</v>
      </c>
      <c r="AP253" s="30"/>
      <c r="AR253" s="30"/>
    </row>
    <row r="254" spans="1:44" x14ac:dyDescent="0.2">
      <c r="A254" s="3" t="s">
        <v>301</v>
      </c>
      <c r="B254" s="3" t="s">
        <v>579</v>
      </c>
      <c r="C254" s="3" t="s">
        <v>1790</v>
      </c>
      <c r="D254" s="27"/>
      <c r="E254" s="3" t="s">
        <v>141</v>
      </c>
      <c r="F254" s="133" t="s">
        <v>1055</v>
      </c>
      <c r="G254" s="3" t="s">
        <v>879</v>
      </c>
      <c r="H254" s="29">
        <v>42.26</v>
      </c>
      <c r="I254" s="30">
        <v>949.91899999999998</v>
      </c>
      <c r="J254" s="30">
        <v>951.78300000000002</v>
      </c>
      <c r="K254" s="31">
        <v>0.92</v>
      </c>
      <c r="L254" s="31">
        <v>0.92</v>
      </c>
      <c r="M254" s="4">
        <v>0</v>
      </c>
      <c r="N254" s="4">
        <v>0</v>
      </c>
      <c r="O254" s="4">
        <v>1</v>
      </c>
      <c r="P254" s="4">
        <v>1</v>
      </c>
      <c r="Q254" s="32">
        <v>873.92547999999999</v>
      </c>
      <c r="R254" s="32">
        <v>875.6403600000001</v>
      </c>
      <c r="S254" s="32">
        <v>36932.090784799999</v>
      </c>
      <c r="T254" s="32">
        <v>37004.561613600003</v>
      </c>
      <c r="U254" s="33">
        <v>1.9530545346840252E-3</v>
      </c>
      <c r="V254" s="34">
        <v>1.9641713621834571E-3</v>
      </c>
      <c r="W254" s="34">
        <v>1.1116827499431858E-5</v>
      </c>
      <c r="X254" s="35">
        <v>23.964879099825986</v>
      </c>
      <c r="Y254" s="36">
        <v>567081.8528117839</v>
      </c>
      <c r="Z254" s="37">
        <v>0</v>
      </c>
      <c r="AA254" s="38">
        <v>0</v>
      </c>
      <c r="AB254" s="38">
        <v>0</v>
      </c>
      <c r="AC254" s="39">
        <v>0</v>
      </c>
      <c r="AD254" s="40">
        <v>0</v>
      </c>
      <c r="AE254" s="37">
        <v>3.9525849989894436E-3</v>
      </c>
      <c r="AF254" s="38">
        <v>3.9778914214877691E-3</v>
      </c>
      <c r="AG254" s="38">
        <v>2.5306422498325501E-5</v>
      </c>
      <c r="AH254" s="39">
        <v>0.3546865254203071</v>
      </c>
      <c r="AI254" s="40">
        <v>8392.9608476172998</v>
      </c>
      <c r="AJ254" s="39">
        <v>24.319565625246291</v>
      </c>
      <c r="AK254" s="28">
        <v>575474.81365940114</v>
      </c>
      <c r="AL254" s="41">
        <f t="shared" si="3"/>
        <v>131.52895763643943</v>
      </c>
      <c r="AM254" s="28">
        <v>10382973</v>
      </c>
      <c r="AN254" s="42">
        <v>5.5424858916555131E-2</v>
      </c>
      <c r="AP254" s="30"/>
      <c r="AR254" s="30"/>
    </row>
    <row r="255" spans="1:44" x14ac:dyDescent="0.2">
      <c r="A255" s="3" t="s">
        <v>1109</v>
      </c>
      <c r="B255" s="3" t="s">
        <v>343</v>
      </c>
      <c r="C255" s="3" t="s">
        <v>1791</v>
      </c>
      <c r="D255" s="27"/>
      <c r="E255" s="3" t="s">
        <v>1458</v>
      </c>
      <c r="F255" s="133" t="s">
        <v>1054</v>
      </c>
      <c r="G255" s="3" t="s">
        <v>879</v>
      </c>
      <c r="H255" s="29">
        <v>306.13</v>
      </c>
      <c r="I255" s="30">
        <v>219.05099999999999</v>
      </c>
      <c r="J255" s="30">
        <v>219.12100000000001</v>
      </c>
      <c r="K255" s="31">
        <v>1</v>
      </c>
      <c r="L255" s="31">
        <v>1</v>
      </c>
      <c r="M255" s="4">
        <v>1</v>
      </c>
      <c r="N255" s="4">
        <v>1</v>
      </c>
      <c r="O255" s="4">
        <v>0</v>
      </c>
      <c r="P255" s="4">
        <v>0</v>
      </c>
      <c r="Q255" s="32">
        <v>219.05099999999999</v>
      </c>
      <c r="R255" s="32">
        <v>219.12100000000001</v>
      </c>
      <c r="S255" s="32">
        <v>67058.08262999999</v>
      </c>
      <c r="T255" s="32">
        <v>67079.511729999998</v>
      </c>
      <c r="U255" s="33">
        <v>3.5461867872814711E-3</v>
      </c>
      <c r="V255" s="34">
        <v>3.5605247078752621E-3</v>
      </c>
      <c r="W255" s="34">
        <v>1.4337920593790986E-5</v>
      </c>
      <c r="X255" s="35">
        <v>30.908686276787751</v>
      </c>
      <c r="Y255" s="36">
        <v>100965.88467901791</v>
      </c>
      <c r="Z255" s="37">
        <v>7.009948059927309E-3</v>
      </c>
      <c r="AA255" s="38">
        <v>7.0334407337360079E-3</v>
      </c>
      <c r="AB255" s="38">
        <v>2.3492673808698898E-5</v>
      </c>
      <c r="AC255" s="39">
        <v>0.44946799833484169</v>
      </c>
      <c r="AD255" s="40">
        <v>1468.225911654662</v>
      </c>
      <c r="AE255" s="37">
        <v>0</v>
      </c>
      <c r="AF255" s="38">
        <v>0</v>
      </c>
      <c r="AG255" s="38">
        <v>0</v>
      </c>
      <c r="AH255" s="39">
        <v>0</v>
      </c>
      <c r="AI255" s="40">
        <v>0</v>
      </c>
      <c r="AJ255" s="39">
        <v>31.358154275122594</v>
      </c>
      <c r="AK255" s="28">
        <v>102434.11059067257</v>
      </c>
      <c r="AL255" s="41">
        <f t="shared" si="3"/>
        <v>23.418025991884143</v>
      </c>
      <c r="AM255" s="28">
        <v>1885266.75</v>
      </c>
      <c r="AN255" s="42">
        <v>5.4334014319550573E-2</v>
      </c>
      <c r="AP255" s="30"/>
      <c r="AR255" s="30"/>
    </row>
    <row r="256" spans="1:44" x14ac:dyDescent="0.2">
      <c r="A256" s="3" t="s">
        <v>1242</v>
      </c>
      <c r="B256" s="3" t="s">
        <v>475</v>
      </c>
      <c r="C256" s="3" t="s">
        <v>1792</v>
      </c>
      <c r="D256" s="27"/>
      <c r="E256" s="3" t="s">
        <v>49</v>
      </c>
      <c r="F256" s="133" t="s">
        <v>1057</v>
      </c>
      <c r="G256" s="3" t="s">
        <v>881</v>
      </c>
      <c r="H256" s="29">
        <v>102.2</v>
      </c>
      <c r="I256" s="30">
        <v>115.27</v>
      </c>
      <c r="J256" s="30">
        <v>115.044</v>
      </c>
      <c r="K256" s="31">
        <v>1</v>
      </c>
      <c r="L256" s="31">
        <v>1</v>
      </c>
      <c r="M256" s="4">
        <v>0.68</v>
      </c>
      <c r="N256" s="4">
        <v>0.68</v>
      </c>
      <c r="O256" s="4">
        <v>0.32</v>
      </c>
      <c r="P256" s="4">
        <v>0.32</v>
      </c>
      <c r="Q256" s="32">
        <v>115.27</v>
      </c>
      <c r="R256" s="32">
        <v>115.044</v>
      </c>
      <c r="S256" s="32">
        <v>11780.593999999999</v>
      </c>
      <c r="T256" s="32">
        <v>11757.496800000001</v>
      </c>
      <c r="U256" s="33">
        <v>6.2298510709934659E-4</v>
      </c>
      <c r="V256" s="34">
        <v>6.240781541115778E-4</v>
      </c>
      <c r="W256" s="34">
        <v>1.0930470122312097E-6</v>
      </c>
      <c r="X256" s="35">
        <v>2.3563142901952627</v>
      </c>
      <c r="Y256" s="36">
        <v>23055.912819914509</v>
      </c>
      <c r="Z256" s="37">
        <v>8.3741313791068197E-4</v>
      </c>
      <c r="AA256" s="38">
        <v>8.3830435337496059E-4</v>
      </c>
      <c r="AB256" s="38">
        <v>8.9121546427862325E-7</v>
      </c>
      <c r="AC256" s="39">
        <v>1.7050968062479323E-2</v>
      </c>
      <c r="AD256" s="40">
        <v>166.83921783247871</v>
      </c>
      <c r="AE256" s="37">
        <v>4.0345443225433967E-4</v>
      </c>
      <c r="AF256" s="38">
        <v>4.0444782908451691E-4</v>
      </c>
      <c r="AG256" s="38">
        <v>9.9339683017724782E-7</v>
      </c>
      <c r="AH256" s="39">
        <v>1.392312445911425E-2</v>
      </c>
      <c r="AI256" s="40">
        <v>136.23409451188112</v>
      </c>
      <c r="AJ256" s="39">
        <v>2.3872883827168563</v>
      </c>
      <c r="AK256" s="28">
        <v>23358.986132258869</v>
      </c>
      <c r="AL256" s="41">
        <f t="shared" si="3"/>
        <v>5.3475881224618869</v>
      </c>
      <c r="AM256" s="28">
        <v>435728.40625</v>
      </c>
      <c r="AN256" s="42">
        <v>5.3609050493845026E-2</v>
      </c>
      <c r="AP256" s="30"/>
      <c r="AR256" s="30"/>
    </row>
    <row r="257" spans="1:44" x14ac:dyDescent="0.2">
      <c r="A257" s="3" t="s">
        <v>1138</v>
      </c>
      <c r="B257" s="3" t="s">
        <v>374</v>
      </c>
      <c r="C257" s="3" t="s">
        <v>1793</v>
      </c>
      <c r="D257" s="27"/>
      <c r="E257" s="3" t="s">
        <v>1260</v>
      </c>
      <c r="F257" s="133" t="s">
        <v>1062</v>
      </c>
      <c r="G257" s="3" t="s">
        <v>881</v>
      </c>
      <c r="H257" s="29">
        <v>28.75</v>
      </c>
      <c r="I257" s="30">
        <v>546.05200000000002</v>
      </c>
      <c r="J257" s="30">
        <v>545.97</v>
      </c>
      <c r="K257" s="31">
        <v>1</v>
      </c>
      <c r="L257" s="31">
        <v>1</v>
      </c>
      <c r="M257" s="4">
        <v>0</v>
      </c>
      <c r="N257" s="4">
        <v>0</v>
      </c>
      <c r="O257" s="4">
        <v>1</v>
      </c>
      <c r="P257" s="4">
        <v>1</v>
      </c>
      <c r="Q257" s="32">
        <v>546.05200000000002</v>
      </c>
      <c r="R257" s="32">
        <v>545.97</v>
      </c>
      <c r="S257" s="32">
        <v>15698.995000000001</v>
      </c>
      <c r="T257" s="32">
        <v>15696.637500000001</v>
      </c>
      <c r="U257" s="33">
        <v>8.3019923116161264E-4</v>
      </c>
      <c r="V257" s="34">
        <v>8.3316446718136223E-4</v>
      </c>
      <c r="W257" s="34">
        <v>2.9652360197495982E-6</v>
      </c>
      <c r="X257" s="35">
        <v>6.3922483927523421</v>
      </c>
      <c r="Y257" s="36">
        <v>222339.07453051623</v>
      </c>
      <c r="Z257" s="37">
        <v>0</v>
      </c>
      <c r="AA257" s="38">
        <v>0</v>
      </c>
      <c r="AB257" s="38">
        <v>0</v>
      </c>
      <c r="AC257" s="39">
        <v>0</v>
      </c>
      <c r="AD257" s="40">
        <v>0</v>
      </c>
      <c r="AE257" s="37">
        <v>1.680154326972158E-3</v>
      </c>
      <c r="AF257" s="38">
        <v>1.6873465576877774E-3</v>
      </c>
      <c r="AG257" s="38">
        <v>7.1922307156194014E-6</v>
      </c>
      <c r="AH257" s="39">
        <v>0.10080394898619316</v>
      </c>
      <c r="AI257" s="40">
        <v>3506.2243125632399</v>
      </c>
      <c r="AJ257" s="39">
        <v>6.4930523417385348</v>
      </c>
      <c r="AK257" s="28">
        <v>225845.29884307948</v>
      </c>
      <c r="AL257" s="41">
        <f t="shared" si="3"/>
        <v>51.569322082601708</v>
      </c>
      <c r="AM257" s="28">
        <v>4230886.5</v>
      </c>
      <c r="AN257" s="42">
        <v>5.3380136489853715E-2</v>
      </c>
      <c r="AP257" s="30"/>
      <c r="AR257" s="30"/>
    </row>
    <row r="258" spans="1:44" x14ac:dyDescent="0.2">
      <c r="A258" s="3" t="s">
        <v>1122</v>
      </c>
      <c r="B258" s="3" t="s">
        <v>356</v>
      </c>
      <c r="C258" s="3" t="s">
        <v>1794</v>
      </c>
      <c r="D258" s="27"/>
      <c r="E258" s="3" t="s">
        <v>661</v>
      </c>
      <c r="F258" s="133" t="s">
        <v>1064</v>
      </c>
      <c r="G258" s="3" t="s">
        <v>879</v>
      </c>
      <c r="H258" s="29">
        <v>6.44</v>
      </c>
      <c r="I258" s="30">
        <v>749.79300000000001</v>
      </c>
      <c r="J258" s="30">
        <v>776.95600000000002</v>
      </c>
      <c r="K258" s="31">
        <v>0.78</v>
      </c>
      <c r="L258" s="31">
        <v>0.78</v>
      </c>
      <c r="M258" s="4">
        <v>0</v>
      </c>
      <c r="N258" s="4">
        <v>0</v>
      </c>
      <c r="O258" s="4">
        <v>1</v>
      </c>
      <c r="P258" s="4">
        <v>1</v>
      </c>
      <c r="Q258" s="32">
        <v>584.83854000000008</v>
      </c>
      <c r="R258" s="32">
        <v>606.02568000000008</v>
      </c>
      <c r="S258" s="32">
        <v>3766.3601976000009</v>
      </c>
      <c r="T258" s="32">
        <v>3902.805379200001</v>
      </c>
      <c r="U258" s="33">
        <v>1.9917385414322509E-4</v>
      </c>
      <c r="V258" s="34">
        <v>2.0715766445353171E-4</v>
      </c>
      <c r="W258" s="34">
        <v>7.9838103103066277E-6</v>
      </c>
      <c r="X258" s="35">
        <v>17.210939798447061</v>
      </c>
      <c r="Y258" s="36">
        <v>2672506.1798830838</v>
      </c>
      <c r="Z258" s="37">
        <v>0</v>
      </c>
      <c r="AA258" s="38">
        <v>0</v>
      </c>
      <c r="AB258" s="38">
        <v>0</v>
      </c>
      <c r="AC258" s="39">
        <v>0</v>
      </c>
      <c r="AD258" s="40">
        <v>0</v>
      </c>
      <c r="AE258" s="37">
        <v>4.0308735577872045E-4</v>
      </c>
      <c r="AF258" s="38">
        <v>4.1954114197505433E-4</v>
      </c>
      <c r="AG258" s="38">
        <v>1.6453786196333879E-5</v>
      </c>
      <c r="AH258" s="39">
        <v>0.2306108758111674</v>
      </c>
      <c r="AI258" s="40">
        <v>35809.142206703014</v>
      </c>
      <c r="AJ258" s="39">
        <v>17.441550674258227</v>
      </c>
      <c r="AK258" s="28">
        <v>2708315.3220897866</v>
      </c>
      <c r="AL258" s="41">
        <f t="shared" si="3"/>
        <v>619.86104893685001</v>
      </c>
      <c r="AM258" s="28">
        <v>50951216</v>
      </c>
      <c r="AN258" s="42">
        <v>5.3155067429397303E-2</v>
      </c>
      <c r="AP258" s="30"/>
      <c r="AR258" s="30"/>
    </row>
    <row r="259" spans="1:44" x14ac:dyDescent="0.2">
      <c r="A259" s="3" t="s">
        <v>224</v>
      </c>
      <c r="B259" s="3" t="s">
        <v>504</v>
      </c>
      <c r="C259" s="3" t="s">
        <v>1795</v>
      </c>
      <c r="D259" s="27"/>
      <c r="E259" s="3" t="s">
        <v>74</v>
      </c>
      <c r="F259" s="133" t="s">
        <v>1059</v>
      </c>
      <c r="G259" s="3" t="s">
        <v>881</v>
      </c>
      <c r="H259" s="29">
        <v>32.54</v>
      </c>
      <c r="I259" s="30">
        <v>583</v>
      </c>
      <c r="J259" s="30">
        <v>581.91600000000005</v>
      </c>
      <c r="K259" s="31">
        <v>1</v>
      </c>
      <c r="L259" s="31">
        <v>1</v>
      </c>
      <c r="M259" s="4">
        <v>0.46</v>
      </c>
      <c r="N259" s="4">
        <v>0.46</v>
      </c>
      <c r="O259" s="4">
        <v>0.54</v>
      </c>
      <c r="P259" s="4">
        <v>0.54</v>
      </c>
      <c r="Q259" s="32">
        <v>583</v>
      </c>
      <c r="R259" s="32">
        <v>581.91600000000005</v>
      </c>
      <c r="S259" s="32">
        <v>18970.82</v>
      </c>
      <c r="T259" s="32">
        <v>18935.54664</v>
      </c>
      <c r="U259" s="33">
        <v>1.0032209181865045E-3</v>
      </c>
      <c r="V259" s="34">
        <v>1.0050830712694636E-3</v>
      </c>
      <c r="W259" s="34">
        <v>1.8621530829591136E-6</v>
      </c>
      <c r="X259" s="35">
        <v>4.0142993584063511</v>
      </c>
      <c r="Y259" s="36">
        <v>123365.06940400587</v>
      </c>
      <c r="Z259" s="37">
        <v>9.1223683281362999E-4</v>
      </c>
      <c r="AA259" s="38">
        <v>9.133003378307931E-4</v>
      </c>
      <c r="AB259" s="38">
        <v>1.0635050171631114E-6</v>
      </c>
      <c r="AC259" s="39">
        <v>2.0347256986404261E-2</v>
      </c>
      <c r="AD259" s="40">
        <v>625.29984592514631</v>
      </c>
      <c r="AE259" s="37">
        <v>1.0963701094862043E-3</v>
      </c>
      <c r="AF259" s="38">
        <v>1.0991811397891935E-3</v>
      </c>
      <c r="AG259" s="38">
        <v>2.8110303029892005E-6</v>
      </c>
      <c r="AH259" s="39">
        <v>3.9398479618539733E-2</v>
      </c>
      <c r="AI259" s="40">
        <v>1210.7707319772505</v>
      </c>
      <c r="AJ259" s="39">
        <v>4.0740450950112947</v>
      </c>
      <c r="AK259" s="28">
        <v>125201.13998190826</v>
      </c>
      <c r="AL259" s="41">
        <f t="shared" si="3"/>
        <v>28.61329260846825</v>
      </c>
      <c r="AM259" s="28">
        <v>2379491</v>
      </c>
      <c r="AN259" s="42">
        <v>5.2616773915895566E-2</v>
      </c>
      <c r="AP259" s="30"/>
      <c r="AR259" s="30"/>
    </row>
    <row r="260" spans="1:44" x14ac:dyDescent="0.2">
      <c r="A260" s="3" t="s">
        <v>1205</v>
      </c>
      <c r="B260" s="3" t="s">
        <v>440</v>
      </c>
      <c r="C260" s="3" t="s">
        <v>1796</v>
      </c>
      <c r="D260" s="27"/>
      <c r="E260" s="3" t="s">
        <v>15</v>
      </c>
      <c r="F260" s="133" t="s">
        <v>1052</v>
      </c>
      <c r="G260" s="3" t="s">
        <v>881</v>
      </c>
      <c r="H260" s="29">
        <v>137.44999999999999</v>
      </c>
      <c r="I260" s="30">
        <v>79.713999999999999</v>
      </c>
      <c r="J260" s="30">
        <v>79.591999999999999</v>
      </c>
      <c r="K260" s="31">
        <v>1</v>
      </c>
      <c r="L260" s="31">
        <v>1</v>
      </c>
      <c r="M260" s="4">
        <v>1</v>
      </c>
      <c r="N260" s="4">
        <v>1</v>
      </c>
      <c r="O260" s="4">
        <v>0</v>
      </c>
      <c r="P260" s="4">
        <v>0</v>
      </c>
      <c r="Q260" s="32">
        <v>79.713999999999999</v>
      </c>
      <c r="R260" s="32">
        <v>79.591999999999999</v>
      </c>
      <c r="S260" s="32">
        <v>10956.689299999998</v>
      </c>
      <c r="T260" s="32">
        <v>10939.920399999999</v>
      </c>
      <c r="U260" s="33">
        <v>5.7941511752418972E-4</v>
      </c>
      <c r="V260" s="34">
        <v>5.806818785916738E-4</v>
      </c>
      <c r="W260" s="34">
        <v>1.2667610674840834E-6</v>
      </c>
      <c r="X260" s="35">
        <v>2.7307948991899029</v>
      </c>
      <c r="Y260" s="36">
        <v>19867.551103600603</v>
      </c>
      <c r="Z260" s="37">
        <v>1.1453626451794854E-3</v>
      </c>
      <c r="AA260" s="38">
        <v>1.1470757580183345E-3</v>
      </c>
      <c r="AB260" s="38">
        <v>1.7131128388491335E-6</v>
      </c>
      <c r="AC260" s="39">
        <v>3.2775724247877037E-2</v>
      </c>
      <c r="AD260" s="40">
        <v>238.45561475356158</v>
      </c>
      <c r="AE260" s="37">
        <v>0</v>
      </c>
      <c r="AF260" s="38">
        <v>0</v>
      </c>
      <c r="AG260" s="38">
        <v>0</v>
      </c>
      <c r="AH260" s="39">
        <v>0</v>
      </c>
      <c r="AI260" s="40">
        <v>0</v>
      </c>
      <c r="AJ260" s="39">
        <v>2.7635706234377801</v>
      </c>
      <c r="AK260" s="28">
        <v>20106.006718354165</v>
      </c>
      <c r="AL260" s="41">
        <f t="shared" si="3"/>
        <v>4.6080795470501394</v>
      </c>
      <c r="AM260" s="28">
        <v>385322.1875</v>
      </c>
      <c r="AN260" s="42">
        <v>5.2179727434860379E-2</v>
      </c>
      <c r="AP260" s="30"/>
      <c r="AR260" s="30"/>
    </row>
    <row r="261" spans="1:44" x14ac:dyDescent="0.2">
      <c r="A261" s="3" t="s">
        <v>269</v>
      </c>
      <c r="B261" s="3" t="s">
        <v>548</v>
      </c>
      <c r="C261" s="3" t="s">
        <v>1797</v>
      </c>
      <c r="D261" s="27"/>
      <c r="E261" s="3" t="s">
        <v>111</v>
      </c>
      <c r="F261" s="133" t="s">
        <v>1055</v>
      </c>
      <c r="G261" s="3" t="s">
        <v>879</v>
      </c>
      <c r="H261" s="29">
        <v>32.619999999999997</v>
      </c>
      <c r="I261" s="30">
        <v>130</v>
      </c>
      <c r="J261" s="30">
        <v>130.4</v>
      </c>
      <c r="K261" s="31">
        <v>1</v>
      </c>
      <c r="L261" s="31">
        <v>1</v>
      </c>
      <c r="M261" s="4">
        <v>0.4</v>
      </c>
      <c r="N261" s="4">
        <v>0.4</v>
      </c>
      <c r="O261" s="4">
        <v>0.6</v>
      </c>
      <c r="P261" s="4">
        <v>0.6</v>
      </c>
      <c r="Q261" s="32">
        <v>130</v>
      </c>
      <c r="R261" s="32">
        <v>130.4</v>
      </c>
      <c r="S261" s="32">
        <v>4240.5999999999995</v>
      </c>
      <c r="T261" s="32">
        <v>4253.6480000000001</v>
      </c>
      <c r="U261" s="33">
        <v>2.2425275373767135E-4</v>
      </c>
      <c r="V261" s="34">
        <v>2.2578009904968926E-4</v>
      </c>
      <c r="W261" s="34">
        <v>1.5273453120179129E-6</v>
      </c>
      <c r="X261" s="35">
        <v>3.2925441856560163</v>
      </c>
      <c r="Y261" s="36">
        <v>100936.36375401645</v>
      </c>
      <c r="Z261" s="37">
        <v>1.7731724246842069E-4</v>
      </c>
      <c r="AA261" s="38">
        <v>1.7840190149621835E-4</v>
      </c>
      <c r="AB261" s="38">
        <v>1.0846590277976574E-6</v>
      </c>
      <c r="AC261" s="39">
        <v>2.0751981067370417E-2</v>
      </c>
      <c r="AD261" s="40">
        <v>636.17354590344632</v>
      </c>
      <c r="AE261" s="37">
        <v>2.7230516752026988E-4</v>
      </c>
      <c r="AF261" s="38">
        <v>2.74353471324626E-4</v>
      </c>
      <c r="AG261" s="38">
        <v>2.0483038043561208E-6</v>
      </c>
      <c r="AH261" s="39">
        <v>2.870835494113564E-2</v>
      </c>
      <c r="AI261" s="40">
        <v>880.08445558355731</v>
      </c>
      <c r="AJ261" s="39">
        <v>3.342004521664522</v>
      </c>
      <c r="AK261" s="28">
        <v>102452.62175550345</v>
      </c>
      <c r="AL261" s="41">
        <f t="shared" si="3"/>
        <v>23.411178908919574</v>
      </c>
      <c r="AM261" s="28">
        <v>1963325.25</v>
      </c>
      <c r="AN261" s="42">
        <v>5.2183214042351593E-2</v>
      </c>
      <c r="AP261" s="30"/>
      <c r="AR261" s="30"/>
    </row>
    <row r="262" spans="1:44" x14ac:dyDescent="0.2">
      <c r="A262" s="3" t="s">
        <v>212</v>
      </c>
      <c r="B262" s="3" t="s">
        <v>492</v>
      </c>
      <c r="C262" s="3" t="s">
        <v>1798</v>
      </c>
      <c r="D262" s="27"/>
      <c r="E262" s="3" t="s">
        <v>2097</v>
      </c>
      <c r="F262" s="133" t="s">
        <v>1072</v>
      </c>
      <c r="G262" s="3" t="s">
        <v>881</v>
      </c>
      <c r="H262" s="29">
        <v>14.04</v>
      </c>
      <c r="I262" s="30">
        <v>380.57299999999998</v>
      </c>
      <c r="J262" s="30">
        <v>380.53800000000001</v>
      </c>
      <c r="K262" s="31">
        <v>1</v>
      </c>
      <c r="L262" s="31">
        <v>1</v>
      </c>
      <c r="M262" s="4">
        <v>0</v>
      </c>
      <c r="N262" s="4">
        <v>0</v>
      </c>
      <c r="O262" s="4">
        <v>1</v>
      </c>
      <c r="P262" s="4">
        <v>1</v>
      </c>
      <c r="Q262" s="32">
        <v>380.57299999999998</v>
      </c>
      <c r="R262" s="32">
        <v>380.53800000000001</v>
      </c>
      <c r="S262" s="32">
        <v>5343.2449199999992</v>
      </c>
      <c r="T262" s="32">
        <v>5342.7535200000002</v>
      </c>
      <c r="U262" s="33">
        <v>2.8256317200509913E-4</v>
      </c>
      <c r="V262" s="34">
        <v>2.8358891449026247E-4</v>
      </c>
      <c r="W262" s="34">
        <v>1.0257424851633427E-6</v>
      </c>
      <c r="X262" s="35">
        <v>2.2112238987022912</v>
      </c>
      <c r="Y262" s="36">
        <v>157494.5796796504</v>
      </c>
      <c r="Z262" s="37">
        <v>0</v>
      </c>
      <c r="AA262" s="38">
        <v>0</v>
      </c>
      <c r="AB262" s="38">
        <v>0</v>
      </c>
      <c r="AC262" s="39">
        <v>0</v>
      </c>
      <c r="AD262" s="40">
        <v>0</v>
      </c>
      <c r="AE262" s="37">
        <v>5.7185036828217358E-4</v>
      </c>
      <c r="AF262" s="38">
        <v>5.7433171662059823E-4</v>
      </c>
      <c r="AG262" s="38">
        <v>2.4813483384246524E-6</v>
      </c>
      <c r="AH262" s="39">
        <v>3.4777765232186716E-2</v>
      </c>
      <c r="AI262" s="40">
        <v>2477.0488057113048</v>
      </c>
      <c r="AJ262" s="39">
        <v>2.2460016639344778</v>
      </c>
      <c r="AK262" s="28">
        <v>159971.6284853617</v>
      </c>
      <c r="AL262" s="41">
        <f t="shared" si="3"/>
        <v>36.529290782170321</v>
      </c>
      <c r="AM262" s="28">
        <v>3074051.5</v>
      </c>
      <c r="AN262" s="42">
        <v>5.2039345627541277E-2</v>
      </c>
      <c r="AP262" s="30"/>
      <c r="AR262" s="30"/>
    </row>
    <row r="263" spans="1:44" x14ac:dyDescent="0.2">
      <c r="A263" s="3" t="s">
        <v>1133</v>
      </c>
      <c r="B263" s="3" t="s">
        <v>368</v>
      </c>
      <c r="C263" s="3" t="s">
        <v>1799</v>
      </c>
      <c r="D263" s="27"/>
      <c r="E263" s="3" t="s">
        <v>670</v>
      </c>
      <c r="F263" s="133" t="s">
        <v>1070</v>
      </c>
      <c r="G263" s="3" t="s">
        <v>879</v>
      </c>
      <c r="H263" s="29">
        <v>38.99</v>
      </c>
      <c r="I263" s="30">
        <v>278.02999999999997</v>
      </c>
      <c r="J263" s="30">
        <v>278.94299999999998</v>
      </c>
      <c r="K263" s="31">
        <v>1</v>
      </c>
      <c r="L263" s="31">
        <v>1</v>
      </c>
      <c r="M263" s="4">
        <v>0</v>
      </c>
      <c r="N263" s="4">
        <v>0</v>
      </c>
      <c r="O263" s="4">
        <v>1</v>
      </c>
      <c r="P263" s="4">
        <v>1</v>
      </c>
      <c r="Q263" s="32">
        <v>278.02999999999997</v>
      </c>
      <c r="R263" s="32">
        <v>278.94299999999998</v>
      </c>
      <c r="S263" s="32">
        <v>10840.3897</v>
      </c>
      <c r="T263" s="32">
        <v>10875.987569999999</v>
      </c>
      <c r="U263" s="33">
        <v>5.7326492520268105E-4</v>
      </c>
      <c r="V263" s="34">
        <v>5.7728837713364833E-4</v>
      </c>
      <c r="W263" s="34">
        <v>4.0234519309672841E-6</v>
      </c>
      <c r="X263" s="35">
        <v>8.6734762318224448</v>
      </c>
      <c r="Y263" s="36">
        <v>222453.86590978314</v>
      </c>
      <c r="Z263" s="37">
        <v>0</v>
      </c>
      <c r="AA263" s="38">
        <v>0</v>
      </c>
      <c r="AB263" s="38">
        <v>0</v>
      </c>
      <c r="AC263" s="39">
        <v>0</v>
      </c>
      <c r="AD263" s="40">
        <v>0</v>
      </c>
      <c r="AE263" s="37">
        <v>1.1601715689774673E-3</v>
      </c>
      <c r="AF263" s="38">
        <v>1.1691395808621147E-3</v>
      </c>
      <c r="AG263" s="38">
        <v>8.9680118846473863E-6</v>
      </c>
      <c r="AH263" s="39">
        <v>0.12569271596979281</v>
      </c>
      <c r="AI263" s="40">
        <v>3223.7167471093308</v>
      </c>
      <c r="AJ263" s="39">
        <v>8.7991689477922375</v>
      </c>
      <c r="AK263" s="28">
        <v>225677.58265689248</v>
      </c>
      <c r="AL263" s="41">
        <f t="shared" si="3"/>
        <v>51.595946793630212</v>
      </c>
      <c r="AM263" s="28">
        <v>4347794</v>
      </c>
      <c r="AN263" s="42">
        <v>5.1906227079041113E-2</v>
      </c>
      <c r="AP263" s="30"/>
      <c r="AR263" s="30"/>
    </row>
    <row r="264" spans="1:44" x14ac:dyDescent="0.2">
      <c r="A264" s="3" t="s">
        <v>729</v>
      </c>
      <c r="B264" s="3" t="s">
        <v>159</v>
      </c>
      <c r="C264" s="3" t="s">
        <v>1800</v>
      </c>
      <c r="D264" s="27"/>
      <c r="E264" s="3" t="s">
        <v>598</v>
      </c>
      <c r="F264" s="133" t="s">
        <v>1071</v>
      </c>
      <c r="G264" s="3" t="s">
        <v>881</v>
      </c>
      <c r="H264" s="29">
        <v>98.18</v>
      </c>
      <c r="I264" s="30">
        <v>107.988</v>
      </c>
      <c r="J264" s="30">
        <v>107.98399999999999</v>
      </c>
      <c r="K264" s="31">
        <v>1</v>
      </c>
      <c r="L264" s="31">
        <v>1</v>
      </c>
      <c r="M264" s="4">
        <v>0</v>
      </c>
      <c r="N264" s="4">
        <v>0</v>
      </c>
      <c r="O264" s="4">
        <v>1</v>
      </c>
      <c r="P264" s="4">
        <v>1</v>
      </c>
      <c r="Q264" s="32">
        <v>107.988</v>
      </c>
      <c r="R264" s="32">
        <v>107.98399999999999</v>
      </c>
      <c r="S264" s="32">
        <v>10602.261840000001</v>
      </c>
      <c r="T264" s="32">
        <v>10601.869119999999</v>
      </c>
      <c r="U264" s="33">
        <v>5.606721722086098E-4</v>
      </c>
      <c r="V264" s="34">
        <v>5.627383977295352E-4</v>
      </c>
      <c r="W264" s="34">
        <v>2.0662255209253971E-6</v>
      </c>
      <c r="X264" s="35">
        <v>4.4542244452819597</v>
      </c>
      <c r="Y264" s="36">
        <v>45367.940978630671</v>
      </c>
      <c r="Z264" s="37">
        <v>0</v>
      </c>
      <c r="AA264" s="38">
        <v>0</v>
      </c>
      <c r="AB264" s="38">
        <v>0</v>
      </c>
      <c r="AC264" s="39">
        <v>0</v>
      </c>
      <c r="AD264" s="40">
        <v>0</v>
      </c>
      <c r="AE264" s="37">
        <v>1.1346863991082102E-3</v>
      </c>
      <c r="AF264" s="38">
        <v>1.1396725804930096E-3</v>
      </c>
      <c r="AG264" s="38">
        <v>4.986181384799334E-6</v>
      </c>
      <c r="AH264" s="39">
        <v>6.98846844356176E-2</v>
      </c>
      <c r="AI264" s="40">
        <v>711.80163409673662</v>
      </c>
      <c r="AJ264" s="39">
        <v>4.5241091297175773</v>
      </c>
      <c r="AK264" s="28">
        <v>46079.742612727408</v>
      </c>
      <c r="AL264" s="41">
        <f t="shared" si="3"/>
        <v>10.522639646187599</v>
      </c>
      <c r="AM264" s="28">
        <v>897512.875</v>
      </c>
      <c r="AN264" s="42">
        <v>5.1341595086006324E-2</v>
      </c>
      <c r="AP264" s="30"/>
      <c r="AR264" s="30"/>
    </row>
    <row r="265" spans="1:44" x14ac:dyDescent="0.2">
      <c r="A265" s="3" t="s">
        <v>1544</v>
      </c>
      <c r="B265" s="3" t="s">
        <v>1506</v>
      </c>
      <c r="C265" s="3" t="s">
        <v>1801</v>
      </c>
      <c r="D265" s="27"/>
      <c r="E265" s="3" t="s">
        <v>2098</v>
      </c>
      <c r="F265" s="133" t="s">
        <v>1060</v>
      </c>
      <c r="G265" s="3" t="s">
        <v>879</v>
      </c>
      <c r="H265" s="29">
        <v>100.68</v>
      </c>
      <c r="I265" s="30">
        <v>146.82</v>
      </c>
      <c r="J265" s="30">
        <v>146.86199999999999</v>
      </c>
      <c r="K265" s="31">
        <v>1</v>
      </c>
      <c r="L265" s="31">
        <v>1</v>
      </c>
      <c r="M265" s="4">
        <v>0.65</v>
      </c>
      <c r="N265" s="4">
        <v>0.65</v>
      </c>
      <c r="O265" s="4">
        <v>0.35</v>
      </c>
      <c r="P265" s="4">
        <v>0.35</v>
      </c>
      <c r="Q265" s="32">
        <v>146.82</v>
      </c>
      <c r="R265" s="32">
        <v>146.86199999999999</v>
      </c>
      <c r="S265" s="32">
        <v>14781.837600000001</v>
      </c>
      <c r="T265" s="32">
        <v>14786.06616</v>
      </c>
      <c r="U265" s="33">
        <v>7.8169782273806814E-4</v>
      </c>
      <c r="V265" s="34">
        <v>7.8483209756897109E-4</v>
      </c>
      <c r="W265" s="34">
        <v>3.13427483090295E-6</v>
      </c>
      <c r="X265" s="35">
        <v>6.7566504375511327</v>
      </c>
      <c r="Y265" s="36">
        <v>67110.155319339814</v>
      </c>
      <c r="Z265" s="37">
        <v>1.0043971037124533E-3</v>
      </c>
      <c r="AA265" s="38">
        <v>1.0077294284137855E-3</v>
      </c>
      <c r="AB265" s="38">
        <v>3.3323247013322156E-6</v>
      </c>
      <c r="AC265" s="39">
        <v>6.3754910382101446E-2</v>
      </c>
      <c r="AD265" s="40">
        <v>633.24305107371322</v>
      </c>
      <c r="AE265" s="37">
        <v>5.5369907064012108E-4</v>
      </c>
      <c r="AF265" s="38">
        <v>5.5631190074223891E-4</v>
      </c>
      <c r="AG265" s="38">
        <v>2.6128301021178298E-6</v>
      </c>
      <c r="AH265" s="39">
        <v>3.6620570548645523E-2</v>
      </c>
      <c r="AI265" s="40">
        <v>363.73232567188637</v>
      </c>
      <c r="AJ265" s="39">
        <v>6.85702591848188</v>
      </c>
      <c r="AK265" s="28">
        <v>68107.130696085413</v>
      </c>
      <c r="AL265" s="41">
        <f t="shared" si="3"/>
        <v>15.565528560304676</v>
      </c>
      <c r="AM265" s="28">
        <v>1330748</v>
      </c>
      <c r="AN265" s="42">
        <v>5.1179585237840233E-2</v>
      </c>
      <c r="AP265" s="30"/>
      <c r="AR265" s="30"/>
    </row>
    <row r="266" spans="1:44" x14ac:dyDescent="0.2">
      <c r="A266" s="3" t="s">
        <v>1227</v>
      </c>
      <c r="B266" s="3" t="s">
        <v>462</v>
      </c>
      <c r="C266" s="3" t="s">
        <v>1802</v>
      </c>
      <c r="D266" s="27"/>
      <c r="E266" s="3" t="s">
        <v>35</v>
      </c>
      <c r="F266" s="133" t="s">
        <v>1053</v>
      </c>
      <c r="G266" s="3" t="s">
        <v>881</v>
      </c>
      <c r="H266" s="29">
        <v>137.74</v>
      </c>
      <c r="I266" s="30">
        <v>102.4</v>
      </c>
      <c r="J266" s="30">
        <v>102.3</v>
      </c>
      <c r="K266" s="31">
        <v>1</v>
      </c>
      <c r="L266" s="31">
        <v>1</v>
      </c>
      <c r="M266" s="4">
        <v>1</v>
      </c>
      <c r="N266" s="4">
        <v>1</v>
      </c>
      <c r="O266" s="4">
        <v>0</v>
      </c>
      <c r="P266" s="4">
        <v>0</v>
      </c>
      <c r="Q266" s="32">
        <v>102.4</v>
      </c>
      <c r="R266" s="32">
        <v>102.3</v>
      </c>
      <c r="S266" s="32">
        <v>14104.576000000001</v>
      </c>
      <c r="T266" s="32">
        <v>14090.802</v>
      </c>
      <c r="U266" s="33">
        <v>7.4588266007222335E-4</v>
      </c>
      <c r="V266" s="34">
        <v>7.4792805404903264E-4</v>
      </c>
      <c r="W266" s="34">
        <v>2.045393976809291E-6</v>
      </c>
      <c r="X266" s="35">
        <v>4.4093172596455279</v>
      </c>
      <c r="Y266" s="36">
        <v>32011.886595364656</v>
      </c>
      <c r="Z266" s="37">
        <v>1.4744284549982713E-3</v>
      </c>
      <c r="AA266" s="38">
        <v>1.4774529241763283E-3</v>
      </c>
      <c r="AB266" s="38">
        <v>3.0244691780569911E-6</v>
      </c>
      <c r="AC266" s="39">
        <v>5.7864937748522201E-2</v>
      </c>
      <c r="AD266" s="40">
        <v>420.10264083434146</v>
      </c>
      <c r="AE266" s="37">
        <v>0</v>
      </c>
      <c r="AF266" s="38">
        <v>0</v>
      </c>
      <c r="AG266" s="38">
        <v>0</v>
      </c>
      <c r="AH266" s="39">
        <v>0</v>
      </c>
      <c r="AI266" s="40">
        <v>0</v>
      </c>
      <c r="AJ266" s="39">
        <v>4.4671821973940498</v>
      </c>
      <c r="AK266" s="28">
        <v>32431.989236198999</v>
      </c>
      <c r="AL266" s="41">
        <f t="shared" si="3"/>
        <v>7.4248365645756165</v>
      </c>
      <c r="AM266" s="28">
        <v>635030.0625</v>
      </c>
      <c r="AN266" s="42">
        <v>5.1071580939837789E-2</v>
      </c>
      <c r="AP266" s="30"/>
      <c r="AR266" s="30"/>
    </row>
    <row r="267" spans="1:44" x14ac:dyDescent="0.2">
      <c r="A267" s="3" t="s">
        <v>199</v>
      </c>
      <c r="B267" s="3" t="s">
        <v>984</v>
      </c>
      <c r="C267" s="3" t="s">
        <v>1803</v>
      </c>
      <c r="D267" s="27"/>
      <c r="E267" s="3" t="s">
        <v>788</v>
      </c>
      <c r="F267" s="133" t="s">
        <v>1054</v>
      </c>
      <c r="G267" s="3" t="s">
        <v>879</v>
      </c>
      <c r="H267" s="29">
        <v>58.76</v>
      </c>
      <c r="I267" s="30">
        <v>1669.307</v>
      </c>
      <c r="J267" s="30">
        <v>1670.8589999999999</v>
      </c>
      <c r="K267" s="31">
        <v>1</v>
      </c>
      <c r="L267" s="31">
        <v>1</v>
      </c>
      <c r="M267" s="4">
        <v>0.6</v>
      </c>
      <c r="N267" s="4">
        <v>0.6</v>
      </c>
      <c r="O267" s="4">
        <v>0.4</v>
      </c>
      <c r="P267" s="4">
        <v>0.4</v>
      </c>
      <c r="Q267" s="32">
        <v>1669.307</v>
      </c>
      <c r="R267" s="32">
        <v>1670.8589999999999</v>
      </c>
      <c r="S267" s="32">
        <v>98088.479319999999</v>
      </c>
      <c r="T267" s="32">
        <v>98179.674839999992</v>
      </c>
      <c r="U267" s="33">
        <v>5.1871460636350123E-3</v>
      </c>
      <c r="V267" s="34">
        <v>5.2112955068311911E-3</v>
      </c>
      <c r="W267" s="34">
        <v>2.414944319617876E-5</v>
      </c>
      <c r="X267" s="35">
        <v>52.059680385803993</v>
      </c>
      <c r="Y267" s="36">
        <v>885971.41568761051</v>
      </c>
      <c r="Z267" s="37">
        <v>6.1522350625889408E-3</v>
      </c>
      <c r="AA267" s="38">
        <v>6.176618521232748E-3</v>
      </c>
      <c r="AB267" s="38">
        <v>2.4383458643807178E-5</v>
      </c>
      <c r="AC267" s="39">
        <v>0.46651072748706346</v>
      </c>
      <c r="AD267" s="40">
        <v>7939.2567645858326</v>
      </c>
      <c r="AE267" s="37">
        <v>4.199091291018745E-3</v>
      </c>
      <c r="AF267" s="38">
        <v>4.2216210032544679E-3</v>
      </c>
      <c r="AG267" s="38">
        <v>2.2529712235722955E-5</v>
      </c>
      <c r="AH267" s="39">
        <v>0.31576906424196111</v>
      </c>
      <c r="AI267" s="40">
        <v>5373.8778802239804</v>
      </c>
      <c r="AJ267" s="39">
        <v>52.841960177533018</v>
      </c>
      <c r="AK267" s="28">
        <v>899284.55033242039</v>
      </c>
      <c r="AL267" s="41">
        <f t="shared" si="3"/>
        <v>205.49219874216101</v>
      </c>
      <c r="AM267" s="28">
        <v>17688294</v>
      </c>
      <c r="AN267" s="42">
        <v>5.0840660514372971E-2</v>
      </c>
      <c r="AP267" s="30"/>
      <c r="AR267" s="30"/>
    </row>
    <row r="268" spans="1:44" x14ac:dyDescent="0.2">
      <c r="A268" s="3" t="s">
        <v>1545</v>
      </c>
      <c r="B268" s="3" t="s">
        <v>1507</v>
      </c>
      <c r="C268" s="3" t="s">
        <v>1804</v>
      </c>
      <c r="D268" s="27"/>
      <c r="E268" s="3" t="s">
        <v>2099</v>
      </c>
      <c r="F268" s="133" t="s">
        <v>1059</v>
      </c>
      <c r="G268" s="3" t="s">
        <v>881</v>
      </c>
      <c r="H268" s="29">
        <v>49.57</v>
      </c>
      <c r="I268" s="30">
        <v>177.12899999999999</v>
      </c>
      <c r="J268" s="30">
        <v>177.03100000000001</v>
      </c>
      <c r="K268" s="31">
        <v>1</v>
      </c>
      <c r="L268" s="31">
        <v>1</v>
      </c>
      <c r="M268" s="4">
        <v>0.53</v>
      </c>
      <c r="N268" s="4">
        <v>0.53</v>
      </c>
      <c r="O268" s="4">
        <v>0.47</v>
      </c>
      <c r="P268" s="4">
        <v>0.47</v>
      </c>
      <c r="Q268" s="32">
        <v>177.12899999999999</v>
      </c>
      <c r="R268" s="32">
        <v>177.03100000000001</v>
      </c>
      <c r="S268" s="32">
        <v>8780.284529999999</v>
      </c>
      <c r="T268" s="32">
        <v>8775.4266700000007</v>
      </c>
      <c r="U268" s="33">
        <v>4.6432179041946319E-4</v>
      </c>
      <c r="V268" s="34">
        <v>4.6579235111976475E-4</v>
      </c>
      <c r="W268" s="34">
        <v>1.4705607003015616E-6</v>
      </c>
      <c r="X268" s="35">
        <v>3.1701318918084715</v>
      </c>
      <c r="Y268" s="36">
        <v>63952.630458109175</v>
      </c>
      <c r="Z268" s="37">
        <v>4.8646111145963931E-4</v>
      </c>
      <c r="AA268" s="38">
        <v>4.8766552046347779E-4</v>
      </c>
      <c r="AB268" s="38">
        <v>1.2044090038384851E-6</v>
      </c>
      <c r="AC268" s="39">
        <v>2.3043069023982073E-2</v>
      </c>
      <c r="AD268" s="40">
        <v>464.85916933593046</v>
      </c>
      <c r="AE268" s="37">
        <v>4.4165563026227558E-4</v>
      </c>
      <c r="AF268" s="38">
        <v>4.4336740352301742E-4</v>
      </c>
      <c r="AG268" s="38">
        <v>1.7117732607418393E-6</v>
      </c>
      <c r="AH268" s="39">
        <v>2.3991653114938959E-2</v>
      </c>
      <c r="AI268" s="40">
        <v>483.99542293602906</v>
      </c>
      <c r="AJ268" s="39">
        <v>3.2171666139473927</v>
      </c>
      <c r="AK268" s="28">
        <v>64901.485050381139</v>
      </c>
      <c r="AL268" s="41">
        <f t="shared" si="3"/>
        <v>14.833172284663723</v>
      </c>
      <c r="AM268" s="28">
        <v>1280515.75</v>
      </c>
      <c r="AN268" s="42">
        <v>5.0683863162464919E-2</v>
      </c>
      <c r="AP268" s="30"/>
      <c r="AR268" s="30"/>
    </row>
    <row r="269" spans="1:44" x14ac:dyDescent="0.2">
      <c r="A269" s="3" t="s">
        <v>254</v>
      </c>
      <c r="B269" s="3" t="s">
        <v>1508</v>
      </c>
      <c r="C269" s="3" t="s">
        <v>1805</v>
      </c>
      <c r="D269" s="27"/>
      <c r="E269" s="3" t="s">
        <v>2100</v>
      </c>
      <c r="F269" s="133" t="s">
        <v>1072</v>
      </c>
      <c r="G269" s="3" t="s">
        <v>879</v>
      </c>
      <c r="H269" s="29">
        <v>63.59</v>
      </c>
      <c r="I269" s="30">
        <v>95.025000000000006</v>
      </c>
      <c r="J269" s="30">
        <v>95.197000000000003</v>
      </c>
      <c r="K269" s="31">
        <v>1</v>
      </c>
      <c r="L269" s="31">
        <v>1</v>
      </c>
      <c r="M269" s="4">
        <v>0.53</v>
      </c>
      <c r="N269" s="4">
        <v>0.53</v>
      </c>
      <c r="O269" s="4">
        <v>0.47</v>
      </c>
      <c r="P269" s="4">
        <v>0.47</v>
      </c>
      <c r="Q269" s="32">
        <v>95.025000000000006</v>
      </c>
      <c r="R269" s="32">
        <v>95.197000000000003</v>
      </c>
      <c r="S269" s="32">
        <v>6042.6397500000003</v>
      </c>
      <c r="T269" s="32">
        <v>6053.5772300000008</v>
      </c>
      <c r="U269" s="33">
        <v>3.195487911574339E-4</v>
      </c>
      <c r="V269" s="34">
        <v>3.2131884598686673E-4</v>
      </c>
      <c r="W269" s="34">
        <v>1.7700548294328285E-6</v>
      </c>
      <c r="X269" s="35">
        <v>3.8157603857385332</v>
      </c>
      <c r="Y269" s="36">
        <v>60005.667333519938</v>
      </c>
      <c r="Z269" s="37">
        <v>3.3478519276814339E-4</v>
      </c>
      <c r="AA269" s="38">
        <v>3.3640767583712351E-4</v>
      </c>
      <c r="AB269" s="38">
        <v>1.6224830689801138E-6</v>
      </c>
      <c r="AC269" s="39">
        <v>3.1041771715088189E-2</v>
      </c>
      <c r="AD269" s="40">
        <v>488.15492553999354</v>
      </c>
      <c r="AE269" s="37">
        <v>3.0394981599008954E-4</v>
      </c>
      <c r="AF269" s="38">
        <v>3.0584938139437042E-4</v>
      </c>
      <c r="AG269" s="38">
        <v>1.8995654042808794E-6</v>
      </c>
      <c r="AH269" s="39">
        <v>2.6623686263737494E-2</v>
      </c>
      <c r="AI269" s="40">
        <v>418.67724899728722</v>
      </c>
      <c r="AJ269" s="39">
        <v>3.8734258437173592</v>
      </c>
      <c r="AK269" s="28">
        <v>60912.499508057219</v>
      </c>
      <c r="AL269" s="41">
        <f t="shared" si="3"/>
        <v>13.917713708388334</v>
      </c>
      <c r="AM269" s="28">
        <v>1229316.875</v>
      </c>
      <c r="AN269" s="42">
        <v>4.954987664027407E-2</v>
      </c>
      <c r="AP269" s="30"/>
      <c r="AR269" s="30"/>
    </row>
    <row r="270" spans="1:44" x14ac:dyDescent="0.2">
      <c r="A270" s="3" t="s">
        <v>887</v>
      </c>
      <c r="B270" s="3" t="s">
        <v>974</v>
      </c>
      <c r="C270" s="3" t="s">
        <v>1806</v>
      </c>
      <c r="D270" s="27"/>
      <c r="E270" s="3" t="s">
        <v>775</v>
      </c>
      <c r="F270" s="133" t="s">
        <v>1052</v>
      </c>
      <c r="G270" s="3" t="s">
        <v>879</v>
      </c>
      <c r="H270" s="29">
        <v>10.26</v>
      </c>
      <c r="I270" s="30">
        <v>1315.107</v>
      </c>
      <c r="J270" s="30">
        <v>1315.38</v>
      </c>
      <c r="K270" s="31">
        <v>1</v>
      </c>
      <c r="L270" s="31">
        <v>1</v>
      </c>
      <c r="M270" s="4">
        <v>0</v>
      </c>
      <c r="N270" s="4">
        <v>0</v>
      </c>
      <c r="O270" s="4">
        <v>1</v>
      </c>
      <c r="P270" s="4">
        <v>1</v>
      </c>
      <c r="Q270" s="32">
        <v>1315.107</v>
      </c>
      <c r="R270" s="32">
        <v>1315.38</v>
      </c>
      <c r="S270" s="32">
        <v>13492.997819999999</v>
      </c>
      <c r="T270" s="32">
        <v>13495.7988</v>
      </c>
      <c r="U270" s="33">
        <v>7.1354098884860557E-4</v>
      </c>
      <c r="V270" s="34">
        <v>7.1634577892168742E-4</v>
      </c>
      <c r="W270" s="34">
        <v>2.8047900730818502E-6</v>
      </c>
      <c r="X270" s="35">
        <v>6.0463702441396903</v>
      </c>
      <c r="Y270" s="36">
        <v>589314.83861010626</v>
      </c>
      <c r="Z270" s="37">
        <v>0</v>
      </c>
      <c r="AA270" s="38">
        <v>0</v>
      </c>
      <c r="AB270" s="38">
        <v>0</v>
      </c>
      <c r="AC270" s="39">
        <v>0</v>
      </c>
      <c r="AD270" s="40">
        <v>0</v>
      </c>
      <c r="AE270" s="37">
        <v>1.4440617804578504E-3</v>
      </c>
      <c r="AF270" s="38">
        <v>1.4507622825861168E-3</v>
      </c>
      <c r="AG270" s="38">
        <v>6.7005021282663755E-6</v>
      </c>
      <c r="AH270" s="39">
        <v>9.3912042233683143E-2</v>
      </c>
      <c r="AI270" s="40">
        <v>9153.2204906123934</v>
      </c>
      <c r="AJ270" s="39">
        <v>6.140282286373373</v>
      </c>
      <c r="AK270" s="28">
        <v>598468.0591007187</v>
      </c>
      <c r="AL270" s="41">
        <f t="shared" si="3"/>
        <v>136.68567607611354</v>
      </c>
      <c r="AM270" s="28">
        <v>12181531</v>
      </c>
      <c r="AN270" s="42">
        <v>4.912913320178873E-2</v>
      </c>
      <c r="AP270" s="30"/>
      <c r="AR270" s="30"/>
    </row>
    <row r="271" spans="1:44" x14ac:dyDescent="0.2">
      <c r="A271" s="3" t="s">
        <v>1123</v>
      </c>
      <c r="B271" s="3" t="s">
        <v>357</v>
      </c>
      <c r="C271" s="3" t="s">
        <v>1807</v>
      </c>
      <c r="D271" s="27"/>
      <c r="E271" s="3" t="s">
        <v>662</v>
      </c>
      <c r="F271" s="133" t="s">
        <v>1071</v>
      </c>
      <c r="G271" s="3" t="s">
        <v>881</v>
      </c>
      <c r="H271" s="29">
        <v>69.430000000000007</v>
      </c>
      <c r="I271" s="30">
        <v>142.767</v>
      </c>
      <c r="J271" s="30">
        <v>142.708</v>
      </c>
      <c r="K271" s="31">
        <v>1</v>
      </c>
      <c r="L271" s="31">
        <v>1</v>
      </c>
      <c r="M271" s="4">
        <v>0.48</v>
      </c>
      <c r="N271" s="4">
        <v>0.48</v>
      </c>
      <c r="O271" s="4">
        <v>0.52</v>
      </c>
      <c r="P271" s="4">
        <v>0.52</v>
      </c>
      <c r="Q271" s="32">
        <v>142.767</v>
      </c>
      <c r="R271" s="32">
        <v>142.708</v>
      </c>
      <c r="S271" s="32">
        <v>9912.3128100000013</v>
      </c>
      <c r="T271" s="32">
        <v>9908.2164400000001</v>
      </c>
      <c r="U271" s="33">
        <v>5.2418606884678954E-4</v>
      </c>
      <c r="V271" s="34">
        <v>5.259198902280959E-4</v>
      </c>
      <c r="W271" s="34">
        <v>1.7338213813063597E-6</v>
      </c>
      <c r="X271" s="35">
        <v>3.7376508528016394</v>
      </c>
      <c r="Y271" s="36">
        <v>53833.369621224818</v>
      </c>
      <c r="Z271" s="37">
        <v>4.9737036474657443E-4</v>
      </c>
      <c r="AA271" s="38">
        <v>4.9867163056240406E-4</v>
      </c>
      <c r="AB271" s="38">
        <v>1.3012658158296272E-6</v>
      </c>
      <c r="AC271" s="39">
        <v>2.4896158960242665E-2</v>
      </c>
      <c r="AD271" s="40">
        <v>358.57927351638574</v>
      </c>
      <c r="AE271" s="37">
        <v>5.5163989377485549E-4</v>
      </c>
      <c r="AF271" s="38">
        <v>5.5385552157185972E-4</v>
      </c>
      <c r="AG271" s="38">
        <v>2.2156277970042338E-6</v>
      </c>
      <c r="AH271" s="39">
        <v>3.1053513193975969E-2</v>
      </c>
      <c r="AI271" s="40">
        <v>447.26362082638576</v>
      </c>
      <c r="AJ271" s="39">
        <v>3.793600524955858</v>
      </c>
      <c r="AK271" s="28">
        <v>54639.212515567589</v>
      </c>
      <c r="AL271" s="41">
        <f t="shared" si="3"/>
        <v>12.486111056505541</v>
      </c>
      <c r="AM271" s="28">
        <v>1121667.75</v>
      </c>
      <c r="AN271" s="42">
        <v>4.8712475254430371E-2</v>
      </c>
      <c r="AP271" s="30"/>
      <c r="AR271" s="30"/>
    </row>
    <row r="272" spans="1:44" x14ac:dyDescent="0.2">
      <c r="A272" s="3" t="s">
        <v>1154</v>
      </c>
      <c r="B272" s="3" t="s">
        <v>390</v>
      </c>
      <c r="C272" s="3" t="s">
        <v>1808</v>
      </c>
      <c r="D272" s="27"/>
      <c r="E272" s="3" t="s">
        <v>1343</v>
      </c>
      <c r="F272" s="133" t="s">
        <v>1053</v>
      </c>
      <c r="G272" s="3" t="s">
        <v>879</v>
      </c>
      <c r="H272" s="29">
        <v>64.41</v>
      </c>
      <c r="I272" s="30">
        <v>206.5</v>
      </c>
      <c r="J272" s="30">
        <v>206.9</v>
      </c>
      <c r="K272" s="31">
        <v>0.79</v>
      </c>
      <c r="L272" s="31">
        <v>0.79</v>
      </c>
      <c r="M272" s="4">
        <v>0.68</v>
      </c>
      <c r="N272" s="4">
        <v>0.68</v>
      </c>
      <c r="O272" s="4">
        <v>0.32</v>
      </c>
      <c r="P272" s="4">
        <v>0.32</v>
      </c>
      <c r="Q272" s="32">
        <v>163.13500000000002</v>
      </c>
      <c r="R272" s="32">
        <v>163.45100000000002</v>
      </c>
      <c r="S272" s="32">
        <v>10507.52535</v>
      </c>
      <c r="T272" s="32">
        <v>10527.878910000001</v>
      </c>
      <c r="U272" s="33">
        <v>5.5566228710698701E-4</v>
      </c>
      <c r="V272" s="34">
        <v>5.588110589035423E-4</v>
      </c>
      <c r="W272" s="34">
        <v>3.148771796555286E-6</v>
      </c>
      <c r="X272" s="35">
        <v>6.7879019820399105</v>
      </c>
      <c r="Y272" s="36">
        <v>105385.84042912452</v>
      </c>
      <c r="Z272" s="37">
        <v>7.4691817535003219E-4</v>
      </c>
      <c r="AA272" s="38">
        <v>7.5063313834433155E-4</v>
      </c>
      <c r="AB272" s="38">
        <v>3.7149629942993595E-6</v>
      </c>
      <c r="AC272" s="39">
        <v>7.1075646583807037E-2</v>
      </c>
      <c r="AD272" s="40">
        <v>1103.4877594132438</v>
      </c>
      <c r="AE272" s="37">
        <v>3.5985517152041166E-4</v>
      </c>
      <c r="AF272" s="38">
        <v>3.6215002584684273E-4</v>
      </c>
      <c r="AG272" s="38">
        <v>2.2948543264310665E-6</v>
      </c>
      <c r="AH272" s="39">
        <v>3.2163926269762257E-2</v>
      </c>
      <c r="AI272" s="40">
        <v>499.36230817826822</v>
      </c>
      <c r="AJ272" s="39">
        <v>6.8911415548934798</v>
      </c>
      <c r="AK272" s="28">
        <v>106988.69049671604</v>
      </c>
      <c r="AL272" s="41">
        <f t="shared" si="3"/>
        <v>24.4431904716293</v>
      </c>
      <c r="AM272" s="28">
        <v>2209455.5</v>
      </c>
      <c r="AN272" s="42">
        <v>4.842310265887502E-2</v>
      </c>
      <c r="AP272" s="30"/>
      <c r="AR272" s="30"/>
    </row>
    <row r="273" spans="1:44" x14ac:dyDescent="0.2">
      <c r="A273" s="3" t="s">
        <v>1165</v>
      </c>
      <c r="B273" s="3" t="s">
        <v>401</v>
      </c>
      <c r="C273" s="3" t="s">
        <v>1809</v>
      </c>
      <c r="D273" s="27"/>
      <c r="E273" s="3" t="s">
        <v>696</v>
      </c>
      <c r="F273" s="133" t="s">
        <v>1064</v>
      </c>
      <c r="G273" s="3" t="s">
        <v>879</v>
      </c>
      <c r="H273" s="29">
        <v>72.61</v>
      </c>
      <c r="I273" s="30">
        <v>172.73699999999999</v>
      </c>
      <c r="J273" s="30">
        <v>172.74700000000001</v>
      </c>
      <c r="K273" s="31">
        <v>1</v>
      </c>
      <c r="L273" s="31">
        <v>1</v>
      </c>
      <c r="M273" s="4">
        <v>0</v>
      </c>
      <c r="N273" s="4">
        <v>0</v>
      </c>
      <c r="O273" s="4">
        <v>1</v>
      </c>
      <c r="P273" s="4">
        <v>1</v>
      </c>
      <c r="Q273" s="32">
        <v>172.73699999999999</v>
      </c>
      <c r="R273" s="32">
        <v>172.74700000000001</v>
      </c>
      <c r="S273" s="32">
        <v>12542.433569999999</v>
      </c>
      <c r="T273" s="32">
        <v>12543.159670000001</v>
      </c>
      <c r="U273" s="33">
        <v>6.6327294879128243E-4</v>
      </c>
      <c r="V273" s="34">
        <v>6.657804859942966E-4</v>
      </c>
      <c r="W273" s="34">
        <v>2.5075372030141773E-6</v>
      </c>
      <c r="X273" s="35">
        <v>5.4055732997225778</v>
      </c>
      <c r="Y273" s="36">
        <v>74446.678139685697</v>
      </c>
      <c r="Z273" s="37">
        <v>0</v>
      </c>
      <c r="AA273" s="38">
        <v>0</v>
      </c>
      <c r="AB273" s="38">
        <v>0</v>
      </c>
      <c r="AC273" s="39">
        <v>0</v>
      </c>
      <c r="AD273" s="40">
        <v>0</v>
      </c>
      <c r="AE273" s="37">
        <v>1.3423294951935682E-3</v>
      </c>
      <c r="AF273" s="38">
        <v>1.3483561235138838E-3</v>
      </c>
      <c r="AG273" s="38">
        <v>6.0266283203156031E-6</v>
      </c>
      <c r="AH273" s="39">
        <v>8.4467247753956656E-2</v>
      </c>
      <c r="AI273" s="40">
        <v>1163.3004786387089</v>
      </c>
      <c r="AJ273" s="39">
        <v>5.4900405474765348</v>
      </c>
      <c r="AK273" s="28">
        <v>75609.9786183244</v>
      </c>
      <c r="AL273" s="41">
        <f t="shared" si="3"/>
        <v>17.267161568752083</v>
      </c>
      <c r="AM273" s="28">
        <v>1586483</v>
      </c>
      <c r="AN273" s="42">
        <v>4.7658864682649862E-2</v>
      </c>
      <c r="AP273" s="30"/>
      <c r="AR273" s="30"/>
    </row>
    <row r="274" spans="1:44" x14ac:dyDescent="0.2">
      <c r="A274" s="3" t="s">
        <v>724</v>
      </c>
      <c r="B274" s="3" t="s">
        <v>154</v>
      </c>
      <c r="C274" s="3" t="s">
        <v>1810</v>
      </c>
      <c r="D274" s="27"/>
      <c r="E274" s="3" t="s">
        <v>595</v>
      </c>
      <c r="F274" s="133" t="s">
        <v>1070</v>
      </c>
      <c r="G274" s="3" t="s">
        <v>879</v>
      </c>
      <c r="H274" s="29">
        <v>27.19</v>
      </c>
      <c r="I274" s="30">
        <v>377.517</v>
      </c>
      <c r="J274" s="30">
        <v>377.798</v>
      </c>
      <c r="K274" s="31">
        <v>1</v>
      </c>
      <c r="L274" s="31">
        <v>1</v>
      </c>
      <c r="M274" s="4">
        <v>1</v>
      </c>
      <c r="N274" s="4">
        <v>1</v>
      </c>
      <c r="O274" s="4">
        <v>0</v>
      </c>
      <c r="P274" s="4">
        <v>0</v>
      </c>
      <c r="Q274" s="32">
        <v>377.517</v>
      </c>
      <c r="R274" s="32">
        <v>377.798</v>
      </c>
      <c r="S274" s="32">
        <v>10264.68723</v>
      </c>
      <c r="T274" s="32">
        <v>10272.32762</v>
      </c>
      <c r="U274" s="33">
        <v>5.4282044465014619E-4</v>
      </c>
      <c r="V274" s="34">
        <v>5.4524660891415054E-4</v>
      </c>
      <c r="W274" s="34">
        <v>2.4261642640043424E-6</v>
      </c>
      <c r="X274" s="35">
        <v>5.2301552098522555</v>
      </c>
      <c r="Y274" s="36">
        <v>192355.83706701931</v>
      </c>
      <c r="Z274" s="37">
        <v>1.0730238848420104E-3</v>
      </c>
      <c r="AA274" s="38">
        <v>1.0770771230953541E-3</v>
      </c>
      <c r="AB274" s="38">
        <v>4.0532382533436592E-6</v>
      </c>
      <c r="AC274" s="39">
        <v>7.7547617582380324E-2</v>
      </c>
      <c r="AD274" s="40">
        <v>2852.0639051997173</v>
      </c>
      <c r="AE274" s="37">
        <v>0</v>
      </c>
      <c r="AF274" s="38">
        <v>0</v>
      </c>
      <c r="AG274" s="38">
        <v>0</v>
      </c>
      <c r="AH274" s="39">
        <v>0</v>
      </c>
      <c r="AI274" s="40">
        <v>0</v>
      </c>
      <c r="AJ274" s="39">
        <v>5.3077028274346354</v>
      </c>
      <c r="AK274" s="28">
        <v>195207.90097221904</v>
      </c>
      <c r="AL274" s="41">
        <f t="shared" si="3"/>
        <v>44.615010371539952</v>
      </c>
      <c r="AM274" s="28">
        <v>4157555.25</v>
      </c>
      <c r="AN274" s="42">
        <v>4.6952569294712088E-2</v>
      </c>
      <c r="AP274" s="30"/>
      <c r="AR274" s="30"/>
    </row>
    <row r="275" spans="1:44" x14ac:dyDescent="0.2">
      <c r="A275" s="3" t="s">
        <v>253</v>
      </c>
      <c r="B275" s="3" t="s">
        <v>533</v>
      </c>
      <c r="C275" s="3" t="s">
        <v>1811</v>
      </c>
      <c r="D275" s="27"/>
      <c r="E275" s="3" t="s">
        <v>98</v>
      </c>
      <c r="F275" s="133" t="s">
        <v>1068</v>
      </c>
      <c r="G275" s="3" t="s">
        <v>881</v>
      </c>
      <c r="H275" s="29">
        <v>155.13</v>
      </c>
      <c r="I275" s="30">
        <v>58.146000000000001</v>
      </c>
      <c r="J275" s="30">
        <v>58.087000000000003</v>
      </c>
      <c r="K275" s="31">
        <v>1</v>
      </c>
      <c r="L275" s="31">
        <v>1</v>
      </c>
      <c r="M275" s="4">
        <v>1</v>
      </c>
      <c r="N275" s="4">
        <v>1</v>
      </c>
      <c r="O275" s="4">
        <v>0</v>
      </c>
      <c r="P275" s="4">
        <v>0</v>
      </c>
      <c r="Q275" s="32">
        <v>58.146000000000001</v>
      </c>
      <c r="R275" s="32">
        <v>58.087000000000003</v>
      </c>
      <c r="S275" s="32">
        <v>9020.188979999999</v>
      </c>
      <c r="T275" s="32">
        <v>9011.0363099999995</v>
      </c>
      <c r="U275" s="33">
        <v>4.7700849360920555E-4</v>
      </c>
      <c r="V275" s="34">
        <v>4.7829831490808512E-4</v>
      </c>
      <c r="W275" s="34">
        <v>1.2898212988795665E-6</v>
      </c>
      <c r="X275" s="35">
        <v>2.7805065329662666</v>
      </c>
      <c r="Y275" s="36">
        <v>17923.719028983862</v>
      </c>
      <c r="Z275" s="37">
        <v>9.4292967768572623E-4</v>
      </c>
      <c r="AA275" s="38">
        <v>9.4482783492866979E-4</v>
      </c>
      <c r="AB275" s="38">
        <v>1.8981572429435612E-6</v>
      </c>
      <c r="AC275" s="39">
        <v>3.6316042331235823E-2</v>
      </c>
      <c r="AD275" s="40">
        <v>234.10070477171291</v>
      </c>
      <c r="AE275" s="37">
        <v>0</v>
      </c>
      <c r="AF275" s="38">
        <v>0</v>
      </c>
      <c r="AG275" s="38">
        <v>0</v>
      </c>
      <c r="AH275" s="39">
        <v>0</v>
      </c>
      <c r="AI275" s="40">
        <v>0</v>
      </c>
      <c r="AJ275" s="39">
        <v>2.8168225752975022</v>
      </c>
      <c r="AK275" s="28">
        <v>18157.819733755576</v>
      </c>
      <c r="AL275" s="41">
        <f t="shared" si="3"/>
        <v>4.1572271607025284</v>
      </c>
      <c r="AM275" s="28">
        <v>388185.84375</v>
      </c>
      <c r="AN275" s="42">
        <v>4.6776099711275408E-2</v>
      </c>
      <c r="AP275" s="30"/>
      <c r="AR275" s="30"/>
    </row>
    <row r="276" spans="1:44" x14ac:dyDescent="0.2">
      <c r="A276" s="3" t="s">
        <v>260</v>
      </c>
      <c r="B276" s="3" t="s">
        <v>539</v>
      </c>
      <c r="C276" s="3" t="s">
        <v>1812</v>
      </c>
      <c r="D276" s="27"/>
      <c r="E276" s="3" t="s">
        <v>103</v>
      </c>
      <c r="F276" s="133" t="s">
        <v>1053</v>
      </c>
      <c r="G276" s="3" t="s">
        <v>879</v>
      </c>
      <c r="H276" s="29">
        <v>78.25</v>
      </c>
      <c r="I276" s="30">
        <v>284.27699999999999</v>
      </c>
      <c r="J276" s="30">
        <v>284.92899999999997</v>
      </c>
      <c r="K276" s="31">
        <v>1</v>
      </c>
      <c r="L276" s="31">
        <v>1</v>
      </c>
      <c r="M276" s="4">
        <v>0.51</v>
      </c>
      <c r="N276" s="4">
        <v>0.51</v>
      </c>
      <c r="O276" s="4">
        <v>0.49</v>
      </c>
      <c r="P276" s="4">
        <v>0.49</v>
      </c>
      <c r="Q276" s="32">
        <v>284.27699999999999</v>
      </c>
      <c r="R276" s="32">
        <v>284.92899999999997</v>
      </c>
      <c r="S276" s="32">
        <v>22244.67525</v>
      </c>
      <c r="T276" s="32">
        <v>22295.694249999997</v>
      </c>
      <c r="U276" s="33">
        <v>1.1763499695356138E-3</v>
      </c>
      <c r="V276" s="34">
        <v>1.1834369125387401E-3</v>
      </c>
      <c r="W276" s="34">
        <v>7.0869430031262216E-6</v>
      </c>
      <c r="X276" s="35">
        <v>15.277535993605856</v>
      </c>
      <c r="Y276" s="36">
        <v>195240.076595602</v>
      </c>
      <c r="Z276" s="37">
        <v>1.1859323457866333E-3</v>
      </c>
      <c r="AA276" s="38">
        <v>1.1922548993140321E-3</v>
      </c>
      <c r="AB276" s="38">
        <v>6.3225535273988415E-6</v>
      </c>
      <c r="AC276" s="39">
        <v>0.12096475273379012</v>
      </c>
      <c r="AD276" s="40">
        <v>1545.8754342976372</v>
      </c>
      <c r="AE276" s="37">
        <v>1.1665395659375142E-3</v>
      </c>
      <c r="AF276" s="38">
        <v>1.1743964809379311E-3</v>
      </c>
      <c r="AG276" s="38">
        <v>7.856915000416893E-6</v>
      </c>
      <c r="AH276" s="39">
        <v>0.11011994612059268</v>
      </c>
      <c r="AI276" s="40">
        <v>1407.2836564931972</v>
      </c>
      <c r="AJ276" s="39">
        <v>15.508620692460239</v>
      </c>
      <c r="AK276" s="28">
        <v>198193.23568639284</v>
      </c>
      <c r="AL276" s="41">
        <f t="shared" ref="AL276:AL339" si="4">+$AL$6*W276/H276*10^6</f>
        <v>45.283980850646785</v>
      </c>
      <c r="AM276" s="28">
        <v>4277865</v>
      </c>
      <c r="AN276" s="42">
        <v>4.6329941614892671E-2</v>
      </c>
      <c r="AP276" s="30"/>
      <c r="AR276" s="30"/>
    </row>
    <row r="277" spans="1:44" x14ac:dyDescent="0.2">
      <c r="A277" s="3" t="s">
        <v>1449</v>
      </c>
      <c r="B277" s="3" t="s">
        <v>1509</v>
      </c>
      <c r="C277" s="3" t="s">
        <v>1813</v>
      </c>
      <c r="D277" s="27"/>
      <c r="E277" s="3" t="s">
        <v>2101</v>
      </c>
      <c r="F277" s="133" t="s">
        <v>1056</v>
      </c>
      <c r="G277" s="3" t="s">
        <v>879</v>
      </c>
      <c r="H277" s="29">
        <v>57.87</v>
      </c>
      <c r="I277" s="30">
        <v>127.53100000000001</v>
      </c>
      <c r="J277" s="30">
        <v>127.896</v>
      </c>
      <c r="K277" s="31">
        <v>1</v>
      </c>
      <c r="L277" s="31">
        <v>1</v>
      </c>
      <c r="M277" s="4">
        <v>1</v>
      </c>
      <c r="N277" s="4">
        <v>1</v>
      </c>
      <c r="O277" s="4">
        <v>0</v>
      </c>
      <c r="P277" s="4">
        <v>0</v>
      </c>
      <c r="Q277" s="32">
        <v>127.53100000000001</v>
      </c>
      <c r="R277" s="32">
        <v>127.896</v>
      </c>
      <c r="S277" s="32">
        <v>7380.2189699999999</v>
      </c>
      <c r="T277" s="32">
        <v>7401.3415199999999</v>
      </c>
      <c r="U277" s="33">
        <v>3.9028307956645304E-4</v>
      </c>
      <c r="V277" s="34">
        <v>3.9285705387144814E-4</v>
      </c>
      <c r="W277" s="34">
        <v>2.5739743049950988E-6</v>
      </c>
      <c r="X277" s="35">
        <v>5.5487937568896033</v>
      </c>
      <c r="Y277" s="36">
        <v>95883.769775178909</v>
      </c>
      <c r="Z277" s="37">
        <v>7.7149464496387783E-4</v>
      </c>
      <c r="AA277" s="38">
        <v>7.7604764239478134E-4</v>
      </c>
      <c r="AB277" s="38">
        <v>4.5529974309035026E-6</v>
      </c>
      <c r="AC277" s="39">
        <v>8.7109141273400748E-2</v>
      </c>
      <c r="AD277" s="40">
        <v>1505.2555948401719</v>
      </c>
      <c r="AE277" s="37">
        <v>0</v>
      </c>
      <c r="AF277" s="38">
        <v>0</v>
      </c>
      <c r="AG277" s="38">
        <v>0</v>
      </c>
      <c r="AH277" s="39">
        <v>0</v>
      </c>
      <c r="AI277" s="40">
        <v>0</v>
      </c>
      <c r="AJ277" s="39">
        <v>5.6359028981630042</v>
      </c>
      <c r="AK277" s="28">
        <v>97389.025370019081</v>
      </c>
      <c r="AL277" s="41">
        <f t="shared" si="4"/>
        <v>22.239280326551743</v>
      </c>
      <c r="AM277" s="28">
        <v>2103467</v>
      </c>
      <c r="AN277" s="42">
        <v>4.6299288446179129E-2</v>
      </c>
      <c r="AP277" s="30"/>
      <c r="AR277" s="30"/>
    </row>
    <row r="278" spans="1:44" x14ac:dyDescent="0.2">
      <c r="A278" s="3" t="s">
        <v>1272</v>
      </c>
      <c r="B278" s="3" t="s">
        <v>1256</v>
      </c>
      <c r="C278" s="3" t="s">
        <v>1814</v>
      </c>
      <c r="D278" s="27"/>
      <c r="E278" s="3" t="s">
        <v>1263</v>
      </c>
      <c r="F278" s="133" t="s">
        <v>1058</v>
      </c>
      <c r="G278" s="3" t="s">
        <v>879</v>
      </c>
      <c r="H278" s="29">
        <v>12.52</v>
      </c>
      <c r="I278" s="30">
        <v>314.91000000000003</v>
      </c>
      <c r="J278" s="30">
        <v>315.27999999999997</v>
      </c>
      <c r="K278" s="31">
        <v>1</v>
      </c>
      <c r="L278" s="31">
        <v>1</v>
      </c>
      <c r="M278" s="4">
        <v>0</v>
      </c>
      <c r="N278" s="4">
        <v>0</v>
      </c>
      <c r="O278" s="4">
        <v>1</v>
      </c>
      <c r="P278" s="4">
        <v>1</v>
      </c>
      <c r="Q278" s="32">
        <v>314.91000000000003</v>
      </c>
      <c r="R278" s="32">
        <v>315.27999999999997</v>
      </c>
      <c r="S278" s="32">
        <v>3942.6732000000002</v>
      </c>
      <c r="T278" s="32">
        <v>3947.3055999999997</v>
      </c>
      <c r="U278" s="33">
        <v>2.0849769423848439E-4</v>
      </c>
      <c r="V278" s="34">
        <v>2.0951969917289655E-4</v>
      </c>
      <c r="W278" s="34">
        <v>1.0220049344121637E-6</v>
      </c>
      <c r="X278" s="35">
        <v>2.2031667482350339</v>
      </c>
      <c r="Y278" s="36">
        <v>175971.78500279825</v>
      </c>
      <c r="Z278" s="37">
        <v>0</v>
      </c>
      <c r="AA278" s="38">
        <v>0</v>
      </c>
      <c r="AB278" s="38">
        <v>0</v>
      </c>
      <c r="AC278" s="39">
        <v>0</v>
      </c>
      <c r="AD278" s="40">
        <v>0</v>
      </c>
      <c r="AE278" s="37">
        <v>4.2195691105176893E-4</v>
      </c>
      <c r="AF278" s="38">
        <v>4.2432479671532746E-4</v>
      </c>
      <c r="AG278" s="38">
        <v>2.3678856635585234E-6</v>
      </c>
      <c r="AH278" s="39">
        <v>3.3187509560298513E-2</v>
      </c>
      <c r="AI278" s="40">
        <v>2650.7595495446099</v>
      </c>
      <c r="AJ278" s="39">
        <v>2.2363542577953326</v>
      </c>
      <c r="AK278" s="28">
        <v>178622.54455234285</v>
      </c>
      <c r="AL278" s="41">
        <f t="shared" si="4"/>
        <v>40.814893546811646</v>
      </c>
      <c r="AM278" s="28">
        <v>3884887.25</v>
      </c>
      <c r="AN278" s="42">
        <v>4.5978823337110453E-2</v>
      </c>
      <c r="AP278" s="30"/>
      <c r="AR278" s="30"/>
    </row>
    <row r="279" spans="1:44" x14ac:dyDescent="0.2">
      <c r="A279" s="3" t="s">
        <v>257</v>
      </c>
      <c r="B279" s="3" t="s">
        <v>536</v>
      </c>
      <c r="C279" s="3" t="s">
        <v>1815</v>
      </c>
      <c r="D279" s="27"/>
      <c r="E279" s="3" t="s">
        <v>100</v>
      </c>
      <c r="F279" s="133" t="s">
        <v>1067</v>
      </c>
      <c r="G279" s="3" t="s">
        <v>879</v>
      </c>
      <c r="H279" s="29">
        <v>84.68</v>
      </c>
      <c r="I279" s="30">
        <v>84.912999999999997</v>
      </c>
      <c r="J279" s="30">
        <v>85.042000000000002</v>
      </c>
      <c r="K279" s="31">
        <v>1</v>
      </c>
      <c r="L279" s="31">
        <v>1</v>
      </c>
      <c r="M279" s="4">
        <v>1</v>
      </c>
      <c r="N279" s="4">
        <v>1</v>
      </c>
      <c r="O279" s="4">
        <v>0</v>
      </c>
      <c r="P279" s="4">
        <v>0</v>
      </c>
      <c r="Q279" s="32">
        <v>84.912999999999997</v>
      </c>
      <c r="R279" s="32">
        <v>85.042000000000002</v>
      </c>
      <c r="S279" s="32">
        <v>7190.4328400000004</v>
      </c>
      <c r="T279" s="32">
        <v>7201.3565600000011</v>
      </c>
      <c r="U279" s="33">
        <v>3.8024674926561927E-4</v>
      </c>
      <c r="V279" s="34">
        <v>3.8224201847659463E-4</v>
      </c>
      <c r="W279" s="34">
        <v>1.9952692109753679E-6</v>
      </c>
      <c r="X279" s="35">
        <v>4.301261795694284</v>
      </c>
      <c r="Y279" s="36">
        <v>50794.305570315111</v>
      </c>
      <c r="Z279" s="37">
        <v>7.5165526301889762E-4</v>
      </c>
      <c r="AA279" s="38">
        <v>7.5507876042885179E-4</v>
      </c>
      <c r="AB279" s="38">
        <v>3.4234974099541654E-6</v>
      </c>
      <c r="AC279" s="39">
        <v>6.5499250561544944E-2</v>
      </c>
      <c r="AD279" s="40">
        <v>773.49138594172098</v>
      </c>
      <c r="AE279" s="37">
        <v>0</v>
      </c>
      <c r="AF279" s="38">
        <v>0</v>
      </c>
      <c r="AG279" s="38">
        <v>0</v>
      </c>
      <c r="AH279" s="39">
        <v>0</v>
      </c>
      <c r="AI279" s="40">
        <v>0</v>
      </c>
      <c r="AJ279" s="39">
        <v>4.3667610462558288</v>
      </c>
      <c r="AK279" s="28">
        <v>51567.796956256832</v>
      </c>
      <c r="AL279" s="41">
        <f t="shared" si="4"/>
        <v>11.781230579684504</v>
      </c>
      <c r="AM279" s="28">
        <v>1125039.625</v>
      </c>
      <c r="AN279" s="42">
        <v>4.5836427278067499E-2</v>
      </c>
      <c r="AP279" s="30"/>
      <c r="AR279" s="30"/>
    </row>
    <row r="280" spans="1:44" x14ac:dyDescent="0.2">
      <c r="A280" s="3" t="s">
        <v>1132</v>
      </c>
      <c r="B280" s="3" t="s">
        <v>367</v>
      </c>
      <c r="C280" s="3" t="s">
        <v>1816</v>
      </c>
      <c r="D280" s="27"/>
      <c r="E280" s="3" t="s">
        <v>669</v>
      </c>
      <c r="F280" s="133" t="s">
        <v>1064</v>
      </c>
      <c r="G280" s="3" t="s">
        <v>879</v>
      </c>
      <c r="H280" s="29">
        <v>25.16</v>
      </c>
      <c r="I280" s="30">
        <v>465</v>
      </c>
      <c r="J280" s="30">
        <v>465.14800000000002</v>
      </c>
      <c r="K280" s="31">
        <v>1</v>
      </c>
      <c r="L280" s="31">
        <v>1</v>
      </c>
      <c r="M280" s="4">
        <v>0.42</v>
      </c>
      <c r="N280" s="4">
        <v>0.42</v>
      </c>
      <c r="O280" s="4">
        <v>0.57999999999999996</v>
      </c>
      <c r="P280" s="4">
        <v>0.57999999999999996</v>
      </c>
      <c r="Q280" s="32">
        <v>465</v>
      </c>
      <c r="R280" s="32">
        <v>465.14800000000002</v>
      </c>
      <c r="S280" s="32">
        <v>11699.4</v>
      </c>
      <c r="T280" s="32">
        <v>11703.123680000001</v>
      </c>
      <c r="U280" s="33">
        <v>6.1869138024772728E-4</v>
      </c>
      <c r="V280" s="34">
        <v>6.2119207411171873E-4</v>
      </c>
      <c r="W280" s="34">
        <v>2.5006938639914435E-6</v>
      </c>
      <c r="X280" s="35">
        <v>5.3908209081497738</v>
      </c>
      <c r="Y280" s="36">
        <v>214261.56232709752</v>
      </c>
      <c r="Z280" s="37">
        <v>5.1366094747483685E-4</v>
      </c>
      <c r="AA280" s="38">
        <v>5.1538173677165842E-4</v>
      </c>
      <c r="AB280" s="38">
        <v>1.7207892968215633E-6</v>
      </c>
      <c r="AC280" s="39">
        <v>3.2922592255634077E-2</v>
      </c>
      <c r="AD280" s="40">
        <v>1308.5291039600188</v>
      </c>
      <c r="AE280" s="37">
        <v>7.2622117333799249E-4</v>
      </c>
      <c r="AF280" s="38">
        <v>7.2967161051356016E-4</v>
      </c>
      <c r="AG280" s="38">
        <v>3.4504371755676678E-6</v>
      </c>
      <c r="AH280" s="39">
        <v>4.8360196826087665E-2</v>
      </c>
      <c r="AI280" s="40">
        <v>1922.10639213385</v>
      </c>
      <c r="AJ280" s="39">
        <v>5.4721036972314954</v>
      </c>
      <c r="AK280" s="28">
        <v>217492.19782319141</v>
      </c>
      <c r="AL280" s="41">
        <f t="shared" si="4"/>
        <v>49.695824006189262</v>
      </c>
      <c r="AM280" s="28">
        <v>4776439</v>
      </c>
      <c r="AN280" s="42">
        <v>4.5534381957603016E-2</v>
      </c>
      <c r="AP280" s="30"/>
      <c r="AR280" s="30"/>
    </row>
    <row r="281" spans="1:44" x14ac:dyDescent="0.2">
      <c r="A281" s="3" t="s">
        <v>1199</v>
      </c>
      <c r="B281" s="3" t="s">
        <v>434</v>
      </c>
      <c r="C281" s="3" t="s">
        <v>1817</v>
      </c>
      <c r="D281" s="27"/>
      <c r="E281" s="3" t="s">
        <v>10</v>
      </c>
      <c r="F281" s="133" t="s">
        <v>1057</v>
      </c>
      <c r="G281" s="3" t="s">
        <v>879</v>
      </c>
      <c r="H281" s="29">
        <v>38.4</v>
      </c>
      <c r="I281" s="30">
        <v>529.86</v>
      </c>
      <c r="J281" s="30">
        <v>529.86099999999999</v>
      </c>
      <c r="K281" s="31">
        <v>0.51</v>
      </c>
      <c r="L281" s="31">
        <v>0.51</v>
      </c>
      <c r="M281" s="4">
        <v>1</v>
      </c>
      <c r="N281" s="4">
        <v>1</v>
      </c>
      <c r="O281" s="4">
        <v>0</v>
      </c>
      <c r="P281" s="4">
        <v>0</v>
      </c>
      <c r="Q281" s="32">
        <v>270.22860000000003</v>
      </c>
      <c r="R281" s="32">
        <v>270.22910999999999</v>
      </c>
      <c r="S281" s="32">
        <v>10376.778240000001</v>
      </c>
      <c r="T281" s="32">
        <v>10376.797823999999</v>
      </c>
      <c r="U281" s="33">
        <v>5.4874807698088656E-4</v>
      </c>
      <c r="V281" s="34">
        <v>5.5079180047839409E-4</v>
      </c>
      <c r="W281" s="34">
        <v>2.0437234975075307E-6</v>
      </c>
      <c r="X281" s="35">
        <v>4.405716157217026</v>
      </c>
      <c r="Y281" s="36">
        <v>114732.19159419338</v>
      </c>
      <c r="Z281" s="37">
        <v>1.0847413710460265E-3</v>
      </c>
      <c r="AA281" s="38">
        <v>1.0880310637148517E-3</v>
      </c>
      <c r="AB281" s="38">
        <v>3.2896926688251449E-6</v>
      </c>
      <c r="AC281" s="39">
        <v>6.2939263152163583E-2</v>
      </c>
      <c r="AD281" s="40">
        <v>1639.0433112542601</v>
      </c>
      <c r="AE281" s="37">
        <v>0</v>
      </c>
      <c r="AF281" s="38">
        <v>0</v>
      </c>
      <c r="AG281" s="38">
        <v>0</v>
      </c>
      <c r="AH281" s="39">
        <v>0</v>
      </c>
      <c r="AI281" s="40">
        <v>0</v>
      </c>
      <c r="AJ281" s="39">
        <v>4.4686554203691893</v>
      </c>
      <c r="AK281" s="28">
        <v>116371.23490544765</v>
      </c>
      <c r="AL281" s="41">
        <f t="shared" si="4"/>
        <v>26.610983040462642</v>
      </c>
      <c r="AM281" s="28">
        <v>2596469.75</v>
      </c>
      <c r="AN281" s="42">
        <v>4.4819022022285319E-2</v>
      </c>
      <c r="AP281" s="30"/>
      <c r="AR281" s="30"/>
    </row>
    <row r="282" spans="1:44" x14ac:dyDescent="0.2">
      <c r="A282" s="3" t="s">
        <v>299</v>
      </c>
      <c r="B282" s="3" t="s">
        <v>577</v>
      </c>
      <c r="C282" s="3" t="s">
        <v>1818</v>
      </c>
      <c r="D282" s="27"/>
      <c r="E282" s="3" t="s">
        <v>140</v>
      </c>
      <c r="F282" s="133" t="s">
        <v>1056</v>
      </c>
      <c r="G282" s="3" t="s">
        <v>881</v>
      </c>
      <c r="H282" s="29">
        <v>54.15</v>
      </c>
      <c r="I282" s="30">
        <v>253.72800000000001</v>
      </c>
      <c r="J282" s="30">
        <v>253.482</v>
      </c>
      <c r="K282" s="31">
        <v>1</v>
      </c>
      <c r="L282" s="31">
        <v>1</v>
      </c>
      <c r="M282" s="4">
        <v>0.6</v>
      </c>
      <c r="N282" s="4">
        <v>0.6</v>
      </c>
      <c r="O282" s="4">
        <v>0.4</v>
      </c>
      <c r="P282" s="4">
        <v>0.4</v>
      </c>
      <c r="Q282" s="32">
        <v>253.72800000000001</v>
      </c>
      <c r="R282" s="32">
        <v>253.482</v>
      </c>
      <c r="S282" s="32">
        <v>13739.3712</v>
      </c>
      <c r="T282" s="32">
        <v>13726.050299999999</v>
      </c>
      <c r="U282" s="33">
        <v>7.2656978404566676E-4</v>
      </c>
      <c r="V282" s="34">
        <v>7.2856733709395253E-4</v>
      </c>
      <c r="W282" s="34">
        <v>1.9975530482857712E-6</v>
      </c>
      <c r="X282" s="35">
        <v>4.3061851324133515</v>
      </c>
      <c r="Y282" s="36">
        <v>79523.271143367529</v>
      </c>
      <c r="Z282" s="37">
        <v>8.6175096015918837E-4</v>
      </c>
      <c r="AA282" s="38">
        <v>8.635247228565002E-4</v>
      </c>
      <c r="AB282" s="38">
        <v>1.7737626973118262E-6</v>
      </c>
      <c r="AC282" s="39">
        <v>3.3936093250762696E-2</v>
      </c>
      <c r="AD282" s="40">
        <v>626.70532319044685</v>
      </c>
      <c r="AE282" s="37">
        <v>5.8817176441056649E-4</v>
      </c>
      <c r="AF282" s="38">
        <v>5.9020548125302073E-4</v>
      </c>
      <c r="AG282" s="38">
        <v>2.0337168424542371E-6</v>
      </c>
      <c r="AH282" s="39">
        <v>2.8503908862921309E-2</v>
      </c>
      <c r="AI282" s="40">
        <v>526.38797530787281</v>
      </c>
      <c r="AJ282" s="39">
        <v>4.3686251345270355</v>
      </c>
      <c r="AK282" s="28">
        <v>80676.364441865851</v>
      </c>
      <c r="AL282" s="41">
        <f t="shared" si="4"/>
        <v>18.444626484633162</v>
      </c>
      <c r="AM282" s="28">
        <v>1844154.75</v>
      </c>
      <c r="AN282" s="42">
        <v>4.3747068645874673E-2</v>
      </c>
      <c r="AP282" s="30"/>
      <c r="AR282" s="30"/>
    </row>
    <row r="283" spans="1:44" x14ac:dyDescent="0.2">
      <c r="A283" s="3" t="s">
        <v>1226</v>
      </c>
      <c r="B283" s="3" t="s">
        <v>461</v>
      </c>
      <c r="C283" s="3" t="s">
        <v>1819</v>
      </c>
      <c r="D283" s="27"/>
      <c r="E283" s="3" t="s">
        <v>2102</v>
      </c>
      <c r="F283" s="133" t="s">
        <v>1070</v>
      </c>
      <c r="G283" s="3" t="s">
        <v>881</v>
      </c>
      <c r="H283" s="29">
        <v>46.82</v>
      </c>
      <c r="I283" s="30">
        <v>183.40600000000001</v>
      </c>
      <c r="J283" s="30">
        <v>183.40600000000001</v>
      </c>
      <c r="K283" s="31">
        <v>1</v>
      </c>
      <c r="L283" s="31">
        <v>1</v>
      </c>
      <c r="M283" s="4">
        <v>1</v>
      </c>
      <c r="N283" s="4">
        <v>1</v>
      </c>
      <c r="O283" s="4">
        <v>0</v>
      </c>
      <c r="P283" s="4">
        <v>0</v>
      </c>
      <c r="Q283" s="32">
        <v>183.40600000000001</v>
      </c>
      <c r="R283" s="32">
        <v>183.40600000000001</v>
      </c>
      <c r="S283" s="32">
        <v>8587.0689199999997</v>
      </c>
      <c r="T283" s="32">
        <v>8587.0689199999997</v>
      </c>
      <c r="U283" s="33">
        <v>4.5410410126990797E-4</v>
      </c>
      <c r="V283" s="34">
        <v>4.5579447836400854E-4</v>
      </c>
      <c r="W283" s="34">
        <v>1.6903770941005666E-6</v>
      </c>
      <c r="X283" s="35">
        <v>3.6439966973766174</v>
      </c>
      <c r="Y283" s="36">
        <v>77829.916646232741</v>
      </c>
      <c r="Z283" s="37">
        <v>8.9765326945519469E-4</v>
      </c>
      <c r="AA283" s="38">
        <v>9.0037388119978295E-4</v>
      </c>
      <c r="AB283" s="38">
        <v>2.7206117445882552E-6</v>
      </c>
      <c r="AC283" s="39">
        <v>5.205145761797255E-2</v>
      </c>
      <c r="AD283" s="40">
        <v>1111.7355322078718</v>
      </c>
      <c r="AE283" s="37">
        <v>0</v>
      </c>
      <c r="AF283" s="38">
        <v>0</v>
      </c>
      <c r="AG283" s="38">
        <v>0</v>
      </c>
      <c r="AH283" s="39">
        <v>0</v>
      </c>
      <c r="AI283" s="40">
        <v>0</v>
      </c>
      <c r="AJ283" s="39">
        <v>3.6960481549945898</v>
      </c>
      <c r="AK283" s="28">
        <v>78941.652178440607</v>
      </c>
      <c r="AL283" s="41">
        <f t="shared" si="4"/>
        <v>18.051869864380251</v>
      </c>
      <c r="AM283" s="28">
        <v>1809967.375</v>
      </c>
      <c r="AN283" s="42">
        <v>4.3614958627881679E-2</v>
      </c>
      <c r="AP283" s="30"/>
      <c r="AR283" s="30"/>
    </row>
    <row r="284" spans="1:44" x14ac:dyDescent="0.2">
      <c r="A284" s="3" t="s">
        <v>1546</v>
      </c>
      <c r="B284" s="3" t="s">
        <v>1510</v>
      </c>
      <c r="C284" s="3" t="s">
        <v>1820</v>
      </c>
      <c r="D284" s="27"/>
      <c r="E284" s="3" t="s">
        <v>2103</v>
      </c>
      <c r="F284" s="133" t="s">
        <v>1052</v>
      </c>
      <c r="G284" s="3" t="s">
        <v>879</v>
      </c>
      <c r="H284" s="29">
        <v>82.75</v>
      </c>
      <c r="I284" s="30">
        <v>112.297</v>
      </c>
      <c r="J284" s="30">
        <v>112.40300000000001</v>
      </c>
      <c r="K284" s="31">
        <v>1</v>
      </c>
      <c r="L284" s="31">
        <v>1</v>
      </c>
      <c r="M284" s="4">
        <v>0</v>
      </c>
      <c r="N284" s="4">
        <v>0</v>
      </c>
      <c r="O284" s="4">
        <v>1</v>
      </c>
      <c r="P284" s="4">
        <v>1</v>
      </c>
      <c r="Q284" s="32">
        <v>112.297</v>
      </c>
      <c r="R284" s="32">
        <v>112.40300000000001</v>
      </c>
      <c r="S284" s="32">
        <v>9292.5767500000002</v>
      </c>
      <c r="T284" s="32">
        <v>9301.3482500000009</v>
      </c>
      <c r="U284" s="33">
        <v>4.9141299002644927E-4</v>
      </c>
      <c r="V284" s="34">
        <v>4.9370783129696065E-4</v>
      </c>
      <c r="W284" s="34">
        <v>2.2948412705113856E-6</v>
      </c>
      <c r="X284" s="35">
        <v>4.9470582865396668</v>
      </c>
      <c r="Y284" s="36">
        <v>59783.181710449149</v>
      </c>
      <c r="Z284" s="37">
        <v>0</v>
      </c>
      <c r="AA284" s="38">
        <v>0</v>
      </c>
      <c r="AB284" s="38">
        <v>0</v>
      </c>
      <c r="AC284" s="39">
        <v>0</v>
      </c>
      <c r="AD284" s="40">
        <v>0</v>
      </c>
      <c r="AE284" s="37">
        <v>9.9451990622542231E-4</v>
      </c>
      <c r="AF284" s="38">
        <v>9.9987006462325025E-4</v>
      </c>
      <c r="AG284" s="38">
        <v>5.3501583978279432E-6</v>
      </c>
      <c r="AH284" s="39">
        <v>7.4986066983566496E-2</v>
      </c>
      <c r="AI284" s="40">
        <v>906.17603605518423</v>
      </c>
      <c r="AJ284" s="39">
        <v>5.0220443535232331</v>
      </c>
      <c r="AK284" s="28">
        <v>60689.357746504335</v>
      </c>
      <c r="AL284" s="41">
        <f t="shared" si="4"/>
        <v>13.866110395839188</v>
      </c>
      <c r="AM284" s="28">
        <v>1408180.375</v>
      </c>
      <c r="AN284" s="42">
        <v>4.3097715906248397E-2</v>
      </c>
      <c r="AP284" s="30"/>
      <c r="AR284" s="30"/>
    </row>
    <row r="285" spans="1:44" x14ac:dyDescent="0.2">
      <c r="A285" s="3" t="s">
        <v>285</v>
      </c>
      <c r="B285" s="3" t="s">
        <v>564</v>
      </c>
      <c r="C285" s="3" t="s">
        <v>1821</v>
      </c>
      <c r="D285" s="27"/>
      <c r="E285" s="3" t="s">
        <v>127</v>
      </c>
      <c r="F285" s="133" t="s">
        <v>1052</v>
      </c>
      <c r="G285" s="3" t="s">
        <v>881</v>
      </c>
      <c r="H285" s="29">
        <v>116.85</v>
      </c>
      <c r="I285" s="30">
        <v>133.18799999999999</v>
      </c>
      <c r="J285" s="30">
        <v>133.072</v>
      </c>
      <c r="K285" s="31">
        <v>1</v>
      </c>
      <c r="L285" s="31">
        <v>1</v>
      </c>
      <c r="M285" s="4">
        <v>1</v>
      </c>
      <c r="N285" s="4">
        <v>1</v>
      </c>
      <c r="O285" s="4">
        <v>0</v>
      </c>
      <c r="P285" s="4">
        <v>0</v>
      </c>
      <c r="Q285" s="32">
        <v>133.18799999999999</v>
      </c>
      <c r="R285" s="32">
        <v>133.072</v>
      </c>
      <c r="S285" s="32">
        <v>15563.017799999998</v>
      </c>
      <c r="T285" s="32">
        <v>15549.4632</v>
      </c>
      <c r="U285" s="33">
        <v>8.2300844175786344E-4</v>
      </c>
      <c r="V285" s="34">
        <v>8.2535257770870987E-4</v>
      </c>
      <c r="W285" s="34">
        <v>2.3441359508464361E-6</v>
      </c>
      <c r="X285" s="35">
        <v>5.0533243102370236</v>
      </c>
      <c r="Y285" s="36">
        <v>43246.249980633489</v>
      </c>
      <c r="Z285" s="37">
        <v>1.6268873513081562E-3</v>
      </c>
      <c r="AA285" s="38">
        <v>1.6303968982185832E-3</v>
      </c>
      <c r="AB285" s="38">
        <v>3.5095469104269496E-6</v>
      </c>
      <c r="AC285" s="39">
        <v>6.714557217866518E-2</v>
      </c>
      <c r="AD285" s="40">
        <v>574.63048505490099</v>
      </c>
      <c r="AE285" s="37">
        <v>0</v>
      </c>
      <c r="AF285" s="38">
        <v>0</v>
      </c>
      <c r="AG285" s="38">
        <v>0</v>
      </c>
      <c r="AH285" s="39">
        <v>0</v>
      </c>
      <c r="AI285" s="40">
        <v>0</v>
      </c>
      <c r="AJ285" s="39">
        <v>5.1204698824156889</v>
      </c>
      <c r="AK285" s="28">
        <v>43820.880465688388</v>
      </c>
      <c r="AL285" s="41">
        <f t="shared" si="4"/>
        <v>10.030534663442173</v>
      </c>
      <c r="AM285" s="28">
        <v>1021666.875</v>
      </c>
      <c r="AN285" s="42">
        <v>4.2891554515446524E-2</v>
      </c>
      <c r="AP285" s="30"/>
      <c r="AR285" s="30"/>
    </row>
    <row r="286" spans="1:44" x14ac:dyDescent="0.2">
      <c r="A286" s="3" t="s">
        <v>244</v>
      </c>
      <c r="B286" s="3" t="s">
        <v>525</v>
      </c>
      <c r="C286" s="3" t="s">
        <v>1822</v>
      </c>
      <c r="D286" s="27"/>
      <c r="E286" s="3" t="s">
        <v>91</v>
      </c>
      <c r="F286" s="133" t="s">
        <v>1064</v>
      </c>
      <c r="G286" s="3" t="s">
        <v>879</v>
      </c>
      <c r="H286" s="29">
        <v>39.78</v>
      </c>
      <c r="I286" s="30">
        <v>169.74600000000001</v>
      </c>
      <c r="J286" s="30">
        <v>170.09</v>
      </c>
      <c r="K286" s="31">
        <v>1</v>
      </c>
      <c r="L286" s="31">
        <v>1</v>
      </c>
      <c r="M286" s="4">
        <v>0</v>
      </c>
      <c r="N286" s="4">
        <v>0</v>
      </c>
      <c r="O286" s="4">
        <v>1</v>
      </c>
      <c r="P286" s="4">
        <v>1</v>
      </c>
      <c r="Q286" s="32">
        <v>169.74600000000001</v>
      </c>
      <c r="R286" s="32">
        <v>170.09</v>
      </c>
      <c r="S286" s="32">
        <v>6752.4958800000004</v>
      </c>
      <c r="T286" s="32">
        <v>6766.1802000000007</v>
      </c>
      <c r="U286" s="33">
        <v>3.5708762809326058E-4</v>
      </c>
      <c r="V286" s="34">
        <v>3.5914321912486563E-4</v>
      </c>
      <c r="W286" s="34">
        <v>2.0555910316050522E-6</v>
      </c>
      <c r="X286" s="35">
        <v>4.4312993570889949</v>
      </c>
      <c r="Y286" s="36">
        <v>111395.15729233269</v>
      </c>
      <c r="Z286" s="37">
        <v>0</v>
      </c>
      <c r="AA286" s="38">
        <v>0</v>
      </c>
      <c r="AB286" s="38">
        <v>0</v>
      </c>
      <c r="AC286" s="39">
        <v>0</v>
      </c>
      <c r="AD286" s="40">
        <v>0</v>
      </c>
      <c r="AE286" s="37">
        <v>7.2267270424913638E-4</v>
      </c>
      <c r="AF286" s="38">
        <v>7.2734627840932156E-4</v>
      </c>
      <c r="AG286" s="38">
        <v>4.6735741601851765E-6</v>
      </c>
      <c r="AH286" s="39">
        <v>6.5503284009420737E-2</v>
      </c>
      <c r="AI286" s="40">
        <v>1646.6386126048451</v>
      </c>
      <c r="AJ286" s="39">
        <v>4.4968026410984159</v>
      </c>
      <c r="AK286" s="28">
        <v>113041.79590493753</v>
      </c>
      <c r="AL286" s="41">
        <f t="shared" si="4"/>
        <v>25.83699134747426</v>
      </c>
      <c r="AM286" s="28">
        <v>2653171</v>
      </c>
      <c r="AN286" s="42">
        <v>4.2606298615859114E-2</v>
      </c>
      <c r="AP286" s="30"/>
      <c r="AR286" s="30"/>
    </row>
    <row r="287" spans="1:44" x14ac:dyDescent="0.2">
      <c r="A287" s="3" t="s">
        <v>718</v>
      </c>
      <c r="B287" s="3" t="s">
        <v>149</v>
      </c>
      <c r="C287" s="3" t="s">
        <v>1823</v>
      </c>
      <c r="D287" s="27"/>
      <c r="E287" s="3" t="s">
        <v>590</v>
      </c>
      <c r="F287" s="133" t="s">
        <v>1063</v>
      </c>
      <c r="G287" s="3" t="s">
        <v>879</v>
      </c>
      <c r="H287" s="29">
        <v>85.53</v>
      </c>
      <c r="I287" s="30">
        <v>235.565</v>
      </c>
      <c r="J287" s="30">
        <v>235.666</v>
      </c>
      <c r="K287" s="31">
        <v>1</v>
      </c>
      <c r="L287" s="31">
        <v>1</v>
      </c>
      <c r="M287" s="4">
        <v>1</v>
      </c>
      <c r="N287" s="4">
        <v>1</v>
      </c>
      <c r="O287" s="4">
        <v>0</v>
      </c>
      <c r="P287" s="4">
        <v>0</v>
      </c>
      <c r="Q287" s="32">
        <v>235.565</v>
      </c>
      <c r="R287" s="32">
        <v>235.666</v>
      </c>
      <c r="S287" s="32">
        <v>20147.874449999999</v>
      </c>
      <c r="T287" s="32">
        <v>20156.51298</v>
      </c>
      <c r="U287" s="33">
        <v>1.0654662848119066E-3</v>
      </c>
      <c r="V287" s="34">
        <v>1.0698909493970228E-3</v>
      </c>
      <c r="W287" s="34">
        <v>4.4246645851161569E-6</v>
      </c>
      <c r="X287" s="35">
        <v>9.5383824067621408</v>
      </c>
      <c r="Y287" s="36">
        <v>111520.8980096123</v>
      </c>
      <c r="Z287" s="37">
        <v>2.1061674875453643E-3</v>
      </c>
      <c r="AA287" s="38">
        <v>2.1134566395510429E-3</v>
      </c>
      <c r="AB287" s="38">
        <v>7.2891520056786105E-6</v>
      </c>
      <c r="AC287" s="39">
        <v>0.13945796839598695</v>
      </c>
      <c r="AD287" s="40">
        <v>1630.5152390504729</v>
      </c>
      <c r="AE287" s="37">
        <v>0</v>
      </c>
      <c r="AF287" s="38">
        <v>0</v>
      </c>
      <c r="AG287" s="38">
        <v>0</v>
      </c>
      <c r="AH287" s="39">
        <v>0</v>
      </c>
      <c r="AI287" s="40">
        <v>0</v>
      </c>
      <c r="AJ287" s="39">
        <v>9.6778403751581283</v>
      </c>
      <c r="AK287" s="28">
        <v>113151.41324866276</v>
      </c>
      <c r="AL287" s="41">
        <f t="shared" si="4"/>
        <v>25.866155647820396</v>
      </c>
      <c r="AM287" s="28">
        <v>2679433.25</v>
      </c>
      <c r="AN287" s="42">
        <v>4.2229607044199653E-2</v>
      </c>
      <c r="AP287" s="30"/>
      <c r="AR287" s="30"/>
    </row>
    <row r="288" spans="1:44" x14ac:dyDescent="0.2">
      <c r="A288" s="3" t="s">
        <v>1102</v>
      </c>
      <c r="B288" s="3" t="s">
        <v>336</v>
      </c>
      <c r="C288" s="3" t="s">
        <v>1824</v>
      </c>
      <c r="D288" s="27"/>
      <c r="E288" s="3" t="s">
        <v>646</v>
      </c>
      <c r="F288" s="133" t="s">
        <v>1063</v>
      </c>
      <c r="G288" s="3" t="s">
        <v>879</v>
      </c>
      <c r="H288" s="29">
        <v>45.67</v>
      </c>
      <c r="I288" s="30">
        <v>154.36699999999999</v>
      </c>
      <c r="J288" s="30">
        <v>154.46199999999999</v>
      </c>
      <c r="K288" s="31">
        <v>1</v>
      </c>
      <c r="L288" s="31">
        <v>1</v>
      </c>
      <c r="M288" s="4">
        <v>0</v>
      </c>
      <c r="N288" s="4">
        <v>0</v>
      </c>
      <c r="O288" s="4">
        <v>1</v>
      </c>
      <c r="P288" s="4">
        <v>1</v>
      </c>
      <c r="Q288" s="32">
        <v>154.36699999999999</v>
      </c>
      <c r="R288" s="32">
        <v>154.46199999999999</v>
      </c>
      <c r="S288" s="32">
        <v>7049.9408899999999</v>
      </c>
      <c r="T288" s="32">
        <v>7054.2795399999995</v>
      </c>
      <c r="U288" s="33">
        <v>3.7281720942090971E-4</v>
      </c>
      <c r="V288" s="34">
        <v>3.7443529254545661E-4</v>
      </c>
      <c r="W288" s="34">
        <v>1.6180831245469021E-6</v>
      </c>
      <c r="X288" s="35">
        <v>3.4881504147848785</v>
      </c>
      <c r="Y288" s="36">
        <v>76377.280814207988</v>
      </c>
      <c r="Z288" s="37">
        <v>0</v>
      </c>
      <c r="AA288" s="38">
        <v>0</v>
      </c>
      <c r="AB288" s="38">
        <v>0</v>
      </c>
      <c r="AC288" s="39">
        <v>0</v>
      </c>
      <c r="AD288" s="40">
        <v>0</v>
      </c>
      <c r="AE288" s="37">
        <v>7.5450617642922025E-4</v>
      </c>
      <c r="AF288" s="38">
        <v>7.5831618706785555E-4</v>
      </c>
      <c r="AG288" s="38">
        <v>3.8100106386352965E-6</v>
      </c>
      <c r="AH288" s="39">
        <v>5.3399860660722658E-2</v>
      </c>
      <c r="AI288" s="40">
        <v>1169.2546674123639</v>
      </c>
      <c r="AJ288" s="39">
        <v>3.541550275445601</v>
      </c>
      <c r="AK288" s="28">
        <v>77546.535481620347</v>
      </c>
      <c r="AL288" s="41">
        <f t="shared" si="4"/>
        <v>17.714945528212198</v>
      </c>
      <c r="AM288" s="28">
        <v>1867494.375</v>
      </c>
      <c r="AN288" s="42">
        <v>4.1524374327296353E-2</v>
      </c>
      <c r="AP288" s="30"/>
      <c r="AR288" s="30"/>
    </row>
    <row r="289" spans="1:44" x14ac:dyDescent="0.2">
      <c r="A289" s="3" t="s">
        <v>1134</v>
      </c>
      <c r="B289" s="3" t="s">
        <v>369</v>
      </c>
      <c r="C289" s="3" t="s">
        <v>1825</v>
      </c>
      <c r="D289" s="27"/>
      <c r="E289" s="3" t="s">
        <v>671</v>
      </c>
      <c r="F289" s="133" t="s">
        <v>1068</v>
      </c>
      <c r="G289" s="3" t="s">
        <v>881</v>
      </c>
      <c r="H289" s="29">
        <v>84.66</v>
      </c>
      <c r="I289" s="30">
        <v>130.19399999999999</v>
      </c>
      <c r="J289" s="30">
        <v>129.93100000000001</v>
      </c>
      <c r="K289" s="31">
        <v>1</v>
      </c>
      <c r="L289" s="31">
        <v>1</v>
      </c>
      <c r="M289" s="4">
        <v>1</v>
      </c>
      <c r="N289" s="4">
        <v>1</v>
      </c>
      <c r="O289" s="4">
        <v>0</v>
      </c>
      <c r="P289" s="4">
        <v>0</v>
      </c>
      <c r="Q289" s="32">
        <v>130.19399999999999</v>
      </c>
      <c r="R289" s="32">
        <v>129.93100000000001</v>
      </c>
      <c r="S289" s="32">
        <v>11022.224039999999</v>
      </c>
      <c r="T289" s="32">
        <v>10999.95846</v>
      </c>
      <c r="U289" s="33">
        <v>5.828807464235158E-4</v>
      </c>
      <c r="V289" s="34">
        <v>5.838686488964925E-4</v>
      </c>
      <c r="W289" s="34">
        <v>9.8790247297670265E-7</v>
      </c>
      <c r="X289" s="35">
        <v>2.1296510473438333</v>
      </c>
      <c r="Y289" s="36">
        <v>25155.339562294277</v>
      </c>
      <c r="Z289" s="37">
        <v>1.1522133499044566E-3</v>
      </c>
      <c r="AA289" s="38">
        <v>1.1533708863800045E-3</v>
      </c>
      <c r="AB289" s="38">
        <v>1.1575364755479073E-6</v>
      </c>
      <c r="AC289" s="39">
        <v>2.2146291516269935E-2</v>
      </c>
      <c r="AD289" s="40">
        <v>261.59096995357822</v>
      </c>
      <c r="AE289" s="37">
        <v>0</v>
      </c>
      <c r="AF289" s="38">
        <v>0</v>
      </c>
      <c r="AG289" s="38">
        <v>0</v>
      </c>
      <c r="AH289" s="39">
        <v>0</v>
      </c>
      <c r="AI289" s="40">
        <v>0</v>
      </c>
      <c r="AJ289" s="39">
        <v>2.1517973388601033</v>
      </c>
      <c r="AK289" s="28">
        <v>25416.930532247854</v>
      </c>
      <c r="AL289" s="41">
        <f t="shared" si="4"/>
        <v>5.8345291340462007</v>
      </c>
      <c r="AM289" s="28">
        <v>628955.5625</v>
      </c>
      <c r="AN289" s="42">
        <v>4.0411329587768538E-2</v>
      </c>
      <c r="AP289" s="30"/>
      <c r="AR289" s="30"/>
    </row>
    <row r="290" spans="1:44" x14ac:dyDescent="0.2">
      <c r="A290" s="3" t="s">
        <v>1300</v>
      </c>
      <c r="B290" s="3" t="s">
        <v>1292</v>
      </c>
      <c r="C290" s="3" t="s">
        <v>1826</v>
      </c>
      <c r="D290" s="27"/>
      <c r="E290" s="3" t="s">
        <v>1297</v>
      </c>
      <c r="F290" s="133" t="s">
        <v>1052</v>
      </c>
      <c r="G290" s="3" t="s">
        <v>879</v>
      </c>
      <c r="H290" s="29">
        <v>27.95</v>
      </c>
      <c r="I290" s="30">
        <v>349.81599999999997</v>
      </c>
      <c r="J290" s="30">
        <v>350.19499999999999</v>
      </c>
      <c r="K290" s="31">
        <v>1</v>
      </c>
      <c r="L290" s="31">
        <v>1</v>
      </c>
      <c r="M290" s="4">
        <v>0</v>
      </c>
      <c r="N290" s="4">
        <v>0</v>
      </c>
      <c r="O290" s="4">
        <v>1</v>
      </c>
      <c r="P290" s="4">
        <v>1</v>
      </c>
      <c r="Q290" s="32">
        <v>349.81599999999997</v>
      </c>
      <c r="R290" s="32">
        <v>350.19499999999999</v>
      </c>
      <c r="S290" s="32">
        <v>9777.3571999999986</v>
      </c>
      <c r="T290" s="32">
        <v>9787.9502499999999</v>
      </c>
      <c r="U290" s="33">
        <v>5.1704930348932883E-4</v>
      </c>
      <c r="V290" s="34">
        <v>5.1953626086089649E-4</v>
      </c>
      <c r="W290" s="34">
        <v>2.4869573715676592E-6</v>
      </c>
      <c r="X290" s="35">
        <v>5.3612087386519116</v>
      </c>
      <c r="Y290" s="36">
        <v>191814.26614139217</v>
      </c>
      <c r="Z290" s="37">
        <v>0</v>
      </c>
      <c r="AA290" s="38">
        <v>0</v>
      </c>
      <c r="AB290" s="38">
        <v>0</v>
      </c>
      <c r="AC290" s="39">
        <v>0</v>
      </c>
      <c r="AD290" s="40">
        <v>0</v>
      </c>
      <c r="AE290" s="37">
        <v>1.0464025885690378E-3</v>
      </c>
      <c r="AF290" s="38">
        <v>1.0521784784261418E-3</v>
      </c>
      <c r="AG290" s="38">
        <v>5.7758898571039826E-6</v>
      </c>
      <c r="AH290" s="39">
        <v>8.0952979614647688E-2</v>
      </c>
      <c r="AI290" s="40">
        <v>2896.349896767359</v>
      </c>
      <c r="AJ290" s="39">
        <v>5.4421617182665596</v>
      </c>
      <c r="AK290" s="28">
        <v>194710.61603815953</v>
      </c>
      <c r="AL290" s="41">
        <f t="shared" si="4"/>
        <v>44.489398418026106</v>
      </c>
      <c r="AM290" s="28">
        <v>4847321</v>
      </c>
      <c r="AN290" s="42">
        <v>4.0168706804884498E-2</v>
      </c>
      <c r="AP290" s="30"/>
      <c r="AR290" s="30"/>
    </row>
    <row r="291" spans="1:44" x14ac:dyDescent="0.2">
      <c r="A291" s="3" t="s">
        <v>1202</v>
      </c>
      <c r="B291" s="3" t="s">
        <v>437</v>
      </c>
      <c r="C291" s="3" t="s">
        <v>1827</v>
      </c>
      <c r="D291" s="27"/>
      <c r="E291" s="3" t="s">
        <v>13</v>
      </c>
      <c r="F291" s="133" t="s">
        <v>1057</v>
      </c>
      <c r="G291" s="3" t="s">
        <v>881</v>
      </c>
      <c r="H291" s="29">
        <v>111.67</v>
      </c>
      <c r="I291" s="30">
        <v>152.75299999999999</v>
      </c>
      <c r="J291" s="30">
        <v>152.57</v>
      </c>
      <c r="K291" s="31">
        <v>0.92</v>
      </c>
      <c r="L291" s="31">
        <v>0.92</v>
      </c>
      <c r="M291" s="4">
        <v>0.55000000000000004</v>
      </c>
      <c r="N291" s="4">
        <v>0.55000000000000004</v>
      </c>
      <c r="O291" s="4">
        <v>0.45</v>
      </c>
      <c r="P291" s="4">
        <v>0.45</v>
      </c>
      <c r="Q291" s="32">
        <v>140.53276</v>
      </c>
      <c r="R291" s="32">
        <v>140.36439999999999</v>
      </c>
      <c r="S291" s="32">
        <v>15693.2933092</v>
      </c>
      <c r="T291" s="32">
        <v>15674.492547999998</v>
      </c>
      <c r="U291" s="33">
        <v>8.2989771254093144E-4</v>
      </c>
      <c r="V291" s="34">
        <v>8.3198903154211537E-4</v>
      </c>
      <c r="W291" s="34">
        <v>2.0913190011839387E-6</v>
      </c>
      <c r="X291" s="35">
        <v>4.5083192147312969</v>
      </c>
      <c r="Y291" s="36">
        <v>40371.802764675354</v>
      </c>
      <c r="Z291" s="37">
        <v>9.0227816945685952E-4</v>
      </c>
      <c r="AA291" s="38">
        <v>9.0392858174520271E-4</v>
      </c>
      <c r="AB291" s="38">
        <v>1.6504122883431813E-6</v>
      </c>
      <c r="AC291" s="39">
        <v>3.1576120866844783E-2</v>
      </c>
      <c r="AD291" s="40">
        <v>282.76279096305888</v>
      </c>
      <c r="AE291" s="37">
        <v>7.5579485158464087E-4</v>
      </c>
      <c r="AF291" s="38">
        <v>7.5823471555399886E-4</v>
      </c>
      <c r="AG291" s="38">
        <v>2.4398639693579919E-6</v>
      </c>
      <c r="AH291" s="39">
        <v>3.4196333908795153E-2</v>
      </c>
      <c r="AI291" s="40">
        <v>306.22668495383851</v>
      </c>
      <c r="AJ291" s="39">
        <v>4.5740916695069371</v>
      </c>
      <c r="AK291" s="28">
        <v>40960.792240592251</v>
      </c>
      <c r="AL291" s="41">
        <f t="shared" si="4"/>
        <v>9.3638354131993324</v>
      </c>
      <c r="AM291" s="28">
        <v>1077462.25</v>
      </c>
      <c r="AN291" s="42">
        <v>3.8015988254430491E-2</v>
      </c>
      <c r="AP291" s="30"/>
      <c r="AR291" s="30"/>
    </row>
    <row r="292" spans="1:44" x14ac:dyDescent="0.2">
      <c r="A292" s="3" t="s">
        <v>1367</v>
      </c>
      <c r="B292" s="3" t="s">
        <v>1364</v>
      </c>
      <c r="C292" s="3" t="s">
        <v>1828</v>
      </c>
      <c r="D292" s="27"/>
      <c r="E292" s="3" t="s">
        <v>1369</v>
      </c>
      <c r="F292" s="133" t="s">
        <v>1074</v>
      </c>
      <c r="G292" s="3" t="s">
        <v>881</v>
      </c>
      <c r="H292" s="29">
        <v>70.84</v>
      </c>
      <c r="I292" s="30">
        <v>272.97699999999998</v>
      </c>
      <c r="J292" s="30">
        <v>272.76499999999999</v>
      </c>
      <c r="K292" s="31">
        <v>1</v>
      </c>
      <c r="L292" s="31">
        <v>1</v>
      </c>
      <c r="M292" s="4">
        <v>1</v>
      </c>
      <c r="N292" s="4">
        <v>1</v>
      </c>
      <c r="O292" s="4">
        <v>0</v>
      </c>
      <c r="P292" s="4">
        <v>0</v>
      </c>
      <c r="Q292" s="32">
        <v>272.97699999999998</v>
      </c>
      <c r="R292" s="32">
        <v>272.76499999999999</v>
      </c>
      <c r="S292" s="32">
        <v>19337.69068</v>
      </c>
      <c r="T292" s="32">
        <v>19322.672600000002</v>
      </c>
      <c r="U292" s="33">
        <v>1.0226218898074101E-3</v>
      </c>
      <c r="V292" s="34">
        <v>1.0256313953417671E-3</v>
      </c>
      <c r="W292" s="34">
        <v>3.0095055343569953E-6</v>
      </c>
      <c r="X292" s="35">
        <v>6.4876815156849839</v>
      </c>
      <c r="Y292" s="36">
        <v>91582.178369353249</v>
      </c>
      <c r="Z292" s="37">
        <v>2.0214745478734607E-3</v>
      </c>
      <c r="AA292" s="38">
        <v>2.0260265622760024E-3</v>
      </c>
      <c r="AB292" s="38">
        <v>4.5520144025417743E-6</v>
      </c>
      <c r="AC292" s="39">
        <v>8.7090333716898227E-2</v>
      </c>
      <c r="AD292" s="40">
        <v>1229.3948858963613</v>
      </c>
      <c r="AE292" s="37">
        <v>0</v>
      </c>
      <c r="AF292" s="38">
        <v>0</v>
      </c>
      <c r="AG292" s="38">
        <v>0</v>
      </c>
      <c r="AH292" s="39">
        <v>0</v>
      </c>
      <c r="AI292" s="40">
        <v>0</v>
      </c>
      <c r="AJ292" s="39">
        <v>6.5747718494018823</v>
      </c>
      <c r="AK292" s="28">
        <v>92811.573255249605</v>
      </c>
      <c r="AL292" s="41">
        <f t="shared" si="4"/>
        <v>21.241569271294434</v>
      </c>
      <c r="AM292" s="28">
        <v>2484714.5</v>
      </c>
      <c r="AN292" s="42">
        <v>3.7353013094763847E-2</v>
      </c>
      <c r="AP292" s="30"/>
      <c r="AR292" s="30"/>
    </row>
    <row r="293" spans="1:44" x14ac:dyDescent="0.2">
      <c r="A293" s="3" t="s">
        <v>204</v>
      </c>
      <c r="B293" s="3" t="s">
        <v>484</v>
      </c>
      <c r="C293" s="3" t="s">
        <v>1829</v>
      </c>
      <c r="D293" s="27"/>
      <c r="E293" s="3" t="s">
        <v>56</v>
      </c>
      <c r="F293" s="133" t="s">
        <v>1052</v>
      </c>
      <c r="G293" s="3" t="s">
        <v>879</v>
      </c>
      <c r="H293" s="29">
        <v>40.909999999999997</v>
      </c>
      <c r="I293" s="30">
        <v>530.53</v>
      </c>
      <c r="J293" s="30">
        <v>530.59500000000003</v>
      </c>
      <c r="K293" s="31">
        <v>1</v>
      </c>
      <c r="L293" s="31">
        <v>1</v>
      </c>
      <c r="M293" s="4">
        <v>0</v>
      </c>
      <c r="N293" s="4">
        <v>0</v>
      </c>
      <c r="O293" s="4">
        <v>1</v>
      </c>
      <c r="P293" s="4">
        <v>1</v>
      </c>
      <c r="Q293" s="32">
        <v>530.53</v>
      </c>
      <c r="R293" s="32">
        <v>530.59500000000003</v>
      </c>
      <c r="S293" s="32">
        <v>21703.982299999996</v>
      </c>
      <c r="T293" s="32">
        <v>21706.641449999999</v>
      </c>
      <c r="U293" s="33">
        <v>1.1477568735199447E-3</v>
      </c>
      <c r="V293" s="34">
        <v>1.1521704796958025E-3</v>
      </c>
      <c r="W293" s="34">
        <v>4.4136061758577594E-6</v>
      </c>
      <c r="X293" s="35">
        <v>9.514543461619974</v>
      </c>
      <c r="Y293" s="36">
        <v>232572.56078269309</v>
      </c>
      <c r="Z293" s="37">
        <v>0</v>
      </c>
      <c r="AA293" s="38">
        <v>0</v>
      </c>
      <c r="AB293" s="38">
        <v>0</v>
      </c>
      <c r="AC293" s="39">
        <v>0</v>
      </c>
      <c r="AD293" s="40">
        <v>0</v>
      </c>
      <c r="AE293" s="37">
        <v>2.3228263830819824E-3</v>
      </c>
      <c r="AF293" s="38">
        <v>2.333405911273693E-3</v>
      </c>
      <c r="AG293" s="38">
        <v>1.0579528191710565E-5</v>
      </c>
      <c r="AH293" s="39">
        <v>0.14827920047380458</v>
      </c>
      <c r="AI293" s="40">
        <v>3624.5221333122608</v>
      </c>
      <c r="AJ293" s="39">
        <v>9.6628226620937792</v>
      </c>
      <c r="AK293" s="28">
        <v>236197.08291600534</v>
      </c>
      <c r="AL293" s="41">
        <f t="shared" si="4"/>
        <v>53.942876752111466</v>
      </c>
      <c r="AM293" s="28">
        <v>6324825</v>
      </c>
      <c r="AN293" s="42">
        <v>3.7344445564265472E-2</v>
      </c>
      <c r="AP293" s="30"/>
      <c r="AR293" s="30"/>
    </row>
    <row r="294" spans="1:44" x14ac:dyDescent="0.2">
      <c r="A294" s="3" t="s">
        <v>1176</v>
      </c>
      <c r="B294" s="3" t="s">
        <v>412</v>
      </c>
      <c r="C294" s="3" t="s">
        <v>1830</v>
      </c>
      <c r="D294" s="27"/>
      <c r="E294" s="3" t="s">
        <v>705</v>
      </c>
      <c r="F294" s="133" t="s">
        <v>1069</v>
      </c>
      <c r="G294" s="3" t="s">
        <v>881</v>
      </c>
      <c r="H294" s="29">
        <v>19.809999999999999</v>
      </c>
      <c r="I294" s="30">
        <v>767.71799999999996</v>
      </c>
      <c r="J294" s="30">
        <v>766.375</v>
      </c>
      <c r="K294" s="31">
        <v>1</v>
      </c>
      <c r="L294" s="31">
        <v>1</v>
      </c>
      <c r="M294" s="4">
        <v>0</v>
      </c>
      <c r="N294" s="4">
        <v>0</v>
      </c>
      <c r="O294" s="4">
        <v>1</v>
      </c>
      <c r="P294" s="4">
        <v>1</v>
      </c>
      <c r="Q294" s="32">
        <v>767.71799999999996</v>
      </c>
      <c r="R294" s="32">
        <v>766.375</v>
      </c>
      <c r="S294" s="32">
        <v>15208.493579999998</v>
      </c>
      <c r="T294" s="32">
        <v>15181.888749999998</v>
      </c>
      <c r="U294" s="33">
        <v>8.0426037954928447E-4</v>
      </c>
      <c r="V294" s="34">
        <v>8.0584203153066802E-4</v>
      </c>
      <c r="W294" s="34">
        <v>1.5816519813835516E-6</v>
      </c>
      <c r="X294" s="35">
        <v>3.409614704716267</v>
      </c>
      <c r="Y294" s="36">
        <v>172115.83567472323</v>
      </c>
      <c r="Z294" s="37">
        <v>0</v>
      </c>
      <c r="AA294" s="38">
        <v>0</v>
      </c>
      <c r="AB294" s="38">
        <v>0</v>
      </c>
      <c r="AC294" s="39">
        <v>0</v>
      </c>
      <c r="AD294" s="40">
        <v>0</v>
      </c>
      <c r="AE294" s="37">
        <v>1.6276593689701336E-3</v>
      </c>
      <c r="AF294" s="38">
        <v>1.6320124435256461E-3</v>
      </c>
      <c r="AG294" s="38">
        <v>4.3530745555124973E-6</v>
      </c>
      <c r="AH294" s="39">
        <v>6.1011266570469957E-2</v>
      </c>
      <c r="AI294" s="40">
        <v>3079.8216340469444</v>
      </c>
      <c r="AJ294" s="39">
        <v>3.4706259712867369</v>
      </c>
      <c r="AK294" s="28">
        <v>175195.65730877017</v>
      </c>
      <c r="AL294" s="41">
        <f t="shared" si="4"/>
        <v>39.920544709327402</v>
      </c>
      <c r="AM294" s="28">
        <v>4842438.5</v>
      </c>
      <c r="AN294" s="42">
        <v>3.6179221957856597E-2</v>
      </c>
      <c r="AP294" s="30"/>
      <c r="AR294" s="30"/>
    </row>
    <row r="295" spans="1:44" x14ac:dyDescent="0.2">
      <c r="A295" s="3" t="s">
        <v>221</v>
      </c>
      <c r="B295" s="3" t="s">
        <v>501</v>
      </c>
      <c r="C295" s="3" t="s">
        <v>1831</v>
      </c>
      <c r="D295" s="27"/>
      <c r="E295" s="3" t="s">
        <v>71</v>
      </c>
      <c r="F295" s="133" t="s">
        <v>1053</v>
      </c>
      <c r="G295" s="3" t="s">
        <v>879</v>
      </c>
      <c r="H295" s="29">
        <v>46.35</v>
      </c>
      <c r="I295" s="30">
        <v>99.088999999999999</v>
      </c>
      <c r="J295" s="30">
        <v>99.194999999999993</v>
      </c>
      <c r="K295" s="31">
        <v>0.84</v>
      </c>
      <c r="L295" s="31">
        <v>0.84</v>
      </c>
      <c r="M295" s="4">
        <v>0.53</v>
      </c>
      <c r="N295" s="4">
        <v>0.53</v>
      </c>
      <c r="O295" s="4">
        <v>0.47</v>
      </c>
      <c r="P295" s="4">
        <v>0.47</v>
      </c>
      <c r="Q295" s="32">
        <v>83.234759999999994</v>
      </c>
      <c r="R295" s="32">
        <v>83.323799999999991</v>
      </c>
      <c r="S295" s="32">
        <v>3857.9311259999999</v>
      </c>
      <c r="T295" s="32">
        <v>3862.0581299999999</v>
      </c>
      <c r="U295" s="33">
        <v>2.040163370126339E-4</v>
      </c>
      <c r="V295" s="34">
        <v>2.04994834346203E-4</v>
      </c>
      <c r="W295" s="34">
        <v>9.7849733356910576E-7</v>
      </c>
      <c r="X295" s="35">
        <v>2.1093761056995932</v>
      </c>
      <c r="Y295" s="36">
        <v>45509.732593302979</v>
      </c>
      <c r="Z295" s="37">
        <v>2.1374403723209388E-4</v>
      </c>
      <c r="AA295" s="38">
        <v>2.1462119835896886E-4</v>
      </c>
      <c r="AB295" s="38">
        <v>8.7716112687498383E-7</v>
      </c>
      <c r="AC295" s="39">
        <v>1.6782076792282687E-2</v>
      </c>
      <c r="AD295" s="40">
        <v>362.07285420243124</v>
      </c>
      <c r="AE295" s="37">
        <v>1.9405715123926409E-4</v>
      </c>
      <c r="AF295" s="38">
        <v>1.9512563317369272E-4</v>
      </c>
      <c r="AG295" s="38">
        <v>1.0684819344286274E-6</v>
      </c>
      <c r="AH295" s="39">
        <v>1.4975492676688486E-2</v>
      </c>
      <c r="AI295" s="40">
        <v>323.09585062974082</v>
      </c>
      <c r="AJ295" s="39">
        <v>2.1411336751685646</v>
      </c>
      <c r="AK295" s="28">
        <v>46194.901298135148</v>
      </c>
      <c r="AL295" s="41">
        <f t="shared" si="4"/>
        <v>10.555526791468239</v>
      </c>
      <c r="AM295" s="28">
        <v>1294437</v>
      </c>
      <c r="AN295" s="42">
        <v>3.568725345315002E-2</v>
      </c>
      <c r="AP295" s="30"/>
      <c r="AR295" s="30"/>
    </row>
    <row r="296" spans="1:44" x14ac:dyDescent="0.2">
      <c r="A296" s="3" t="s">
        <v>1269</v>
      </c>
      <c r="B296" s="3" t="s">
        <v>1252</v>
      </c>
      <c r="C296" s="3" t="s">
        <v>1832</v>
      </c>
      <c r="D296" s="27"/>
      <c r="E296" s="3" t="s">
        <v>1460</v>
      </c>
      <c r="F296" s="133" t="s">
        <v>1072</v>
      </c>
      <c r="G296" s="3" t="s">
        <v>879</v>
      </c>
      <c r="H296" s="29">
        <v>25.66</v>
      </c>
      <c r="I296" s="30">
        <v>150.47999999999999</v>
      </c>
      <c r="J296" s="30">
        <v>150.89099999999999</v>
      </c>
      <c r="K296" s="31">
        <v>1</v>
      </c>
      <c r="L296" s="31">
        <v>1</v>
      </c>
      <c r="M296" s="4">
        <v>1</v>
      </c>
      <c r="N296" s="4">
        <v>1</v>
      </c>
      <c r="O296" s="4">
        <v>0</v>
      </c>
      <c r="P296" s="4">
        <v>0</v>
      </c>
      <c r="Q296" s="32">
        <v>150.47999999999999</v>
      </c>
      <c r="R296" s="32">
        <v>150.89099999999999</v>
      </c>
      <c r="S296" s="32">
        <v>3861.3167999999996</v>
      </c>
      <c r="T296" s="32">
        <v>3871.8630599999997</v>
      </c>
      <c r="U296" s="33">
        <v>2.0419537929857408E-4</v>
      </c>
      <c r="V296" s="34">
        <v>2.0551527187807569E-4</v>
      </c>
      <c r="W296" s="34">
        <v>1.319892579501608E-6</v>
      </c>
      <c r="X296" s="35">
        <v>2.8453320962414903</v>
      </c>
      <c r="Y296" s="36">
        <v>110885.89619023736</v>
      </c>
      <c r="Z296" s="37">
        <v>4.0364455930351028E-4</v>
      </c>
      <c r="AA296" s="38">
        <v>4.0597372669116391E-4</v>
      </c>
      <c r="AB296" s="38">
        <v>2.3291673876536215E-6</v>
      </c>
      <c r="AC296" s="39">
        <v>4.4562241490273581E-2</v>
      </c>
      <c r="AD296" s="40">
        <v>1736.6423028165855</v>
      </c>
      <c r="AE296" s="37">
        <v>0</v>
      </c>
      <c r="AF296" s="38">
        <v>0</v>
      </c>
      <c r="AG296" s="38">
        <v>0</v>
      </c>
      <c r="AH296" s="39">
        <v>0</v>
      </c>
      <c r="AI296" s="40">
        <v>0</v>
      </c>
      <c r="AJ296" s="39">
        <v>2.8898943377317639</v>
      </c>
      <c r="AK296" s="28">
        <v>112622.53849305394</v>
      </c>
      <c r="AL296" s="41">
        <f t="shared" si="4"/>
        <v>25.718873334014184</v>
      </c>
      <c r="AM296" s="28">
        <v>3164680</v>
      </c>
      <c r="AN296" s="42">
        <v>3.5587338528083073E-2</v>
      </c>
      <c r="AP296" s="30"/>
      <c r="AR296" s="30"/>
    </row>
    <row r="297" spans="1:44" x14ac:dyDescent="0.2">
      <c r="A297" s="3" t="s">
        <v>725</v>
      </c>
      <c r="B297" s="3" t="s">
        <v>155</v>
      </c>
      <c r="C297" s="3" t="s">
        <v>1833</v>
      </c>
      <c r="D297" s="27"/>
      <c r="E297" s="3" t="s">
        <v>596</v>
      </c>
      <c r="F297" s="133" t="s">
        <v>1064</v>
      </c>
      <c r="G297" s="3" t="s">
        <v>879</v>
      </c>
      <c r="H297" s="29">
        <v>62.57</v>
      </c>
      <c r="I297" s="30">
        <v>108.039</v>
      </c>
      <c r="J297" s="30">
        <v>108.066</v>
      </c>
      <c r="K297" s="31">
        <v>1</v>
      </c>
      <c r="L297" s="31">
        <v>1</v>
      </c>
      <c r="M297" s="4">
        <v>0</v>
      </c>
      <c r="N297" s="4">
        <v>0</v>
      </c>
      <c r="O297" s="4">
        <v>1</v>
      </c>
      <c r="P297" s="4">
        <v>1</v>
      </c>
      <c r="Q297" s="32">
        <v>108.039</v>
      </c>
      <c r="R297" s="32">
        <v>108.066</v>
      </c>
      <c r="S297" s="32">
        <v>6760.0002300000006</v>
      </c>
      <c r="T297" s="32">
        <v>6761.6896200000001</v>
      </c>
      <c r="U297" s="33">
        <v>3.5748447550931284E-4</v>
      </c>
      <c r="V297" s="34">
        <v>3.589048628722583E-4</v>
      </c>
      <c r="W297" s="34">
        <v>1.4203873629454545E-6</v>
      </c>
      <c r="X297" s="35">
        <v>3.0619717207672874</v>
      </c>
      <c r="Y297" s="36">
        <v>48936.738385285083</v>
      </c>
      <c r="Z297" s="37">
        <v>0</v>
      </c>
      <c r="AA297" s="38">
        <v>0</v>
      </c>
      <c r="AB297" s="38">
        <v>0</v>
      </c>
      <c r="AC297" s="39">
        <v>0</v>
      </c>
      <c r="AD297" s="40">
        <v>0</v>
      </c>
      <c r="AE297" s="37">
        <v>7.234758426744696E-4</v>
      </c>
      <c r="AF297" s="38">
        <v>7.2686355306734801E-4</v>
      </c>
      <c r="AG297" s="38">
        <v>3.3877103928784064E-6</v>
      </c>
      <c r="AH297" s="39">
        <v>4.7481038793998342E-2</v>
      </c>
      <c r="AI297" s="40">
        <v>758.84671238610099</v>
      </c>
      <c r="AJ297" s="39">
        <v>3.109452759561286</v>
      </c>
      <c r="AK297" s="28">
        <v>49695.585097671181</v>
      </c>
      <c r="AL297" s="41">
        <f t="shared" si="4"/>
        <v>11.350386470716433</v>
      </c>
      <c r="AM297" s="28">
        <v>1407153.25</v>
      </c>
      <c r="AN297" s="42">
        <v>3.5316398620883108E-2</v>
      </c>
      <c r="AP297" s="30"/>
      <c r="AR297" s="30"/>
    </row>
    <row r="298" spans="1:44" x14ac:dyDescent="0.2">
      <c r="A298" s="3" t="s">
        <v>733</v>
      </c>
      <c r="B298" s="3" t="s">
        <v>1400</v>
      </c>
      <c r="C298" s="3" t="s">
        <v>1834</v>
      </c>
      <c r="D298" s="27"/>
      <c r="E298" s="3" t="s">
        <v>602</v>
      </c>
      <c r="F298" s="133" t="s">
        <v>1052</v>
      </c>
      <c r="G298" s="3" t="s">
        <v>881</v>
      </c>
      <c r="H298" s="29">
        <v>189.61</v>
      </c>
      <c r="I298" s="30">
        <v>63.527000000000001</v>
      </c>
      <c r="J298" s="30">
        <v>63.438000000000002</v>
      </c>
      <c r="K298" s="31">
        <v>1</v>
      </c>
      <c r="L298" s="31">
        <v>1</v>
      </c>
      <c r="M298" s="4">
        <v>1</v>
      </c>
      <c r="N298" s="4">
        <v>1</v>
      </c>
      <c r="O298" s="4">
        <v>0</v>
      </c>
      <c r="P298" s="4">
        <v>0</v>
      </c>
      <c r="Q298" s="32">
        <v>63.527000000000001</v>
      </c>
      <c r="R298" s="32">
        <v>63.438000000000002</v>
      </c>
      <c r="S298" s="32">
        <v>12045.35447</v>
      </c>
      <c r="T298" s="32">
        <v>12028.479180000002</v>
      </c>
      <c r="U298" s="33">
        <v>6.3698625421965507E-4</v>
      </c>
      <c r="V298" s="34">
        <v>6.3846167352764631E-4</v>
      </c>
      <c r="W298" s="34">
        <v>1.4754193079912371E-6</v>
      </c>
      <c r="X298" s="35">
        <v>3.1806057384056694</v>
      </c>
      <c r="Y298" s="36">
        <v>16774.461992540841</v>
      </c>
      <c r="Z298" s="37">
        <v>1.2591667683671327E-3</v>
      </c>
      <c r="AA298" s="38">
        <v>1.261213644041346E-3</v>
      </c>
      <c r="AB298" s="38">
        <v>2.0468756742133849E-6</v>
      </c>
      <c r="AC298" s="39">
        <v>3.9161362372822327E-2</v>
      </c>
      <c r="AD298" s="40">
        <v>206.53637663004233</v>
      </c>
      <c r="AE298" s="37">
        <v>0</v>
      </c>
      <c r="AF298" s="38">
        <v>0</v>
      </c>
      <c r="AG298" s="38">
        <v>0</v>
      </c>
      <c r="AH298" s="39">
        <v>0</v>
      </c>
      <c r="AI298" s="40">
        <v>0</v>
      </c>
      <c r="AJ298" s="39">
        <v>3.2197671007784918</v>
      </c>
      <c r="AK298" s="28">
        <v>16980.998369170884</v>
      </c>
      <c r="AL298" s="41">
        <f t="shared" si="4"/>
        <v>3.890668498473806</v>
      </c>
      <c r="AM298" s="28">
        <v>482993.4375</v>
      </c>
      <c r="AN298" s="42">
        <v>3.5157824207851449E-2</v>
      </c>
      <c r="AP298" s="30"/>
      <c r="AR298" s="30"/>
    </row>
    <row r="299" spans="1:44" x14ac:dyDescent="0.2">
      <c r="A299" s="3" t="s">
        <v>711</v>
      </c>
      <c r="B299" s="3" t="s">
        <v>145</v>
      </c>
      <c r="C299" s="3" t="s">
        <v>1835</v>
      </c>
      <c r="D299" s="27"/>
      <c r="E299" s="3" t="s">
        <v>582</v>
      </c>
      <c r="F299" s="133" t="s">
        <v>1063</v>
      </c>
      <c r="G299" s="3" t="s">
        <v>879</v>
      </c>
      <c r="H299" s="29">
        <v>157.66999999999999</v>
      </c>
      <c r="I299" s="30">
        <v>73.555999999999997</v>
      </c>
      <c r="J299" s="30">
        <v>73.64</v>
      </c>
      <c r="K299" s="31">
        <v>1</v>
      </c>
      <c r="L299" s="31">
        <v>1</v>
      </c>
      <c r="M299" s="4">
        <v>1</v>
      </c>
      <c r="N299" s="4">
        <v>1</v>
      </c>
      <c r="O299" s="4">
        <v>0</v>
      </c>
      <c r="P299" s="4">
        <v>0</v>
      </c>
      <c r="Q299" s="32">
        <v>73.555999999999997</v>
      </c>
      <c r="R299" s="32">
        <v>73.64</v>
      </c>
      <c r="S299" s="32">
        <v>11597.574519999998</v>
      </c>
      <c r="T299" s="32">
        <v>11610.818799999999</v>
      </c>
      <c r="U299" s="33">
        <v>6.1330661292926755E-4</v>
      </c>
      <c r="V299" s="34">
        <v>6.1629260783026567E-4</v>
      </c>
      <c r="W299" s="34">
        <v>2.9859949009981195E-6</v>
      </c>
      <c r="X299" s="35">
        <v>6.4369989368616114</v>
      </c>
      <c r="Y299" s="36">
        <v>40825.768610779553</v>
      </c>
      <c r="Z299" s="37">
        <v>1.212357881672651E-3</v>
      </c>
      <c r="AA299" s="38">
        <v>1.2174209947837947E-3</v>
      </c>
      <c r="AB299" s="38">
        <v>5.0631131111437445E-6</v>
      </c>
      <c r="AC299" s="39">
        <v>9.6868808290609287E-2</v>
      </c>
      <c r="AD299" s="40">
        <v>614.37691565046805</v>
      </c>
      <c r="AE299" s="37">
        <v>0</v>
      </c>
      <c r="AF299" s="38">
        <v>0</v>
      </c>
      <c r="AG299" s="38">
        <v>0</v>
      </c>
      <c r="AH299" s="39">
        <v>0</v>
      </c>
      <c r="AI299" s="40">
        <v>0</v>
      </c>
      <c r="AJ299" s="39">
        <v>6.5338677451522207</v>
      </c>
      <c r="AK299" s="28">
        <v>41440.145526430024</v>
      </c>
      <c r="AL299" s="41">
        <f t="shared" si="4"/>
        <v>9.4691282456970871</v>
      </c>
      <c r="AM299" s="28">
        <v>1184971.125</v>
      </c>
      <c r="AN299" s="42">
        <v>3.4971439094290187E-2</v>
      </c>
      <c r="AP299" s="30"/>
      <c r="AR299" s="30"/>
    </row>
    <row r="300" spans="1:44" x14ac:dyDescent="0.2">
      <c r="A300" s="3" t="s">
        <v>1131</v>
      </c>
      <c r="B300" s="3" t="s">
        <v>366</v>
      </c>
      <c r="C300" s="3" t="s">
        <v>1836</v>
      </c>
      <c r="D300" s="27"/>
      <c r="E300" s="3" t="s">
        <v>668</v>
      </c>
      <c r="F300" s="133" t="s">
        <v>1058</v>
      </c>
      <c r="G300" s="3" t="s">
        <v>879</v>
      </c>
      <c r="H300" s="29">
        <v>22.67</v>
      </c>
      <c r="I300" s="30">
        <v>430.61900000000003</v>
      </c>
      <c r="J300" s="30">
        <v>430.68200000000002</v>
      </c>
      <c r="K300" s="31">
        <v>1</v>
      </c>
      <c r="L300" s="31">
        <v>1</v>
      </c>
      <c r="M300" s="4">
        <v>0</v>
      </c>
      <c r="N300" s="4">
        <v>0</v>
      </c>
      <c r="O300" s="4">
        <v>1</v>
      </c>
      <c r="P300" s="4">
        <v>1</v>
      </c>
      <c r="Q300" s="32">
        <v>430.61900000000003</v>
      </c>
      <c r="R300" s="32">
        <v>430.68200000000002</v>
      </c>
      <c r="S300" s="32">
        <v>9762.1327300000012</v>
      </c>
      <c r="T300" s="32">
        <v>9763.5609400000012</v>
      </c>
      <c r="U300" s="33">
        <v>5.1624419823967176E-4</v>
      </c>
      <c r="V300" s="34">
        <v>5.1824169656513133E-4</v>
      </c>
      <c r="W300" s="34">
        <v>1.9974983254595659E-6</v>
      </c>
      <c r="X300" s="35">
        <v>4.3060671647724869</v>
      </c>
      <c r="Y300" s="36">
        <v>189945.61820787325</v>
      </c>
      <c r="Z300" s="37">
        <v>0</v>
      </c>
      <c r="AA300" s="38">
        <v>0</v>
      </c>
      <c r="AB300" s="38">
        <v>0</v>
      </c>
      <c r="AC300" s="39">
        <v>0</v>
      </c>
      <c r="AD300" s="40">
        <v>0</v>
      </c>
      <c r="AE300" s="37">
        <v>1.0447732193548712E-3</v>
      </c>
      <c r="AF300" s="38">
        <v>1.0495566928193278E-3</v>
      </c>
      <c r="AG300" s="38">
        <v>4.7834734644566172E-6</v>
      </c>
      <c r="AH300" s="39">
        <v>6.7043596646686077E-2</v>
      </c>
      <c r="AI300" s="40">
        <v>2957.3708269380709</v>
      </c>
      <c r="AJ300" s="39">
        <v>4.3731107614191727</v>
      </c>
      <c r="AK300" s="28">
        <v>192902.98903481133</v>
      </c>
      <c r="AL300" s="41">
        <f t="shared" si="4"/>
        <v>44.055984240396249</v>
      </c>
      <c r="AM300" s="28">
        <v>5562505.5</v>
      </c>
      <c r="AN300" s="42">
        <v>3.4679154750464757E-2</v>
      </c>
      <c r="AP300" s="30"/>
      <c r="AR300" s="30"/>
    </row>
    <row r="301" spans="1:44" x14ac:dyDescent="0.2">
      <c r="A301" s="3" t="s">
        <v>241</v>
      </c>
      <c r="B301" s="3" t="s">
        <v>522</v>
      </c>
      <c r="C301" s="3" t="s">
        <v>1837</v>
      </c>
      <c r="D301" s="27"/>
      <c r="E301" s="3" t="s">
        <v>89</v>
      </c>
      <c r="F301" s="133" t="s">
        <v>1055</v>
      </c>
      <c r="G301" s="3" t="s">
        <v>881</v>
      </c>
      <c r="H301" s="29">
        <v>73.67</v>
      </c>
      <c r="I301" s="30">
        <v>181.43600000000001</v>
      </c>
      <c r="J301" s="30">
        <v>181.096</v>
      </c>
      <c r="K301" s="31">
        <v>1</v>
      </c>
      <c r="L301" s="31">
        <v>1</v>
      </c>
      <c r="M301" s="4">
        <v>1</v>
      </c>
      <c r="N301" s="4">
        <v>1</v>
      </c>
      <c r="O301" s="4">
        <v>0</v>
      </c>
      <c r="P301" s="4">
        <v>0</v>
      </c>
      <c r="Q301" s="32">
        <v>181.43600000000001</v>
      </c>
      <c r="R301" s="32">
        <v>181.096</v>
      </c>
      <c r="S301" s="32">
        <v>13366.39012</v>
      </c>
      <c r="T301" s="32">
        <v>13341.34232</v>
      </c>
      <c r="U301" s="33">
        <v>7.0684568031457908E-4</v>
      </c>
      <c r="V301" s="34">
        <v>7.0814735738956565E-4</v>
      </c>
      <c r="W301" s="34">
        <v>1.3016770749865649E-6</v>
      </c>
      <c r="X301" s="35">
        <v>2.8060643857847389</v>
      </c>
      <c r="Y301" s="36">
        <v>38089.648239239024</v>
      </c>
      <c r="Z301" s="37">
        <v>1.3972618484622123E-3</v>
      </c>
      <c r="AA301" s="38">
        <v>1.3988703569265538E-3</v>
      </c>
      <c r="AB301" s="38">
        <v>1.6085084643415425E-6</v>
      </c>
      <c r="AC301" s="39">
        <v>3.0774405913069788E-2</v>
      </c>
      <c r="AD301" s="40">
        <v>417.73321451160291</v>
      </c>
      <c r="AE301" s="37">
        <v>0</v>
      </c>
      <c r="AF301" s="38">
        <v>0</v>
      </c>
      <c r="AG301" s="38">
        <v>0</v>
      </c>
      <c r="AH301" s="39">
        <v>0</v>
      </c>
      <c r="AI301" s="40">
        <v>0</v>
      </c>
      <c r="AJ301" s="39">
        <v>2.8368387916978088</v>
      </c>
      <c r="AK301" s="28">
        <v>38507.381453750626</v>
      </c>
      <c r="AL301" s="41">
        <f t="shared" si="4"/>
        <v>8.8345125219666407</v>
      </c>
      <c r="AM301" s="28">
        <v>1133682.625</v>
      </c>
      <c r="AN301" s="42">
        <v>3.3966632816438046E-2</v>
      </c>
      <c r="AP301" s="30"/>
      <c r="AR301" s="30"/>
    </row>
    <row r="302" spans="1:44" x14ac:dyDescent="0.2">
      <c r="A302" s="3" t="s">
        <v>1547</v>
      </c>
      <c r="B302" s="3" t="s">
        <v>1511</v>
      </c>
      <c r="C302" s="3" t="s">
        <v>1838</v>
      </c>
      <c r="D302" s="27"/>
      <c r="E302" s="3" t="s">
        <v>2104</v>
      </c>
      <c r="F302" s="133" t="s">
        <v>1071</v>
      </c>
      <c r="G302" s="3" t="s">
        <v>881</v>
      </c>
      <c r="H302" s="29">
        <v>67.040000000000006</v>
      </c>
      <c r="I302" s="30">
        <v>123.253</v>
      </c>
      <c r="J302" s="30">
        <v>123.09</v>
      </c>
      <c r="K302" s="31">
        <v>1</v>
      </c>
      <c r="L302" s="31">
        <v>1</v>
      </c>
      <c r="M302" s="4">
        <v>1</v>
      </c>
      <c r="N302" s="4">
        <v>1</v>
      </c>
      <c r="O302" s="4">
        <v>0</v>
      </c>
      <c r="P302" s="4">
        <v>0</v>
      </c>
      <c r="Q302" s="32">
        <v>123.253</v>
      </c>
      <c r="R302" s="32">
        <v>123.09</v>
      </c>
      <c r="S302" s="32">
        <v>8262.88112</v>
      </c>
      <c r="T302" s="32">
        <v>8251.9536000000007</v>
      </c>
      <c r="U302" s="33">
        <v>4.369602992423276E-4</v>
      </c>
      <c r="V302" s="34">
        <v>4.3800683581750067E-4</v>
      </c>
      <c r="W302" s="34">
        <v>1.0465365751730635E-6</v>
      </c>
      <c r="X302" s="35">
        <v>2.2560503433960966</v>
      </c>
      <c r="Y302" s="36">
        <v>33652.302258294992</v>
      </c>
      <c r="Z302" s="37">
        <v>8.6376414601870943E-4</v>
      </c>
      <c r="AA302" s="38">
        <v>8.6523627090121489E-4</v>
      </c>
      <c r="AB302" s="38">
        <v>1.4721248825054619E-6</v>
      </c>
      <c r="AC302" s="39">
        <v>2.8165079446752408E-2</v>
      </c>
      <c r="AD302" s="40">
        <v>420.12350010072208</v>
      </c>
      <c r="AE302" s="37">
        <v>0</v>
      </c>
      <c r="AF302" s="38">
        <v>0</v>
      </c>
      <c r="AG302" s="38">
        <v>0</v>
      </c>
      <c r="AH302" s="39">
        <v>0</v>
      </c>
      <c r="AI302" s="40">
        <v>0</v>
      </c>
      <c r="AJ302" s="39">
        <v>2.2842154228428488</v>
      </c>
      <c r="AK302" s="28">
        <v>34072.425758395715</v>
      </c>
      <c r="AL302" s="41">
        <f t="shared" si="4"/>
        <v>7.8053145523050667</v>
      </c>
      <c r="AM302" s="28">
        <v>1080253.125</v>
      </c>
      <c r="AN302" s="42">
        <v>3.1541149911874324E-2</v>
      </c>
      <c r="AP302" s="30"/>
      <c r="AR302" s="30"/>
    </row>
    <row r="303" spans="1:44" x14ac:dyDescent="0.2">
      <c r="A303" s="3" t="s">
        <v>1442</v>
      </c>
      <c r="B303" s="3" t="s">
        <v>1430</v>
      </c>
      <c r="C303" s="3" t="s">
        <v>1839</v>
      </c>
      <c r="D303" s="27"/>
      <c r="E303" s="3" t="s">
        <v>1455</v>
      </c>
      <c r="F303" s="133" t="s">
        <v>1071</v>
      </c>
      <c r="G303" s="3" t="s">
        <v>881</v>
      </c>
      <c r="H303" s="29">
        <v>36.17</v>
      </c>
      <c r="I303" s="30">
        <v>529.91300000000001</v>
      </c>
      <c r="J303" s="30">
        <v>529.91300000000001</v>
      </c>
      <c r="K303" s="31">
        <v>1</v>
      </c>
      <c r="L303" s="31">
        <v>1</v>
      </c>
      <c r="M303" s="4">
        <v>0</v>
      </c>
      <c r="N303" s="4">
        <v>0</v>
      </c>
      <c r="O303" s="4">
        <v>1</v>
      </c>
      <c r="P303" s="4">
        <v>1</v>
      </c>
      <c r="Q303" s="32">
        <v>529.91300000000001</v>
      </c>
      <c r="R303" s="32">
        <v>529.91300000000001</v>
      </c>
      <c r="S303" s="32">
        <v>19166.95321</v>
      </c>
      <c r="T303" s="32">
        <v>19166.95321</v>
      </c>
      <c r="U303" s="33">
        <v>1.013592896784323E-3</v>
      </c>
      <c r="V303" s="34">
        <v>1.0173659395969199E-3</v>
      </c>
      <c r="W303" s="34">
        <v>3.7730428125968846E-6</v>
      </c>
      <c r="X303" s="35">
        <v>8.1336617705881284</v>
      </c>
      <c r="Y303" s="36">
        <v>224873.14820536712</v>
      </c>
      <c r="Z303" s="37">
        <v>0</v>
      </c>
      <c r="AA303" s="38">
        <v>0</v>
      </c>
      <c r="AB303" s="38">
        <v>0</v>
      </c>
      <c r="AC303" s="39">
        <v>0</v>
      </c>
      <c r="AD303" s="40">
        <v>0</v>
      </c>
      <c r="AE303" s="37">
        <v>2.0513057919092524E-3</v>
      </c>
      <c r="AF303" s="38">
        <v>2.0603962167219693E-3</v>
      </c>
      <c r="AG303" s="38">
        <v>9.0904248127169143E-6</v>
      </c>
      <c r="AH303" s="39">
        <v>0.12740841545779352</v>
      </c>
      <c r="AI303" s="40">
        <v>3522.4886772959221</v>
      </c>
      <c r="AJ303" s="39">
        <v>8.2610701860459219</v>
      </c>
      <c r="AK303" s="28">
        <v>228395.63688266304</v>
      </c>
      <c r="AL303" s="41">
        <f t="shared" si="4"/>
        <v>52.157075098104571</v>
      </c>
      <c r="AM303" s="28">
        <v>7336515.5</v>
      </c>
      <c r="AN303" s="42">
        <v>3.1131350691300665E-2</v>
      </c>
      <c r="AP303" s="30"/>
      <c r="AR303" s="30"/>
    </row>
    <row r="304" spans="1:44" x14ac:dyDescent="0.2">
      <c r="A304" s="3" t="s">
        <v>744</v>
      </c>
      <c r="B304" s="3" t="s">
        <v>1406</v>
      </c>
      <c r="C304" s="3" t="s">
        <v>1840</v>
      </c>
      <c r="D304" s="27"/>
      <c r="E304" s="3" t="s">
        <v>614</v>
      </c>
      <c r="F304" s="133" t="s">
        <v>1070</v>
      </c>
      <c r="G304" s="3" t="s">
        <v>879</v>
      </c>
      <c r="H304" s="29">
        <v>42.11</v>
      </c>
      <c r="I304" s="30">
        <v>183.14099999999999</v>
      </c>
      <c r="J304" s="30">
        <v>183.38900000000001</v>
      </c>
      <c r="K304" s="31">
        <v>1</v>
      </c>
      <c r="L304" s="31">
        <v>1</v>
      </c>
      <c r="M304" s="4">
        <v>1</v>
      </c>
      <c r="N304" s="4">
        <v>1</v>
      </c>
      <c r="O304" s="4">
        <v>0</v>
      </c>
      <c r="P304" s="4">
        <v>0</v>
      </c>
      <c r="Q304" s="32">
        <v>183.14099999999999</v>
      </c>
      <c r="R304" s="32">
        <v>183.38900000000001</v>
      </c>
      <c r="S304" s="32">
        <v>7712.0675099999999</v>
      </c>
      <c r="T304" s="32">
        <v>7722.5107900000003</v>
      </c>
      <c r="U304" s="33">
        <v>4.078319992756512E-4</v>
      </c>
      <c r="V304" s="34">
        <v>4.099044516797098E-4</v>
      </c>
      <c r="W304" s="34">
        <v>2.072452404058595E-6</v>
      </c>
      <c r="X304" s="35">
        <v>4.4676479243692677</v>
      </c>
      <c r="Y304" s="36">
        <v>106094.70254973327</v>
      </c>
      <c r="Z304" s="37">
        <v>8.0618458744251959E-4</v>
      </c>
      <c r="AA304" s="38">
        <v>8.0972297734853893E-4</v>
      </c>
      <c r="AB304" s="38">
        <v>3.5383899060193423E-6</v>
      </c>
      <c r="AC304" s="39">
        <v>6.769740393695968E-2</v>
      </c>
      <c r="AD304" s="40">
        <v>1607.632484848247</v>
      </c>
      <c r="AE304" s="37">
        <v>0</v>
      </c>
      <c r="AF304" s="38">
        <v>0</v>
      </c>
      <c r="AG304" s="38">
        <v>0</v>
      </c>
      <c r="AH304" s="39">
        <v>0</v>
      </c>
      <c r="AI304" s="40">
        <v>0</v>
      </c>
      <c r="AJ304" s="39">
        <v>4.5353453283062271</v>
      </c>
      <c r="AK304" s="28">
        <v>107702.33503458151</v>
      </c>
      <c r="AL304" s="41">
        <f t="shared" si="4"/>
        <v>24.607603942752256</v>
      </c>
      <c r="AM304" s="28">
        <v>3487533</v>
      </c>
      <c r="AN304" s="42">
        <v>3.0882097756374353E-2</v>
      </c>
      <c r="AP304" s="30"/>
      <c r="AR304" s="30"/>
    </row>
    <row r="305" spans="1:44" x14ac:dyDescent="0.2">
      <c r="A305" s="3" t="s">
        <v>1548</v>
      </c>
      <c r="B305" s="3" t="s">
        <v>1512</v>
      </c>
      <c r="C305" s="3" t="s">
        <v>1841</v>
      </c>
      <c r="D305" s="27"/>
      <c r="E305" s="3" t="s">
        <v>2105</v>
      </c>
      <c r="F305" s="133" t="s">
        <v>1055</v>
      </c>
      <c r="G305" s="3" t="s">
        <v>881</v>
      </c>
      <c r="H305" s="29">
        <v>75.92</v>
      </c>
      <c r="I305" s="30">
        <v>153.999</v>
      </c>
      <c r="J305" s="30">
        <v>153.73400000000001</v>
      </c>
      <c r="K305" s="31">
        <v>1</v>
      </c>
      <c r="L305" s="31">
        <v>1</v>
      </c>
      <c r="M305" s="4">
        <v>1</v>
      </c>
      <c r="N305" s="4">
        <v>1</v>
      </c>
      <c r="O305" s="4">
        <v>0</v>
      </c>
      <c r="P305" s="4">
        <v>0</v>
      </c>
      <c r="Q305" s="32">
        <v>153.999</v>
      </c>
      <c r="R305" s="32">
        <v>153.73400000000001</v>
      </c>
      <c r="S305" s="32">
        <v>11691.604079999999</v>
      </c>
      <c r="T305" s="32">
        <v>11671.485280000001</v>
      </c>
      <c r="U305" s="33">
        <v>6.1827911393448891E-4</v>
      </c>
      <c r="V305" s="34">
        <v>6.1951273414617063E-4</v>
      </c>
      <c r="W305" s="34">
        <v>1.2336202116817151E-6</v>
      </c>
      <c r="X305" s="35">
        <v>2.6593521604580919</v>
      </c>
      <c r="Y305" s="36">
        <v>35028.347740491197</v>
      </c>
      <c r="Z305" s="37">
        <v>1.2221873057457297E-3</v>
      </c>
      <c r="AA305" s="38">
        <v>1.2237820144245142E-3</v>
      </c>
      <c r="AB305" s="38">
        <v>1.5947086787844369E-6</v>
      </c>
      <c r="AC305" s="39">
        <v>3.0510384795579722E-2</v>
      </c>
      <c r="AD305" s="40">
        <v>401.87545831901639</v>
      </c>
      <c r="AE305" s="37">
        <v>0</v>
      </c>
      <c r="AF305" s="38">
        <v>0</v>
      </c>
      <c r="AG305" s="38">
        <v>0</v>
      </c>
      <c r="AH305" s="39">
        <v>0</v>
      </c>
      <c r="AI305" s="40">
        <v>0</v>
      </c>
      <c r="AJ305" s="39">
        <v>2.6898625452536717</v>
      </c>
      <c r="AK305" s="28">
        <v>35430.223198810214</v>
      </c>
      <c r="AL305" s="41">
        <f t="shared" si="4"/>
        <v>8.1244745237204636</v>
      </c>
      <c r="AM305" s="28">
        <v>1184072</v>
      </c>
      <c r="AN305" s="42">
        <v>2.9922355396302096E-2</v>
      </c>
      <c r="AP305" s="30"/>
      <c r="AR305" s="30"/>
    </row>
    <row r="306" spans="1:44" x14ac:dyDescent="0.2">
      <c r="A306" s="3" t="s">
        <v>235</v>
      </c>
      <c r="B306" s="3" t="s">
        <v>515</v>
      </c>
      <c r="C306" s="3" t="s">
        <v>1842</v>
      </c>
      <c r="D306" s="27"/>
      <c r="E306" s="3" t="s">
        <v>83</v>
      </c>
      <c r="F306" s="133" t="s">
        <v>1068</v>
      </c>
      <c r="G306" s="3" t="s">
        <v>879</v>
      </c>
      <c r="H306" s="29">
        <v>26.12</v>
      </c>
      <c r="I306" s="30">
        <v>151.036</v>
      </c>
      <c r="J306" s="30">
        <v>151.07</v>
      </c>
      <c r="K306" s="31">
        <v>1</v>
      </c>
      <c r="L306" s="31">
        <v>1</v>
      </c>
      <c r="M306" s="4">
        <v>0</v>
      </c>
      <c r="N306" s="4">
        <v>0</v>
      </c>
      <c r="O306" s="4">
        <v>1</v>
      </c>
      <c r="P306" s="4">
        <v>1</v>
      </c>
      <c r="Q306" s="32">
        <v>151.036</v>
      </c>
      <c r="R306" s="32">
        <v>151.07</v>
      </c>
      <c r="S306" s="32">
        <v>3945.06032</v>
      </c>
      <c r="T306" s="32">
        <v>3945.9483999999998</v>
      </c>
      <c r="U306" s="33">
        <v>2.0862393067519198E-4</v>
      </c>
      <c r="V306" s="34">
        <v>2.0944766012537071E-4</v>
      </c>
      <c r="W306" s="34">
        <v>8.2372945017872919E-7</v>
      </c>
      <c r="X306" s="35">
        <v>1.7757383287190747</v>
      </c>
      <c r="Y306" s="36">
        <v>67983.856382812955</v>
      </c>
      <c r="Z306" s="37">
        <v>0</v>
      </c>
      <c r="AA306" s="38">
        <v>0</v>
      </c>
      <c r="AB306" s="38">
        <v>0</v>
      </c>
      <c r="AC306" s="39">
        <v>0</v>
      </c>
      <c r="AD306" s="40">
        <v>0</v>
      </c>
      <c r="AE306" s="37">
        <v>4.2221238791490581E-4</v>
      </c>
      <c r="AF306" s="38">
        <v>4.2417890134454543E-4</v>
      </c>
      <c r="AG306" s="38">
        <v>1.9665134296396251E-6</v>
      </c>
      <c r="AH306" s="39">
        <v>2.7562007849880905E-2</v>
      </c>
      <c r="AI306" s="40">
        <v>1055.2070386631281</v>
      </c>
      <c r="AJ306" s="39">
        <v>1.8033003365689555</v>
      </c>
      <c r="AK306" s="28">
        <v>69039.063421476079</v>
      </c>
      <c r="AL306" s="41">
        <f t="shared" si="4"/>
        <v>15.768174773712273</v>
      </c>
      <c r="AM306" s="28">
        <v>2306653</v>
      </c>
      <c r="AN306" s="42">
        <v>2.9930407140335402E-2</v>
      </c>
      <c r="AP306" s="30"/>
      <c r="AR306" s="30"/>
    </row>
    <row r="307" spans="1:44" x14ac:dyDescent="0.2">
      <c r="A307" s="3" t="s">
        <v>734</v>
      </c>
      <c r="B307" s="3" t="s">
        <v>162</v>
      </c>
      <c r="C307" s="3" t="s">
        <v>1843</v>
      </c>
      <c r="D307" s="27"/>
      <c r="E307" s="3" t="s">
        <v>603</v>
      </c>
      <c r="F307" s="133" t="s">
        <v>1063</v>
      </c>
      <c r="G307" s="3" t="s">
        <v>879</v>
      </c>
      <c r="H307" s="29">
        <v>97.3</v>
      </c>
      <c r="I307" s="30">
        <v>428.3</v>
      </c>
      <c r="J307" s="30">
        <v>428.72500000000002</v>
      </c>
      <c r="K307" s="31">
        <v>1</v>
      </c>
      <c r="L307" s="31">
        <v>1</v>
      </c>
      <c r="M307" s="4">
        <v>1</v>
      </c>
      <c r="N307" s="4">
        <v>1</v>
      </c>
      <c r="O307" s="4">
        <v>0</v>
      </c>
      <c r="P307" s="4">
        <v>0</v>
      </c>
      <c r="Q307" s="32">
        <v>428.3</v>
      </c>
      <c r="R307" s="32">
        <v>428.72500000000002</v>
      </c>
      <c r="S307" s="32">
        <v>41673.589999999997</v>
      </c>
      <c r="T307" s="32">
        <v>41714.942499999997</v>
      </c>
      <c r="U307" s="33">
        <v>2.2037959995365479E-3</v>
      </c>
      <c r="V307" s="34">
        <v>2.2141944630825333E-3</v>
      </c>
      <c r="W307" s="34">
        <v>1.0398463545985455E-5</v>
      </c>
      <c r="X307" s="35">
        <v>22.416280338633019</v>
      </c>
      <c r="Y307" s="36">
        <v>230383.14839293956</v>
      </c>
      <c r="Z307" s="37">
        <v>4.356368239494147E-3</v>
      </c>
      <c r="AA307" s="38">
        <v>4.3739074453301085E-3</v>
      </c>
      <c r="AB307" s="38">
        <v>1.7539205835961566E-5</v>
      </c>
      <c r="AC307" s="39">
        <v>0.33556468725809213</v>
      </c>
      <c r="AD307" s="40">
        <v>3448.7634867224269</v>
      </c>
      <c r="AE307" s="37">
        <v>0</v>
      </c>
      <c r="AF307" s="38">
        <v>0</v>
      </c>
      <c r="AG307" s="38">
        <v>0</v>
      </c>
      <c r="AH307" s="39">
        <v>0</v>
      </c>
      <c r="AI307" s="40">
        <v>0</v>
      </c>
      <c r="AJ307" s="39">
        <v>22.751845025891111</v>
      </c>
      <c r="AK307" s="28">
        <v>233831.91187966199</v>
      </c>
      <c r="AL307" s="41">
        <f t="shared" si="4"/>
        <v>53.435064470634401</v>
      </c>
      <c r="AM307" s="28">
        <v>8058011</v>
      </c>
      <c r="AN307" s="42">
        <v>2.9018564491865548E-2</v>
      </c>
      <c r="AP307" s="30"/>
      <c r="AR307" s="30"/>
    </row>
    <row r="308" spans="1:44" x14ac:dyDescent="0.2">
      <c r="A308" s="3" t="s">
        <v>1150</v>
      </c>
      <c r="B308" s="3" t="s">
        <v>386</v>
      </c>
      <c r="C308" s="3" t="s">
        <v>1844</v>
      </c>
      <c r="D308" s="27"/>
      <c r="E308" s="3" t="s">
        <v>683</v>
      </c>
      <c r="F308" s="133" t="s">
        <v>1057</v>
      </c>
      <c r="G308" s="3" t="s">
        <v>881</v>
      </c>
      <c r="H308" s="29">
        <v>93.39</v>
      </c>
      <c r="I308" s="30">
        <v>185.81200000000001</v>
      </c>
      <c r="J308" s="30">
        <v>185.405</v>
      </c>
      <c r="K308" s="31">
        <v>1</v>
      </c>
      <c r="L308" s="31">
        <v>1</v>
      </c>
      <c r="M308" s="4">
        <v>1</v>
      </c>
      <c r="N308" s="4">
        <v>1</v>
      </c>
      <c r="O308" s="4">
        <v>0</v>
      </c>
      <c r="P308" s="4">
        <v>0</v>
      </c>
      <c r="Q308" s="32">
        <v>185.81200000000001</v>
      </c>
      <c r="R308" s="32">
        <v>185.405</v>
      </c>
      <c r="S308" s="32">
        <v>17352.982680000001</v>
      </c>
      <c r="T308" s="32">
        <v>17314.972949999999</v>
      </c>
      <c r="U308" s="33">
        <v>9.1766593207379078E-4</v>
      </c>
      <c r="V308" s="34">
        <v>9.1906436726633001E-4</v>
      </c>
      <c r="W308" s="34">
        <v>1.3984351925392345E-6</v>
      </c>
      <c r="X308" s="35">
        <v>3.014648767362575</v>
      </c>
      <c r="Y308" s="36">
        <v>32280.209523102851</v>
      </c>
      <c r="Z308" s="37">
        <v>1.8140021679832247E-3</v>
      </c>
      <c r="AA308" s="38">
        <v>1.8155146468605212E-3</v>
      </c>
      <c r="AB308" s="38">
        <v>1.5124788772964953E-6</v>
      </c>
      <c r="AC308" s="39">
        <v>2.8937142661490625E-2</v>
      </c>
      <c r="AD308" s="40">
        <v>309.85268938313118</v>
      </c>
      <c r="AE308" s="37">
        <v>0</v>
      </c>
      <c r="AF308" s="38">
        <v>0</v>
      </c>
      <c r="AG308" s="38">
        <v>0</v>
      </c>
      <c r="AH308" s="39">
        <v>0</v>
      </c>
      <c r="AI308" s="40">
        <v>0</v>
      </c>
      <c r="AJ308" s="39">
        <v>3.0435859100240656</v>
      </c>
      <c r="AK308" s="28">
        <v>32590.06221248598</v>
      </c>
      <c r="AL308" s="41">
        <f t="shared" si="4"/>
        <v>7.4870713809788763</v>
      </c>
      <c r="AM308" s="28">
        <v>1142910.375</v>
      </c>
      <c r="AN308" s="42">
        <v>2.851497626179654E-2</v>
      </c>
      <c r="AP308" s="30"/>
      <c r="AR308" s="30"/>
    </row>
    <row r="309" spans="1:44" x14ac:dyDescent="0.2">
      <c r="A309" s="3" t="s">
        <v>1191</v>
      </c>
      <c r="B309" s="3" t="s">
        <v>426</v>
      </c>
      <c r="C309" s="3" t="s">
        <v>1845</v>
      </c>
      <c r="D309" s="27"/>
      <c r="E309" s="3" t="s">
        <v>3</v>
      </c>
      <c r="F309" s="133" t="s">
        <v>1069</v>
      </c>
      <c r="G309" s="3" t="s">
        <v>879</v>
      </c>
      <c r="H309" s="29">
        <v>9.76</v>
      </c>
      <c r="I309" s="30">
        <v>1085.23152</v>
      </c>
      <c r="J309" s="30">
        <v>1085.519</v>
      </c>
      <c r="K309" s="31">
        <v>1</v>
      </c>
      <c r="L309" s="31">
        <v>1</v>
      </c>
      <c r="M309" s="4">
        <v>0.49</v>
      </c>
      <c r="N309" s="4">
        <v>0.49</v>
      </c>
      <c r="O309" s="4">
        <v>0.51</v>
      </c>
      <c r="P309" s="4">
        <v>0.51</v>
      </c>
      <c r="Q309" s="32">
        <v>1085.23152</v>
      </c>
      <c r="R309" s="32">
        <v>1085.519</v>
      </c>
      <c r="S309" s="32">
        <v>10591.8596352</v>
      </c>
      <c r="T309" s="32">
        <v>10594.665440000001</v>
      </c>
      <c r="U309" s="33">
        <v>5.6012207951622122E-4</v>
      </c>
      <c r="V309" s="34">
        <v>5.6235603238479533E-4</v>
      </c>
      <c r="W309" s="34">
        <v>2.2339528685741145E-6</v>
      </c>
      <c r="X309" s="35">
        <v>4.8157993287944931</v>
      </c>
      <c r="Y309" s="36">
        <v>493422.06237648497</v>
      </c>
      <c r="Z309" s="37">
        <v>5.4254025263633437E-4</v>
      </c>
      <c r="AA309" s="38">
        <v>5.4432874176707361E-4</v>
      </c>
      <c r="AB309" s="38">
        <v>1.7884891307392388E-6</v>
      </c>
      <c r="AC309" s="39">
        <v>3.421784323840265E-2</v>
      </c>
      <c r="AD309" s="40">
        <v>3505.9265613117468</v>
      </c>
      <c r="AE309" s="37">
        <v>5.7812229294608626E-4</v>
      </c>
      <c r="AF309" s="38">
        <v>5.8083808411955786E-4</v>
      </c>
      <c r="AG309" s="38">
        <v>2.7157911734716029E-6</v>
      </c>
      <c r="AH309" s="39">
        <v>3.8063639186831678E-2</v>
      </c>
      <c r="AI309" s="40">
        <v>3899.9630314376723</v>
      </c>
      <c r="AJ309" s="39">
        <v>4.8880808112197274</v>
      </c>
      <c r="AK309" s="28">
        <v>500827.95196923439</v>
      </c>
      <c r="AL309" s="41">
        <f t="shared" si="4"/>
        <v>114.44430679170669</v>
      </c>
      <c r="AM309" s="28">
        <v>17652358</v>
      </c>
      <c r="AN309" s="42">
        <v>2.8371730959072684E-2</v>
      </c>
      <c r="AP309" s="30"/>
      <c r="AR309" s="30"/>
    </row>
    <row r="310" spans="1:44" x14ac:dyDescent="0.2">
      <c r="A310" s="3" t="s">
        <v>914</v>
      </c>
      <c r="B310" s="3" t="s">
        <v>996</v>
      </c>
      <c r="C310" s="3" t="s">
        <v>1846</v>
      </c>
      <c r="D310" s="27"/>
      <c r="E310" s="3" t="s">
        <v>800</v>
      </c>
      <c r="F310" s="133" t="s">
        <v>1064</v>
      </c>
      <c r="G310" s="3" t="s">
        <v>881</v>
      </c>
      <c r="H310" s="29">
        <v>45.01</v>
      </c>
      <c r="I310" s="30">
        <v>524</v>
      </c>
      <c r="J310" s="30">
        <v>523.6</v>
      </c>
      <c r="K310" s="31">
        <v>1</v>
      </c>
      <c r="L310" s="31">
        <v>1</v>
      </c>
      <c r="M310" s="4">
        <v>0.5</v>
      </c>
      <c r="N310" s="4">
        <v>0.5</v>
      </c>
      <c r="O310" s="4">
        <v>0.5</v>
      </c>
      <c r="P310" s="4">
        <v>0.5</v>
      </c>
      <c r="Q310" s="32">
        <v>524</v>
      </c>
      <c r="R310" s="32">
        <v>523.6</v>
      </c>
      <c r="S310" s="32">
        <v>23585.239999999998</v>
      </c>
      <c r="T310" s="32">
        <v>23567.236000000001</v>
      </c>
      <c r="U310" s="33">
        <v>1.2472421396886942E-3</v>
      </c>
      <c r="V310" s="34">
        <v>1.2509292913770492E-3</v>
      </c>
      <c r="W310" s="34">
        <v>3.687151688355067E-6</v>
      </c>
      <c r="X310" s="35">
        <v>7.9485036930423103</v>
      </c>
      <c r="Y310" s="36">
        <v>176594.172251551</v>
      </c>
      <c r="Z310" s="37">
        <v>1.2327470522319644E-3</v>
      </c>
      <c r="AA310" s="38">
        <v>1.2355393874299574E-3</v>
      </c>
      <c r="AB310" s="38">
        <v>2.7923351979930022E-6</v>
      </c>
      <c r="AC310" s="39">
        <v>5.3423689544317053E-2</v>
      </c>
      <c r="AD310" s="40">
        <v>1186.9293389095103</v>
      </c>
      <c r="AE310" s="37">
        <v>1.2620821599942168E-3</v>
      </c>
      <c r="AF310" s="38">
        <v>1.2667074250397724E-3</v>
      </c>
      <c r="AG310" s="38">
        <v>4.6252650455556703E-6</v>
      </c>
      <c r="AH310" s="39">
        <v>6.4826199288528064E-2</v>
      </c>
      <c r="AI310" s="40">
        <v>1440.2621481565889</v>
      </c>
      <c r="AJ310" s="39">
        <v>8.0667535818751563</v>
      </c>
      <c r="AK310" s="28">
        <v>179221.3637386171</v>
      </c>
      <c r="AL310" s="41">
        <f t="shared" si="4"/>
        <v>40.959250037270245</v>
      </c>
      <c r="AM310" s="28">
        <v>6381518</v>
      </c>
      <c r="AN310" s="42">
        <v>2.8084440683018852E-2</v>
      </c>
      <c r="AP310" s="30"/>
      <c r="AR310" s="30"/>
    </row>
    <row r="311" spans="1:44" x14ac:dyDescent="0.2">
      <c r="A311" s="3" t="s">
        <v>1246</v>
      </c>
      <c r="B311" s="3" t="s">
        <v>1255</v>
      </c>
      <c r="C311" s="3" t="s">
        <v>1847</v>
      </c>
      <c r="D311" s="27"/>
      <c r="E311" s="3" t="s">
        <v>53</v>
      </c>
      <c r="F311" s="133" t="s">
        <v>1056</v>
      </c>
      <c r="G311" s="3" t="s">
        <v>879</v>
      </c>
      <c r="H311" s="29">
        <v>16.91</v>
      </c>
      <c r="I311" s="30">
        <v>1037.04</v>
      </c>
      <c r="J311" s="30">
        <v>1038.3910000000001</v>
      </c>
      <c r="K311" s="31">
        <v>1</v>
      </c>
      <c r="L311" s="31">
        <v>1</v>
      </c>
      <c r="M311" s="4">
        <v>0.48</v>
      </c>
      <c r="N311" s="4">
        <v>0.48</v>
      </c>
      <c r="O311" s="4">
        <v>0.52</v>
      </c>
      <c r="P311" s="4">
        <v>0.52</v>
      </c>
      <c r="Q311" s="32">
        <v>1037.04</v>
      </c>
      <c r="R311" s="32">
        <v>1038.3910000000001</v>
      </c>
      <c r="S311" s="32">
        <v>17536.346399999999</v>
      </c>
      <c r="T311" s="32">
        <v>17559.19181</v>
      </c>
      <c r="U311" s="33">
        <v>9.273626304526953E-4</v>
      </c>
      <c r="V311" s="34">
        <v>9.3202730129392296E-4</v>
      </c>
      <c r="W311" s="34">
        <v>4.6646708412276553E-6</v>
      </c>
      <c r="X311" s="35">
        <v>10.055771105220211</v>
      </c>
      <c r="Y311" s="36">
        <v>594664.16943939752</v>
      </c>
      <c r="Z311" s="37">
        <v>8.7992168654030549E-4</v>
      </c>
      <c r="AA311" s="38">
        <v>8.8373834627806255E-4</v>
      </c>
      <c r="AB311" s="38">
        <v>3.8166597377570655E-6</v>
      </c>
      <c r="AC311" s="39">
        <v>7.3021335358585057E-2</v>
      </c>
      <c r="AD311" s="40">
        <v>4318.2339064804883</v>
      </c>
      <c r="AE311" s="37">
        <v>9.7593250442376501E-4</v>
      </c>
      <c r="AF311" s="38">
        <v>9.8153440603563117E-4</v>
      </c>
      <c r="AG311" s="38">
        <v>5.6019016118661561E-6</v>
      </c>
      <c r="AH311" s="39">
        <v>7.8514417381227913E-2</v>
      </c>
      <c r="AI311" s="40">
        <v>4643.0761313558787</v>
      </c>
      <c r="AJ311" s="39">
        <v>10.207306857960024</v>
      </c>
      <c r="AK311" s="28">
        <v>603625.47947723384</v>
      </c>
      <c r="AL311" s="41">
        <f t="shared" si="4"/>
        <v>137.92639979975328</v>
      </c>
      <c r="AM311" s="28">
        <v>23396388</v>
      </c>
      <c r="AN311" s="42">
        <v>2.5799943114177874E-2</v>
      </c>
      <c r="AP311" s="30"/>
      <c r="AR311" s="30"/>
    </row>
    <row r="312" spans="1:44" x14ac:dyDescent="0.2">
      <c r="A312" s="3" t="s">
        <v>1450</v>
      </c>
      <c r="B312" s="3" t="s">
        <v>1437</v>
      </c>
      <c r="C312" s="3" t="s">
        <v>1848</v>
      </c>
      <c r="D312" s="27"/>
      <c r="E312" s="3" t="s">
        <v>1470</v>
      </c>
      <c r="F312" s="133" t="s">
        <v>1065</v>
      </c>
      <c r="G312" s="3" t="s">
        <v>879</v>
      </c>
      <c r="H312" s="29">
        <v>69.98</v>
      </c>
      <c r="I312" s="30">
        <v>215.24100000000001</v>
      </c>
      <c r="J312" s="30">
        <v>215.26499999999999</v>
      </c>
      <c r="K312" s="31">
        <v>0.78</v>
      </c>
      <c r="L312" s="31">
        <v>0.78</v>
      </c>
      <c r="M312" s="4">
        <v>0.67</v>
      </c>
      <c r="N312" s="4">
        <v>0.67</v>
      </c>
      <c r="O312" s="4">
        <v>0.33</v>
      </c>
      <c r="P312" s="4">
        <v>0.33</v>
      </c>
      <c r="Q312" s="32">
        <v>167.88798000000003</v>
      </c>
      <c r="R312" s="32">
        <v>167.9067</v>
      </c>
      <c r="S312" s="32">
        <v>11748.800840400003</v>
      </c>
      <c r="T312" s="32">
        <v>11750.110866000001</v>
      </c>
      <c r="U312" s="33">
        <v>6.2130381115294258E-4</v>
      </c>
      <c r="V312" s="34">
        <v>6.2368611487605705E-4</v>
      </c>
      <c r="W312" s="34">
        <v>2.3823037231144673E-6</v>
      </c>
      <c r="X312" s="35">
        <v>5.1356037238520864</v>
      </c>
      <c r="Y312" s="36">
        <v>73386.735122207567</v>
      </c>
      <c r="Z312" s="37">
        <v>8.2287148523284618E-4</v>
      </c>
      <c r="AA312" s="38">
        <v>8.2545747865213023E-4</v>
      </c>
      <c r="AB312" s="38">
        <v>2.5859934192840528E-6</v>
      </c>
      <c r="AC312" s="39">
        <v>4.9475904502717362E-2</v>
      </c>
      <c r="AD312" s="40">
        <v>707.0006359348007</v>
      </c>
      <c r="AE312" s="37">
        <v>4.149395249620516E-4</v>
      </c>
      <c r="AF312" s="38">
        <v>4.1682481425237098E-4</v>
      </c>
      <c r="AG312" s="38">
        <v>1.8852892903193741E-6</v>
      </c>
      <c r="AH312" s="39">
        <v>2.6423596928397988E-2</v>
      </c>
      <c r="AI312" s="40">
        <v>377.58783835950248</v>
      </c>
      <c r="AJ312" s="39">
        <v>5.2115032252832014</v>
      </c>
      <c r="AK312" s="28">
        <v>74471.323596501868</v>
      </c>
      <c r="AL312" s="41">
        <f t="shared" si="4"/>
        <v>17.021318398931601</v>
      </c>
      <c r="AM312" s="28">
        <v>2910675</v>
      </c>
      <c r="AN312" s="42">
        <v>2.558558533553278E-2</v>
      </c>
      <c r="AP312" s="30"/>
      <c r="AR312" s="30"/>
    </row>
    <row r="313" spans="1:44" x14ac:dyDescent="0.2">
      <c r="A313" s="3" t="s">
        <v>1182</v>
      </c>
      <c r="B313" s="3" t="s">
        <v>1308</v>
      </c>
      <c r="C313" s="3" t="s">
        <v>1849</v>
      </c>
      <c r="D313" s="27"/>
      <c r="E313" s="3" t="s">
        <v>607</v>
      </c>
      <c r="F313" s="133" t="s">
        <v>1062</v>
      </c>
      <c r="G313" s="3" t="s">
        <v>881</v>
      </c>
      <c r="H313" s="29">
        <v>4.66</v>
      </c>
      <c r="I313" s="30">
        <v>1173.08</v>
      </c>
      <c r="J313" s="30">
        <v>1173.0709999999999</v>
      </c>
      <c r="K313" s="31">
        <v>1</v>
      </c>
      <c r="L313" s="31">
        <v>1</v>
      </c>
      <c r="M313" s="4">
        <v>0</v>
      </c>
      <c r="N313" s="4">
        <v>0</v>
      </c>
      <c r="O313" s="4">
        <v>1</v>
      </c>
      <c r="P313" s="4">
        <v>1</v>
      </c>
      <c r="Q313" s="32">
        <v>1173.08</v>
      </c>
      <c r="R313" s="32">
        <v>1173.0709999999999</v>
      </c>
      <c r="S313" s="32">
        <v>5466.5527999999995</v>
      </c>
      <c r="T313" s="32">
        <v>5466.5108599999994</v>
      </c>
      <c r="U313" s="33">
        <v>2.8908397841163463E-4</v>
      </c>
      <c r="V313" s="34">
        <v>2.9015785119666738E-4</v>
      </c>
      <c r="W313" s="34">
        <v>1.073872785032758E-6</v>
      </c>
      <c r="X313" s="35">
        <v>2.3149798324403883</v>
      </c>
      <c r="Y313" s="36">
        <v>496776.78807733656</v>
      </c>
      <c r="Z313" s="37">
        <v>0</v>
      </c>
      <c r="AA313" s="38">
        <v>0</v>
      </c>
      <c r="AB313" s="38">
        <v>0</v>
      </c>
      <c r="AC313" s="39">
        <v>0</v>
      </c>
      <c r="AD313" s="40">
        <v>0</v>
      </c>
      <c r="AE313" s="37">
        <v>5.8504715368988688E-4</v>
      </c>
      <c r="AF313" s="38">
        <v>5.8763529973752981E-4</v>
      </c>
      <c r="AG313" s="38">
        <v>2.588146047642929E-6</v>
      </c>
      <c r="AH313" s="39">
        <v>3.6274606929506251E-2</v>
      </c>
      <c r="AI313" s="40">
        <v>7784.2504140571355</v>
      </c>
      <c r="AJ313" s="39">
        <v>2.3512544393698946</v>
      </c>
      <c r="AK313" s="28">
        <v>504561.03849139367</v>
      </c>
      <c r="AL313" s="41">
        <f t="shared" si="4"/>
        <v>115.22240182754915</v>
      </c>
      <c r="AM313" s="28">
        <v>19824360</v>
      </c>
      <c r="AN313" s="42">
        <v>2.5451567591155209E-2</v>
      </c>
      <c r="AP313" s="30"/>
      <c r="AR313" s="30"/>
    </row>
    <row r="314" spans="1:44" x14ac:dyDescent="0.2">
      <c r="A314" s="3" t="s">
        <v>740</v>
      </c>
      <c r="B314" s="3" t="s">
        <v>1377</v>
      </c>
      <c r="C314" s="3" t="s">
        <v>1850</v>
      </c>
      <c r="D314" s="27"/>
      <c r="E314" s="3" t="s">
        <v>1427</v>
      </c>
      <c r="F314" s="133" t="s">
        <v>1054</v>
      </c>
      <c r="G314" s="3" t="s">
        <v>879</v>
      </c>
      <c r="H314" s="29">
        <v>89.04</v>
      </c>
      <c r="I314" s="30">
        <v>143.22300000000001</v>
      </c>
      <c r="J314" s="30">
        <v>143.28100000000001</v>
      </c>
      <c r="K314" s="31">
        <v>1</v>
      </c>
      <c r="L314" s="31">
        <v>1</v>
      </c>
      <c r="M314" s="4">
        <v>0.42</v>
      </c>
      <c r="N314" s="4">
        <v>0.42</v>
      </c>
      <c r="O314" s="4">
        <v>0.57999999999999996</v>
      </c>
      <c r="P314" s="4">
        <v>0.57999999999999996</v>
      </c>
      <c r="Q314" s="32">
        <v>143.22300000000001</v>
      </c>
      <c r="R314" s="32">
        <v>143.28100000000001</v>
      </c>
      <c r="S314" s="32">
        <v>12752.575920000003</v>
      </c>
      <c r="T314" s="32">
        <v>12757.740240000001</v>
      </c>
      <c r="U314" s="33">
        <v>6.7438576317236211E-4</v>
      </c>
      <c r="V314" s="34">
        <v>6.771702442321054E-4</v>
      </c>
      <c r="W314" s="34">
        <v>2.7844810597432886E-6</v>
      </c>
      <c r="X314" s="35">
        <v>6.0025894938023967</v>
      </c>
      <c r="Y314" s="36">
        <v>67414.527109191346</v>
      </c>
      <c r="Z314" s="37">
        <v>5.5990052736140238E-4</v>
      </c>
      <c r="AA314" s="38">
        <v>5.6182490264623732E-4</v>
      </c>
      <c r="AB314" s="38">
        <v>1.9243752848349368E-6</v>
      </c>
      <c r="AC314" s="39">
        <v>3.6817652786696707E-2</v>
      </c>
      <c r="AD314" s="40">
        <v>413.49565124322442</v>
      </c>
      <c r="AE314" s="37">
        <v>7.9159535084741359E-4</v>
      </c>
      <c r="AF314" s="38">
        <v>7.9542531737428006E-4</v>
      </c>
      <c r="AG314" s="38">
        <v>3.8299665268664695E-6</v>
      </c>
      <c r="AH314" s="39">
        <v>5.3679555851098106E-2</v>
      </c>
      <c r="AI314" s="40">
        <v>602.87012411386002</v>
      </c>
      <c r="AJ314" s="39">
        <v>6.0930867024401918</v>
      </c>
      <c r="AK314" s="28">
        <v>68430.892884548433</v>
      </c>
      <c r="AL314" s="41">
        <f t="shared" si="4"/>
        <v>15.636124549322151</v>
      </c>
      <c r="AM314" s="28">
        <v>2721464.25</v>
      </c>
      <c r="AN314" s="42">
        <v>2.514488032850273E-2</v>
      </c>
      <c r="AP314" s="30"/>
      <c r="AR314" s="30"/>
    </row>
    <row r="315" spans="1:44" x14ac:dyDescent="0.2">
      <c r="A315" s="3" t="s">
        <v>1218</v>
      </c>
      <c r="B315" s="3" t="s">
        <v>453</v>
      </c>
      <c r="C315" s="3" t="s">
        <v>1851</v>
      </c>
      <c r="D315" s="27"/>
      <c r="E315" s="3" t="s">
        <v>27</v>
      </c>
      <c r="F315" s="133" t="s">
        <v>1069</v>
      </c>
      <c r="G315" s="3" t="s">
        <v>881</v>
      </c>
      <c r="H315" s="29">
        <v>12.32</v>
      </c>
      <c r="I315" s="30">
        <v>1082.8930800000001</v>
      </c>
      <c r="J315" s="30">
        <v>1082.181</v>
      </c>
      <c r="K315" s="31">
        <v>1</v>
      </c>
      <c r="L315" s="31">
        <v>1</v>
      </c>
      <c r="M315" s="4">
        <v>0</v>
      </c>
      <c r="N315" s="4">
        <v>0</v>
      </c>
      <c r="O315" s="4">
        <v>1</v>
      </c>
      <c r="P315" s="4">
        <v>1</v>
      </c>
      <c r="Q315" s="32">
        <v>1082.8930800000001</v>
      </c>
      <c r="R315" s="32">
        <v>1082.181</v>
      </c>
      <c r="S315" s="32">
        <v>13341.2427456</v>
      </c>
      <c r="T315" s="32">
        <v>13332.469920000001</v>
      </c>
      <c r="U315" s="33">
        <v>7.0551582888825446E-4</v>
      </c>
      <c r="V315" s="34">
        <v>7.0767641777472017E-4</v>
      </c>
      <c r="W315" s="34">
        <v>2.160588886465707E-6</v>
      </c>
      <c r="X315" s="35">
        <v>4.6576463879847489</v>
      </c>
      <c r="Y315" s="36">
        <v>378055.71331045043</v>
      </c>
      <c r="Z315" s="37">
        <v>0</v>
      </c>
      <c r="AA315" s="38">
        <v>0</v>
      </c>
      <c r="AB315" s="38">
        <v>0</v>
      </c>
      <c r="AC315" s="39">
        <v>0</v>
      </c>
      <c r="AD315" s="40">
        <v>0</v>
      </c>
      <c r="AE315" s="37">
        <v>1.4278204895412576E-3</v>
      </c>
      <c r="AF315" s="38">
        <v>1.4332048647353829E-3</v>
      </c>
      <c r="AG315" s="38">
        <v>5.384375194125322E-6</v>
      </c>
      <c r="AH315" s="39">
        <v>7.5465638388435549E-2</v>
      </c>
      <c r="AI315" s="40">
        <v>6125.4576613989893</v>
      </c>
      <c r="AJ315" s="39">
        <v>4.7331120263731847</v>
      </c>
      <c r="AK315" s="28">
        <v>384181.17097184941</v>
      </c>
      <c r="AL315" s="41">
        <f t="shared" si="4"/>
        <v>87.68623727539395</v>
      </c>
      <c r="AM315" s="28">
        <v>16941806</v>
      </c>
      <c r="AN315" s="42">
        <v>2.2676518133417974E-2</v>
      </c>
      <c r="AP315" s="30"/>
      <c r="AR315" s="30"/>
    </row>
    <row r="316" spans="1:44" x14ac:dyDescent="0.2">
      <c r="A316" s="3" t="s">
        <v>1549</v>
      </c>
      <c r="B316" s="3" t="s">
        <v>1513</v>
      </c>
      <c r="C316" s="3" t="s">
        <v>1852</v>
      </c>
      <c r="D316" s="27"/>
      <c r="E316" s="3" t="s">
        <v>2106</v>
      </c>
      <c r="F316" s="133" t="s">
        <v>1059</v>
      </c>
      <c r="G316" s="3" t="s">
        <v>881</v>
      </c>
      <c r="H316" s="29">
        <v>123.92</v>
      </c>
      <c r="I316" s="30">
        <v>138.441</v>
      </c>
      <c r="J316" s="30">
        <v>138.05099999999999</v>
      </c>
      <c r="K316" s="31">
        <v>1</v>
      </c>
      <c r="L316" s="31">
        <v>1</v>
      </c>
      <c r="M316" s="4">
        <v>0.6</v>
      </c>
      <c r="N316" s="4">
        <v>0.6</v>
      </c>
      <c r="O316" s="4">
        <v>0.4</v>
      </c>
      <c r="P316" s="4">
        <v>0.4</v>
      </c>
      <c r="Q316" s="32">
        <v>138.441</v>
      </c>
      <c r="R316" s="32">
        <v>138.05099999999999</v>
      </c>
      <c r="S316" s="32">
        <v>17155.60872</v>
      </c>
      <c r="T316" s="32">
        <v>17107.279919999997</v>
      </c>
      <c r="U316" s="33">
        <v>9.0722833974107625E-4</v>
      </c>
      <c r="V316" s="34">
        <v>9.0804019392492271E-4</v>
      </c>
      <c r="W316" s="34">
        <v>8.118541838464605E-7</v>
      </c>
      <c r="X316" s="35">
        <v>1.7501384602363084</v>
      </c>
      <c r="Y316" s="36">
        <v>14123.131538382087</v>
      </c>
      <c r="Z316" s="37">
        <v>1.0760217532062419E-3</v>
      </c>
      <c r="AA316" s="38">
        <v>1.0762425336403271E-3</v>
      </c>
      <c r="AB316" s="38">
        <v>2.2078043408518995E-7</v>
      </c>
      <c r="AC316" s="39">
        <v>4.224029184069434E-3</v>
      </c>
      <c r="AD316" s="40">
        <v>34.086742931483492</v>
      </c>
      <c r="AE316" s="37">
        <v>7.3441822798846136E-4</v>
      </c>
      <c r="AF316" s="38">
        <v>7.3559473828489015E-4</v>
      </c>
      <c r="AG316" s="38">
        <v>1.1765102964287873E-6</v>
      </c>
      <c r="AH316" s="39">
        <v>1.6489582800143083E-2</v>
      </c>
      <c r="AI316" s="40">
        <v>133.0663557145181</v>
      </c>
      <c r="AJ316" s="39">
        <v>1.7708520722205208</v>
      </c>
      <c r="AK316" s="28">
        <v>14290.284637028089</v>
      </c>
      <c r="AL316" s="41">
        <f t="shared" si="4"/>
        <v>3.2757189470886883</v>
      </c>
      <c r="AM316" s="28">
        <v>652945.6875</v>
      </c>
      <c r="AN316" s="42">
        <v>2.1885870311423243E-2</v>
      </c>
      <c r="AP316" s="30"/>
      <c r="AR316" s="30"/>
    </row>
    <row r="317" spans="1:44" x14ac:dyDescent="0.2">
      <c r="A317" s="3" t="s">
        <v>1177</v>
      </c>
      <c r="B317" s="3" t="s">
        <v>413</v>
      </c>
      <c r="C317" s="3" t="s">
        <v>1853</v>
      </c>
      <c r="D317" s="27"/>
      <c r="E317" s="3" t="s">
        <v>706</v>
      </c>
      <c r="F317" s="133" t="s">
        <v>1051</v>
      </c>
      <c r="G317" s="3" t="s">
        <v>881</v>
      </c>
      <c r="H317" s="29">
        <v>31.23</v>
      </c>
      <c r="I317" s="30">
        <v>137.63200000000001</v>
      </c>
      <c r="J317" s="30">
        <v>137.28100000000001</v>
      </c>
      <c r="K317" s="31">
        <v>1</v>
      </c>
      <c r="L317" s="31">
        <v>1</v>
      </c>
      <c r="M317" s="4">
        <v>0.49</v>
      </c>
      <c r="N317" s="4">
        <v>0.49</v>
      </c>
      <c r="O317" s="4">
        <v>0.51</v>
      </c>
      <c r="P317" s="4">
        <v>0.51</v>
      </c>
      <c r="Q317" s="32">
        <v>137.63200000000001</v>
      </c>
      <c r="R317" s="32">
        <v>137.28100000000001</v>
      </c>
      <c r="S317" s="32">
        <v>4298.2473600000003</v>
      </c>
      <c r="T317" s="32">
        <v>4287.2856300000003</v>
      </c>
      <c r="U317" s="33">
        <v>2.2730127970704058E-4</v>
      </c>
      <c r="V317" s="34">
        <v>2.2756555648133309E-4</v>
      </c>
      <c r="W317" s="34">
        <v>2.6427677429251349E-7</v>
      </c>
      <c r="X317" s="35">
        <v>0.56970938382697411</v>
      </c>
      <c r="Y317" s="36">
        <v>18242.375402720914</v>
      </c>
      <c r="Z317" s="37">
        <v>2.2016645696833049E-4</v>
      </c>
      <c r="AA317" s="38">
        <v>2.2027055085318065E-4</v>
      </c>
      <c r="AB317" s="38">
        <v>1.0409388485015493E-7</v>
      </c>
      <c r="AC317" s="39">
        <v>1.9915515127602178E-3</v>
      </c>
      <c r="AD317" s="40">
        <v>63.770461503689333</v>
      </c>
      <c r="AE317" s="37">
        <v>2.3460588650122728E-4</v>
      </c>
      <c r="AF317" s="38">
        <v>2.3504458781687702E-4</v>
      </c>
      <c r="AG317" s="38">
        <v>4.3870131564974408E-7</v>
      </c>
      <c r="AH317" s="39">
        <v>6.1486938880997944E-3</v>
      </c>
      <c r="AI317" s="40">
        <v>196.88421031379426</v>
      </c>
      <c r="AJ317" s="39">
        <v>0.57784962922783412</v>
      </c>
      <c r="AK317" s="28">
        <v>18503.030074538397</v>
      </c>
      <c r="AL317" s="41">
        <f t="shared" si="4"/>
        <v>4.2311363159224058</v>
      </c>
      <c r="AM317" s="28">
        <v>878809.8125</v>
      </c>
      <c r="AN317" s="42">
        <v>2.1054646649770307E-2</v>
      </c>
      <c r="AP317" s="30"/>
      <c r="AR317" s="30"/>
    </row>
    <row r="318" spans="1:44" x14ac:dyDescent="0.2">
      <c r="A318" s="3" t="s">
        <v>1288</v>
      </c>
      <c r="B318" s="3" t="s">
        <v>1286</v>
      </c>
      <c r="C318" s="3" t="s">
        <v>1854</v>
      </c>
      <c r="D318" s="27"/>
      <c r="E318" s="3" t="s">
        <v>1290</v>
      </c>
      <c r="F318" s="133" t="s">
        <v>1064</v>
      </c>
      <c r="G318" s="3" t="s">
        <v>881</v>
      </c>
      <c r="H318" s="29">
        <v>42.29</v>
      </c>
      <c r="I318" s="30">
        <v>529.83500000000004</v>
      </c>
      <c r="J318" s="30">
        <v>528.76</v>
      </c>
      <c r="K318" s="31">
        <v>1</v>
      </c>
      <c r="L318" s="31">
        <v>1</v>
      </c>
      <c r="M318" s="4">
        <v>0</v>
      </c>
      <c r="N318" s="4">
        <v>0</v>
      </c>
      <c r="O318" s="4">
        <v>1</v>
      </c>
      <c r="P318" s="4">
        <v>1</v>
      </c>
      <c r="Q318" s="32">
        <v>529.83500000000004</v>
      </c>
      <c r="R318" s="32">
        <v>528.76</v>
      </c>
      <c r="S318" s="32">
        <v>22406.722150000001</v>
      </c>
      <c r="T318" s="32">
        <v>22361.260399999999</v>
      </c>
      <c r="U318" s="33">
        <v>1.184919385080502E-3</v>
      </c>
      <c r="V318" s="34">
        <v>1.1869171092643053E-3</v>
      </c>
      <c r="W318" s="34">
        <v>1.9977241838033122E-6</v>
      </c>
      <c r="X318" s="35">
        <v>4.3065540543911158</v>
      </c>
      <c r="Y318" s="36">
        <v>101833.8627191089</v>
      </c>
      <c r="Z318" s="37">
        <v>0</v>
      </c>
      <c r="AA318" s="38">
        <v>0</v>
      </c>
      <c r="AB318" s="38">
        <v>0</v>
      </c>
      <c r="AC318" s="39">
        <v>0</v>
      </c>
      <c r="AD318" s="40">
        <v>0</v>
      </c>
      <c r="AE318" s="37">
        <v>2.3980357451916763E-3</v>
      </c>
      <c r="AF318" s="38">
        <v>2.4037756979161944E-3</v>
      </c>
      <c r="AG318" s="38">
        <v>5.7399527245180319E-6</v>
      </c>
      <c r="AH318" s="39">
        <v>8.0449296540071533E-2</v>
      </c>
      <c r="AI318" s="40">
        <v>1902.3243447640466</v>
      </c>
      <c r="AJ318" s="39">
        <v>4.3870033509311872</v>
      </c>
      <c r="AK318" s="28">
        <v>103736.18706387295</v>
      </c>
      <c r="AL318" s="41">
        <f t="shared" si="4"/>
        <v>23.619344807322207</v>
      </c>
      <c r="AM318" s="28">
        <v>4915291.5</v>
      </c>
      <c r="AN318" s="42">
        <v>2.1104788406521351E-2</v>
      </c>
      <c r="AP318" s="30"/>
      <c r="AR318" s="30"/>
    </row>
    <row r="319" spans="1:44" x14ac:dyDescent="0.2">
      <c r="A319" s="3" t="s">
        <v>250</v>
      </c>
      <c r="B319" s="3" t="s">
        <v>530</v>
      </c>
      <c r="C319" s="3" t="s">
        <v>1855</v>
      </c>
      <c r="D319" s="27"/>
      <c r="E319" s="3" t="s">
        <v>96</v>
      </c>
      <c r="F319" s="133" t="s">
        <v>1052</v>
      </c>
      <c r="G319" s="3" t="s">
        <v>881</v>
      </c>
      <c r="H319" s="29">
        <v>47.1</v>
      </c>
      <c r="I319" s="30">
        <v>197.14</v>
      </c>
      <c r="J319" s="30">
        <v>196.703</v>
      </c>
      <c r="K319" s="31">
        <v>1</v>
      </c>
      <c r="L319" s="31">
        <v>1</v>
      </c>
      <c r="M319" s="4">
        <v>0.56999999999999995</v>
      </c>
      <c r="N319" s="4">
        <v>0.56999999999999995</v>
      </c>
      <c r="O319" s="4">
        <v>0.43</v>
      </c>
      <c r="P319" s="4">
        <v>0.43</v>
      </c>
      <c r="Q319" s="32">
        <v>197.14</v>
      </c>
      <c r="R319" s="32">
        <v>196.703</v>
      </c>
      <c r="S319" s="32">
        <v>9285.2939999999999</v>
      </c>
      <c r="T319" s="32">
        <v>9264.7113000000008</v>
      </c>
      <c r="U319" s="33">
        <v>4.9102786133185816E-4</v>
      </c>
      <c r="V319" s="34">
        <v>4.9176317245356823E-4</v>
      </c>
      <c r="W319" s="34">
        <v>7.3531112171007235E-7</v>
      </c>
      <c r="X319" s="35">
        <v>1.5851322810792823</v>
      </c>
      <c r="Y319" s="36">
        <v>33654.613186396651</v>
      </c>
      <c r="Z319" s="37">
        <v>5.5326625638204847E-4</v>
      </c>
      <c r="AA319" s="38">
        <v>5.5371295665396821E-4</v>
      </c>
      <c r="AB319" s="38">
        <v>4.4670027191974493E-7</v>
      </c>
      <c r="AC319" s="39">
        <v>8.5463867889338796E-3</v>
      </c>
      <c r="AD319" s="40">
        <v>181.45194880963649</v>
      </c>
      <c r="AE319" s="37">
        <v>4.2730840816642752E-4</v>
      </c>
      <c r="AF319" s="38">
        <v>4.2825062690090177E-4</v>
      </c>
      <c r="AG319" s="38">
        <v>9.4221873447425082E-7</v>
      </c>
      <c r="AH319" s="39">
        <v>1.3205829039592779E-2</v>
      </c>
      <c r="AI319" s="40">
        <v>280.37853587245814</v>
      </c>
      <c r="AJ319" s="39">
        <v>1.6068844969078091</v>
      </c>
      <c r="AK319" s="28">
        <v>34116.443671078741</v>
      </c>
      <c r="AL319" s="41">
        <f t="shared" si="4"/>
        <v>7.8058505489391958</v>
      </c>
      <c r="AM319" s="28">
        <v>1645830.625</v>
      </c>
      <c r="AN319" s="42">
        <v>2.0729012544093803E-2</v>
      </c>
      <c r="AP319" s="30"/>
      <c r="AR319" s="30"/>
    </row>
    <row r="320" spans="1:44" x14ac:dyDescent="0.2">
      <c r="A320" s="3" t="s">
        <v>1312</v>
      </c>
      <c r="B320" s="3" t="s">
        <v>1310</v>
      </c>
      <c r="C320" s="3" t="s">
        <v>1856</v>
      </c>
      <c r="D320" s="27"/>
      <c r="E320" s="3" t="s">
        <v>2107</v>
      </c>
      <c r="F320" s="133" t="s">
        <v>1063</v>
      </c>
      <c r="G320" s="3" t="s">
        <v>881</v>
      </c>
      <c r="H320" s="29">
        <v>61.94</v>
      </c>
      <c r="I320" s="30">
        <v>132.90600000000001</v>
      </c>
      <c r="J320" s="30">
        <v>132.858</v>
      </c>
      <c r="K320" s="31">
        <v>0.86</v>
      </c>
      <c r="L320" s="31">
        <v>0.86</v>
      </c>
      <c r="M320" s="4">
        <v>1</v>
      </c>
      <c r="N320" s="4">
        <v>1</v>
      </c>
      <c r="O320" s="4">
        <v>0</v>
      </c>
      <c r="P320" s="4">
        <v>0</v>
      </c>
      <c r="Q320" s="32">
        <v>114.29916</v>
      </c>
      <c r="R320" s="32">
        <v>114.25788</v>
      </c>
      <c r="S320" s="32">
        <v>7079.6899703999998</v>
      </c>
      <c r="T320" s="32">
        <v>7077.1330871999999</v>
      </c>
      <c r="U320" s="33">
        <v>3.7439040972295738E-4</v>
      </c>
      <c r="V320" s="34">
        <v>3.756483398287421E-4</v>
      </c>
      <c r="W320" s="34">
        <v>1.2579301057847139E-6</v>
      </c>
      <c r="X320" s="35">
        <v>2.711757729685258</v>
      </c>
      <c r="Y320" s="36">
        <v>43780.396023333196</v>
      </c>
      <c r="Z320" s="37">
        <v>7.4007870530270656E-4</v>
      </c>
      <c r="AA320" s="38">
        <v>7.4205364424740944E-4</v>
      </c>
      <c r="AB320" s="38">
        <v>1.9749389447028774E-6</v>
      </c>
      <c r="AC320" s="39">
        <v>3.7785049992071933E-2</v>
      </c>
      <c r="AD320" s="40">
        <v>610.02663855460025</v>
      </c>
      <c r="AE320" s="37">
        <v>0</v>
      </c>
      <c r="AF320" s="38">
        <v>0</v>
      </c>
      <c r="AG320" s="38">
        <v>0</v>
      </c>
      <c r="AH320" s="39">
        <v>0</v>
      </c>
      <c r="AI320" s="40">
        <v>0</v>
      </c>
      <c r="AJ320" s="39">
        <v>2.7495427796773297</v>
      </c>
      <c r="AK320" s="28">
        <v>44390.422661887795</v>
      </c>
      <c r="AL320" s="41">
        <f t="shared" si="4"/>
        <v>10.154424489705473</v>
      </c>
      <c r="AM320" s="28">
        <v>2409871.5</v>
      </c>
      <c r="AN320" s="42">
        <v>1.8420244673580229E-2</v>
      </c>
      <c r="AP320" s="30"/>
      <c r="AR320" s="30"/>
    </row>
    <row r="321" spans="1:44" x14ac:dyDescent="0.2">
      <c r="A321" s="3" t="s">
        <v>1306</v>
      </c>
      <c r="B321" s="3" t="s">
        <v>1304</v>
      </c>
      <c r="C321" s="3" t="s">
        <v>1857</v>
      </c>
      <c r="D321" s="27"/>
      <c r="E321" s="3" t="s">
        <v>1305</v>
      </c>
      <c r="F321" s="133" t="s">
        <v>1063</v>
      </c>
      <c r="G321" s="3" t="s">
        <v>881</v>
      </c>
      <c r="H321" s="29">
        <v>80.180000000000007</v>
      </c>
      <c r="I321" s="30">
        <v>78.006</v>
      </c>
      <c r="J321" s="30">
        <v>78.006</v>
      </c>
      <c r="K321" s="31">
        <v>1</v>
      </c>
      <c r="L321" s="31">
        <v>1</v>
      </c>
      <c r="M321" s="4">
        <v>1</v>
      </c>
      <c r="N321" s="4">
        <v>1</v>
      </c>
      <c r="O321" s="4">
        <v>0</v>
      </c>
      <c r="P321" s="4">
        <v>0</v>
      </c>
      <c r="Q321" s="32">
        <v>78.006</v>
      </c>
      <c r="R321" s="32">
        <v>78.006</v>
      </c>
      <c r="S321" s="32">
        <v>6254.5210800000004</v>
      </c>
      <c r="T321" s="32">
        <v>6254.5210800000004</v>
      </c>
      <c r="U321" s="33">
        <v>3.3075356683023974E-4</v>
      </c>
      <c r="V321" s="34">
        <v>3.3198477846562986E-4</v>
      </c>
      <c r="W321" s="34">
        <v>1.2312116353901232E-6</v>
      </c>
      <c r="X321" s="35">
        <v>2.6541599201688855</v>
      </c>
      <c r="Y321" s="36">
        <v>33102.518335855391</v>
      </c>
      <c r="Z321" s="37">
        <v>6.5381928905473786E-4</v>
      </c>
      <c r="AA321" s="38">
        <v>6.5580088762644511E-4</v>
      </c>
      <c r="AB321" s="38">
        <v>1.9815985717072486E-6</v>
      </c>
      <c r="AC321" s="39">
        <v>3.7912463722994422E-2</v>
      </c>
      <c r="AD321" s="40">
        <v>472.84190225735119</v>
      </c>
      <c r="AE321" s="37">
        <v>0</v>
      </c>
      <c r="AF321" s="38">
        <v>0</v>
      </c>
      <c r="AG321" s="38">
        <v>0</v>
      </c>
      <c r="AH321" s="39">
        <v>0</v>
      </c>
      <c r="AI321" s="40">
        <v>0</v>
      </c>
      <c r="AJ321" s="39">
        <v>2.6920723838918801</v>
      </c>
      <c r="AK321" s="28">
        <v>33575.360238112742</v>
      </c>
      <c r="AL321" s="41">
        <f t="shared" si="4"/>
        <v>7.6777976764163318</v>
      </c>
      <c r="AM321" s="28">
        <v>1846030.5</v>
      </c>
      <c r="AN321" s="42">
        <v>1.8187868639284531E-2</v>
      </c>
      <c r="AP321" s="30"/>
      <c r="AR321" s="30"/>
    </row>
    <row r="322" spans="1:44" x14ac:dyDescent="0.2">
      <c r="A322" s="3" t="s">
        <v>1244</v>
      </c>
      <c r="B322" s="3" t="s">
        <v>477</v>
      </c>
      <c r="C322" s="3" t="s">
        <v>1858</v>
      </c>
      <c r="D322" s="27"/>
      <c r="E322" s="3" t="s">
        <v>51</v>
      </c>
      <c r="F322" s="133" t="s">
        <v>1064</v>
      </c>
      <c r="G322" s="3" t="s">
        <v>881</v>
      </c>
      <c r="H322" s="29">
        <v>15.99</v>
      </c>
      <c r="I322" s="30">
        <v>847.65</v>
      </c>
      <c r="J322" s="30">
        <v>847.25900000000001</v>
      </c>
      <c r="K322" s="31">
        <v>1</v>
      </c>
      <c r="L322" s="31">
        <v>1</v>
      </c>
      <c r="M322" s="4">
        <v>0</v>
      </c>
      <c r="N322" s="4">
        <v>0</v>
      </c>
      <c r="O322" s="4">
        <v>1</v>
      </c>
      <c r="P322" s="4">
        <v>1</v>
      </c>
      <c r="Q322" s="32">
        <v>847.65</v>
      </c>
      <c r="R322" s="32">
        <v>847.25900000000001</v>
      </c>
      <c r="S322" s="32">
        <v>13553.923499999999</v>
      </c>
      <c r="T322" s="32">
        <v>13547.671410000001</v>
      </c>
      <c r="U322" s="33">
        <v>7.167628799756489E-4</v>
      </c>
      <c r="V322" s="34">
        <v>7.1909913392985121E-4</v>
      </c>
      <c r="W322" s="34">
        <v>2.3362539542023117E-6</v>
      </c>
      <c r="X322" s="35">
        <v>5.0363328532182532</v>
      </c>
      <c r="Y322" s="36">
        <v>314967.65811246115</v>
      </c>
      <c r="Z322" s="37">
        <v>0</v>
      </c>
      <c r="AA322" s="38">
        <v>0</v>
      </c>
      <c r="AB322" s="38">
        <v>0</v>
      </c>
      <c r="AC322" s="39">
        <v>0</v>
      </c>
      <c r="AD322" s="40">
        <v>0</v>
      </c>
      <c r="AE322" s="37">
        <v>1.4505822325553079E-3</v>
      </c>
      <c r="AF322" s="38">
        <v>1.4563384494512674E-3</v>
      </c>
      <c r="AG322" s="38">
        <v>5.7562168959595164E-6</v>
      </c>
      <c r="AH322" s="39">
        <v>8.0677249837611001E-2</v>
      </c>
      <c r="AI322" s="40">
        <v>5045.4815408136956</v>
      </c>
      <c r="AJ322" s="39">
        <v>5.1170101030558639</v>
      </c>
      <c r="AK322" s="28">
        <v>320013.13965327485</v>
      </c>
      <c r="AL322" s="41">
        <f t="shared" si="4"/>
        <v>73.053594565425627</v>
      </c>
      <c r="AM322" s="28">
        <v>17741306</v>
      </c>
      <c r="AN322" s="42">
        <v>1.8037744214167484E-2</v>
      </c>
      <c r="AP322" s="30"/>
      <c r="AR322" s="30"/>
    </row>
    <row r="323" spans="1:44" x14ac:dyDescent="0.2">
      <c r="A323" s="3" t="s">
        <v>1550</v>
      </c>
      <c r="B323" s="3" t="s">
        <v>1514</v>
      </c>
      <c r="C323" s="3" t="s">
        <v>1859</v>
      </c>
      <c r="D323" s="27"/>
      <c r="E323" s="3" t="s">
        <v>2108</v>
      </c>
      <c r="F323" s="133" t="s">
        <v>1063</v>
      </c>
      <c r="G323" s="3" t="s">
        <v>881</v>
      </c>
      <c r="H323" s="29">
        <v>254.09</v>
      </c>
      <c r="I323" s="30">
        <v>62.454999999999998</v>
      </c>
      <c r="J323" s="30">
        <v>62.37</v>
      </c>
      <c r="K323" s="31">
        <v>1</v>
      </c>
      <c r="L323" s="31">
        <v>1</v>
      </c>
      <c r="M323" s="4">
        <v>1</v>
      </c>
      <c r="N323" s="4">
        <v>1</v>
      </c>
      <c r="O323" s="4">
        <v>0</v>
      </c>
      <c r="P323" s="4">
        <v>0</v>
      </c>
      <c r="Q323" s="32">
        <v>62.454999999999998</v>
      </c>
      <c r="R323" s="32">
        <v>62.37</v>
      </c>
      <c r="S323" s="32">
        <v>15869.19095</v>
      </c>
      <c r="T323" s="32">
        <v>15847.5933</v>
      </c>
      <c r="U323" s="33">
        <v>8.3919958735236369E-4</v>
      </c>
      <c r="V323" s="34">
        <v>8.4117707552980217E-4</v>
      </c>
      <c r="W323" s="34">
        <v>1.9774881774384809E-6</v>
      </c>
      <c r="X323" s="35">
        <v>4.2629306873809441</v>
      </c>
      <c r="Y323" s="36">
        <v>16777.246988787218</v>
      </c>
      <c r="Z323" s="37">
        <v>1.6588933048736132E-3</v>
      </c>
      <c r="AA323" s="38">
        <v>1.6616565233293454E-3</v>
      </c>
      <c r="AB323" s="38">
        <v>2.763218455732264E-6</v>
      </c>
      <c r="AC323" s="39">
        <v>5.2866620392949551E-2</v>
      </c>
      <c r="AD323" s="40">
        <v>208.06257779900648</v>
      </c>
      <c r="AE323" s="37">
        <v>0</v>
      </c>
      <c r="AF323" s="38">
        <v>0</v>
      </c>
      <c r="AG323" s="38">
        <v>0</v>
      </c>
      <c r="AH323" s="39">
        <v>0</v>
      </c>
      <c r="AI323" s="40">
        <v>0</v>
      </c>
      <c r="AJ323" s="39">
        <v>4.3157973077738934</v>
      </c>
      <c r="AK323" s="28">
        <v>16985.309566586224</v>
      </c>
      <c r="AL323" s="41">
        <f t="shared" si="4"/>
        <v>3.8913144504673167</v>
      </c>
      <c r="AM323" s="28">
        <v>976035.3125</v>
      </c>
      <c r="AN323" s="42">
        <v>1.7402351481608125E-2</v>
      </c>
      <c r="AP323" s="30"/>
      <c r="AR323" s="30"/>
    </row>
    <row r="324" spans="1:44" x14ac:dyDescent="0.2">
      <c r="A324" s="3" t="s">
        <v>1121</v>
      </c>
      <c r="B324" s="3" t="s">
        <v>355</v>
      </c>
      <c r="C324" s="3" t="s">
        <v>1860</v>
      </c>
      <c r="D324" s="27"/>
      <c r="E324" s="3" t="s">
        <v>660</v>
      </c>
      <c r="F324" s="133" t="s">
        <v>1052</v>
      </c>
      <c r="G324" s="3" t="s">
        <v>879</v>
      </c>
      <c r="H324" s="29">
        <v>24.98</v>
      </c>
      <c r="I324" s="30">
        <v>233.09399999999999</v>
      </c>
      <c r="J324" s="30">
        <v>233.13</v>
      </c>
      <c r="K324" s="31">
        <v>1</v>
      </c>
      <c r="L324" s="31">
        <v>1</v>
      </c>
      <c r="M324" s="4">
        <v>0</v>
      </c>
      <c r="N324" s="4">
        <v>0</v>
      </c>
      <c r="O324" s="4">
        <v>1</v>
      </c>
      <c r="P324" s="4">
        <v>1</v>
      </c>
      <c r="Q324" s="32">
        <v>233.09399999999999</v>
      </c>
      <c r="R324" s="32">
        <v>233.13</v>
      </c>
      <c r="S324" s="32">
        <v>5822.6881199999998</v>
      </c>
      <c r="T324" s="32">
        <v>5823.5874000000003</v>
      </c>
      <c r="U324" s="33">
        <v>3.0791723932123395E-4</v>
      </c>
      <c r="V324" s="34">
        <v>3.0911117704063019E-4</v>
      </c>
      <c r="W324" s="34">
        <v>1.1939377193962461E-6</v>
      </c>
      <c r="X324" s="35">
        <v>2.5738074193842881</v>
      </c>
      <c r="Y324" s="36">
        <v>103034.72455501553</v>
      </c>
      <c r="Z324" s="37">
        <v>0</v>
      </c>
      <c r="AA324" s="38">
        <v>0</v>
      </c>
      <c r="AB324" s="38">
        <v>0</v>
      </c>
      <c r="AC324" s="39">
        <v>0</v>
      </c>
      <c r="AD324" s="40">
        <v>0</v>
      </c>
      <c r="AE324" s="37">
        <v>6.2316184185213E-4</v>
      </c>
      <c r="AF324" s="38">
        <v>6.2602007294771972E-4</v>
      </c>
      <c r="AG324" s="38">
        <v>2.8582310955897186E-6</v>
      </c>
      <c r="AH324" s="39">
        <v>4.0060030461045039E-2</v>
      </c>
      <c r="AI324" s="40">
        <v>1603.684165774421</v>
      </c>
      <c r="AJ324" s="39">
        <v>2.6138674498453334</v>
      </c>
      <c r="AK324" s="28">
        <v>104638.40872078996</v>
      </c>
      <c r="AL324" s="41">
        <f t="shared" si="4"/>
        <v>23.897872686073782</v>
      </c>
      <c r="AM324" s="28">
        <v>6984113</v>
      </c>
      <c r="AN324" s="42">
        <v>1.4982347611040938E-2</v>
      </c>
      <c r="AP324" s="30"/>
      <c r="AR324" s="30"/>
    </row>
    <row r="325" spans="1:44" x14ac:dyDescent="0.2">
      <c r="A325" s="3" t="s">
        <v>1235</v>
      </c>
      <c r="B325" s="3" t="s">
        <v>470</v>
      </c>
      <c r="C325" s="3" t="s">
        <v>1861</v>
      </c>
      <c r="D325" s="27"/>
      <c r="E325" s="3" t="s">
        <v>42</v>
      </c>
      <c r="F325" s="133" t="s">
        <v>1063</v>
      </c>
      <c r="G325" s="3" t="s">
        <v>879</v>
      </c>
      <c r="H325" s="29">
        <v>38.69</v>
      </c>
      <c r="I325" s="30">
        <v>308.39499999999998</v>
      </c>
      <c r="J325" s="30">
        <v>308.46800000000002</v>
      </c>
      <c r="K325" s="31">
        <v>1</v>
      </c>
      <c r="L325" s="31">
        <v>1</v>
      </c>
      <c r="M325" s="4">
        <v>0</v>
      </c>
      <c r="N325" s="4">
        <v>0</v>
      </c>
      <c r="O325" s="4">
        <v>1</v>
      </c>
      <c r="P325" s="4">
        <v>1</v>
      </c>
      <c r="Q325" s="32">
        <v>308.39499999999998</v>
      </c>
      <c r="R325" s="32">
        <v>308.46800000000002</v>
      </c>
      <c r="S325" s="32">
        <v>11931.802549999999</v>
      </c>
      <c r="T325" s="32">
        <v>11934.626920000001</v>
      </c>
      <c r="U325" s="33">
        <v>6.3098136558309415E-4</v>
      </c>
      <c r="V325" s="34">
        <v>6.3348007360239681E-4</v>
      </c>
      <c r="W325" s="34">
        <v>2.4987080193026668E-6</v>
      </c>
      <c r="X325" s="35">
        <v>5.3865399630797883</v>
      </c>
      <c r="Y325" s="36">
        <v>139223.05409872805</v>
      </c>
      <c r="Z325" s="37">
        <v>0</v>
      </c>
      <c r="AA325" s="38">
        <v>0</v>
      </c>
      <c r="AB325" s="38">
        <v>0</v>
      </c>
      <c r="AC325" s="39">
        <v>0</v>
      </c>
      <c r="AD325" s="40">
        <v>0</v>
      </c>
      <c r="AE325" s="37">
        <v>1.2769779010032125E-3</v>
      </c>
      <c r="AF325" s="38">
        <v>1.2829404801346709E-3</v>
      </c>
      <c r="AG325" s="38">
        <v>5.9625791314584821E-6</v>
      </c>
      <c r="AH325" s="39">
        <v>8.3569555310339841E-2</v>
      </c>
      <c r="AI325" s="40">
        <v>2159.978167752387</v>
      </c>
      <c r="AJ325" s="39">
        <v>5.470109518390128</v>
      </c>
      <c r="AK325" s="28">
        <v>141383.03226648044</v>
      </c>
      <c r="AL325" s="41">
        <f t="shared" si="4"/>
        <v>32.291393374291381</v>
      </c>
      <c r="AM325" s="28">
        <v>9508824</v>
      </c>
      <c r="AN325" s="42">
        <v>1.4868613854508238E-2</v>
      </c>
      <c r="AP325" s="30"/>
      <c r="AR325" s="30"/>
    </row>
    <row r="326" spans="1:44" x14ac:dyDescent="0.2">
      <c r="A326" s="3" t="s">
        <v>1223</v>
      </c>
      <c r="B326" s="3" t="s">
        <v>458</v>
      </c>
      <c r="C326" s="3" t="s">
        <v>1862</v>
      </c>
      <c r="D326" s="27"/>
      <c r="E326" s="3" t="s">
        <v>32</v>
      </c>
      <c r="F326" s="133" t="s">
        <v>1063</v>
      </c>
      <c r="G326" s="3" t="s">
        <v>881</v>
      </c>
      <c r="H326" s="29">
        <v>45.26</v>
      </c>
      <c r="I326" s="30">
        <v>183.709</v>
      </c>
      <c r="J326" s="30">
        <v>183.709</v>
      </c>
      <c r="K326" s="31">
        <v>1</v>
      </c>
      <c r="L326" s="31">
        <v>1</v>
      </c>
      <c r="M326" s="4">
        <v>0</v>
      </c>
      <c r="N326" s="4">
        <v>0</v>
      </c>
      <c r="O326" s="4">
        <v>1</v>
      </c>
      <c r="P326" s="4">
        <v>1</v>
      </c>
      <c r="Q326" s="32">
        <v>183.709</v>
      </c>
      <c r="R326" s="32">
        <v>183.709</v>
      </c>
      <c r="S326" s="32">
        <v>8314.6693400000004</v>
      </c>
      <c r="T326" s="32">
        <v>8314.6693400000004</v>
      </c>
      <c r="U326" s="33">
        <v>4.3969898031249983E-4</v>
      </c>
      <c r="V326" s="34">
        <v>4.4133573515030267E-4</v>
      </c>
      <c r="W326" s="34">
        <v>1.6367548378028412E-6</v>
      </c>
      <c r="X326" s="35">
        <v>3.5284015881333963</v>
      </c>
      <c r="Y326" s="36">
        <v>77958.497307410449</v>
      </c>
      <c r="Z326" s="37">
        <v>0</v>
      </c>
      <c r="AA326" s="38">
        <v>0</v>
      </c>
      <c r="AB326" s="38">
        <v>0</v>
      </c>
      <c r="AC326" s="39">
        <v>0</v>
      </c>
      <c r="AD326" s="40">
        <v>0</v>
      </c>
      <c r="AE326" s="37">
        <v>8.8986127258106258E-4</v>
      </c>
      <c r="AF326" s="38">
        <v>8.9380472022502295E-4</v>
      </c>
      <c r="AG326" s="38">
        <v>3.9434476439603782E-6</v>
      </c>
      <c r="AH326" s="39">
        <v>5.5270070003207786E-2</v>
      </c>
      <c r="AI326" s="40">
        <v>1221.1681397085238</v>
      </c>
      <c r="AJ326" s="39">
        <v>3.5836716581366042</v>
      </c>
      <c r="AK326" s="28">
        <v>79179.665447118969</v>
      </c>
      <c r="AL326" s="41">
        <f t="shared" si="4"/>
        <v>18.081692861277521</v>
      </c>
      <c r="AM326" s="28">
        <v>5414334.5</v>
      </c>
      <c r="AN326" s="42">
        <v>1.4624080844491408E-2</v>
      </c>
      <c r="AP326" s="30"/>
      <c r="AR326" s="30"/>
    </row>
    <row r="327" spans="1:44" x14ac:dyDescent="0.2">
      <c r="A327" s="3" t="s">
        <v>1186</v>
      </c>
      <c r="B327" s="3" t="s">
        <v>423</v>
      </c>
      <c r="C327" s="3" t="s">
        <v>1863</v>
      </c>
      <c r="D327" s="27"/>
      <c r="E327" s="3" t="s">
        <v>611</v>
      </c>
      <c r="F327" s="133" t="s">
        <v>1063</v>
      </c>
      <c r="G327" s="3" t="s">
        <v>881</v>
      </c>
      <c r="H327" s="29">
        <v>26.48</v>
      </c>
      <c r="I327" s="30">
        <v>397.964</v>
      </c>
      <c r="J327" s="30">
        <v>397.964</v>
      </c>
      <c r="K327" s="31">
        <v>0.56999999999999995</v>
      </c>
      <c r="L327" s="31">
        <v>0.56999999999999995</v>
      </c>
      <c r="M327" s="4">
        <v>0</v>
      </c>
      <c r="N327" s="4">
        <v>0</v>
      </c>
      <c r="O327" s="4">
        <v>1</v>
      </c>
      <c r="P327" s="4">
        <v>1</v>
      </c>
      <c r="Q327" s="32">
        <v>226.83947999999998</v>
      </c>
      <c r="R327" s="32">
        <v>226.83947999999998</v>
      </c>
      <c r="S327" s="32">
        <v>6006.7094303999993</v>
      </c>
      <c r="T327" s="32">
        <v>6006.7094303999993</v>
      </c>
      <c r="U327" s="33">
        <v>3.1764871260416911E-4</v>
      </c>
      <c r="V327" s="34">
        <v>3.1883114215337387E-4</v>
      </c>
      <c r="W327" s="34">
        <v>1.182429549204762E-6</v>
      </c>
      <c r="X327" s="35">
        <v>2.5489989110834053</v>
      </c>
      <c r="Y327" s="36">
        <v>96261.288182908043</v>
      </c>
      <c r="Z327" s="37">
        <v>0</v>
      </c>
      <c r="AA327" s="38">
        <v>0</v>
      </c>
      <c r="AB327" s="38">
        <v>0</v>
      </c>
      <c r="AC327" s="39">
        <v>0</v>
      </c>
      <c r="AD327" s="40">
        <v>0</v>
      </c>
      <c r="AE327" s="37">
        <v>6.4285636375774531E-4</v>
      </c>
      <c r="AF327" s="38">
        <v>6.4570520153861923E-4</v>
      </c>
      <c r="AG327" s="38">
        <v>2.8488377808739279E-6</v>
      </c>
      <c r="AH327" s="39">
        <v>3.992837683995562E-2</v>
      </c>
      <c r="AI327" s="40">
        <v>1507.8692160104085</v>
      </c>
      <c r="AJ327" s="39">
        <v>2.5889272879233607</v>
      </c>
      <c r="AK327" s="28">
        <v>97769.157398918454</v>
      </c>
      <c r="AL327" s="41">
        <f t="shared" si="4"/>
        <v>22.326841941177527</v>
      </c>
      <c r="AM327" s="28">
        <v>6839705.5</v>
      </c>
      <c r="AN327" s="42">
        <v>1.4294351913093108E-2</v>
      </c>
      <c r="AP327" s="30"/>
      <c r="AR327" s="30"/>
    </row>
    <row r="328" spans="1:44" x14ac:dyDescent="0.2">
      <c r="A328" s="3" t="s">
        <v>741</v>
      </c>
      <c r="B328" s="3" t="s">
        <v>168</v>
      </c>
      <c r="C328" s="3" t="s">
        <v>1864</v>
      </c>
      <c r="D328" s="27"/>
      <c r="E328" s="3" t="s">
        <v>1291</v>
      </c>
      <c r="F328" s="133" t="s">
        <v>1070</v>
      </c>
      <c r="G328" s="3" t="s">
        <v>881</v>
      </c>
      <c r="H328" s="29">
        <v>108.73</v>
      </c>
      <c r="I328" s="30">
        <v>81.040000000000006</v>
      </c>
      <c r="J328" s="30">
        <v>80.855999999999995</v>
      </c>
      <c r="K328" s="31">
        <v>1</v>
      </c>
      <c r="L328" s="31">
        <v>1</v>
      </c>
      <c r="M328" s="4">
        <v>0</v>
      </c>
      <c r="N328" s="4">
        <v>0</v>
      </c>
      <c r="O328" s="4">
        <v>1</v>
      </c>
      <c r="P328" s="4">
        <v>1</v>
      </c>
      <c r="Q328" s="32">
        <v>81.040000000000006</v>
      </c>
      <c r="R328" s="32">
        <v>80.855999999999995</v>
      </c>
      <c r="S328" s="32">
        <v>8811.4792000000016</v>
      </c>
      <c r="T328" s="32">
        <v>8791.4728799999993</v>
      </c>
      <c r="U328" s="33">
        <v>4.659714368490813E-4</v>
      </c>
      <c r="V328" s="34">
        <v>4.666440706045862E-4</v>
      </c>
      <c r="W328" s="34">
        <v>6.7263375550489926E-7</v>
      </c>
      <c r="X328" s="35">
        <v>1.4500167993036357</v>
      </c>
      <c r="Y328" s="36">
        <v>13335.940396428176</v>
      </c>
      <c r="Z328" s="37">
        <v>0</v>
      </c>
      <c r="AA328" s="38">
        <v>0</v>
      </c>
      <c r="AB328" s="38">
        <v>0</v>
      </c>
      <c r="AC328" s="39">
        <v>0</v>
      </c>
      <c r="AD328" s="40">
        <v>0</v>
      </c>
      <c r="AE328" s="37">
        <v>9.4303137907268404E-4</v>
      </c>
      <c r="AF328" s="38">
        <v>9.4505982577946699E-4</v>
      </c>
      <c r="AG328" s="38">
        <v>2.0284467067829479E-6</v>
      </c>
      <c r="AH328" s="39">
        <v>2.8430044368251355E-2</v>
      </c>
      <c r="AI328" s="40">
        <v>261.47378247265107</v>
      </c>
      <c r="AJ328" s="39">
        <v>1.4784468436718869</v>
      </c>
      <c r="AK328" s="28">
        <v>13597.414178900826</v>
      </c>
      <c r="AL328" s="41">
        <f t="shared" si="4"/>
        <v>3.0931378437639072</v>
      </c>
      <c r="AM328" s="28">
        <v>952811.5</v>
      </c>
      <c r="AN328" s="42">
        <v>1.4270833400836184E-2</v>
      </c>
      <c r="AP328" s="30"/>
      <c r="AR328" s="30"/>
    </row>
    <row r="329" spans="1:44" x14ac:dyDescent="0.2">
      <c r="A329" s="3" t="s">
        <v>1148</v>
      </c>
      <c r="B329" s="3" t="s">
        <v>384</v>
      </c>
      <c r="C329" s="3" t="s">
        <v>1865</v>
      </c>
      <c r="D329" s="27"/>
      <c r="E329" s="3" t="s">
        <v>681</v>
      </c>
      <c r="F329" s="133" t="s">
        <v>1064</v>
      </c>
      <c r="G329" s="3" t="s">
        <v>881</v>
      </c>
      <c r="H329" s="29">
        <v>18.78</v>
      </c>
      <c r="I329" s="30">
        <v>137.16999999999999</v>
      </c>
      <c r="J329" s="30">
        <v>137.16999999999999</v>
      </c>
      <c r="K329" s="31">
        <v>0.47</v>
      </c>
      <c r="L329" s="31">
        <v>0.47</v>
      </c>
      <c r="M329" s="4">
        <v>0</v>
      </c>
      <c r="N329" s="4">
        <v>0</v>
      </c>
      <c r="O329" s="4">
        <v>1</v>
      </c>
      <c r="P329" s="4">
        <v>1</v>
      </c>
      <c r="Q329" s="32">
        <v>64.469899999999996</v>
      </c>
      <c r="R329" s="32">
        <v>64.469899999999996</v>
      </c>
      <c r="S329" s="32">
        <v>1210.7447219999999</v>
      </c>
      <c r="T329" s="32">
        <v>1210.7447219999999</v>
      </c>
      <c r="U329" s="33">
        <v>6.4026986271247316E-5</v>
      </c>
      <c r="V329" s="34">
        <v>6.4265323143111155E-5</v>
      </c>
      <c r="W329" s="34">
        <v>2.3833687186383928E-7</v>
      </c>
      <c r="X329" s="35">
        <v>0.51378995667059968</v>
      </c>
      <c r="Y329" s="36">
        <v>27358.357650191676</v>
      </c>
      <c r="Z329" s="37">
        <v>0</v>
      </c>
      <c r="AA329" s="38">
        <v>0</v>
      </c>
      <c r="AB329" s="38">
        <v>0</v>
      </c>
      <c r="AC329" s="39">
        <v>0</v>
      </c>
      <c r="AD329" s="40">
        <v>0</v>
      </c>
      <c r="AE329" s="37">
        <v>1.2957759293043934E-4</v>
      </c>
      <c r="AF329" s="38">
        <v>1.301518200254892E-4</v>
      </c>
      <c r="AG329" s="38">
        <v>5.7422709504986237E-7</v>
      </c>
      <c r="AH329" s="39">
        <v>8.0481788035787673E-3</v>
      </c>
      <c r="AI329" s="40">
        <v>428.55052202229859</v>
      </c>
      <c r="AJ329" s="39">
        <v>0.52183813547417846</v>
      </c>
      <c r="AK329" s="28">
        <v>27786.908172213974</v>
      </c>
      <c r="AL329" s="41">
        <f t="shared" si="4"/>
        <v>6.3454971209754865</v>
      </c>
      <c r="AM329" s="28">
        <v>2111916.5</v>
      </c>
      <c r="AN329" s="42">
        <v>1.3157200188650438E-2</v>
      </c>
      <c r="AP329" s="30"/>
      <c r="AR329" s="30"/>
    </row>
    <row r="330" spans="1:44" x14ac:dyDescent="0.2">
      <c r="A330" s="3" t="s">
        <v>1418</v>
      </c>
      <c r="B330" s="3" t="s">
        <v>1405</v>
      </c>
      <c r="C330" s="3" t="s">
        <v>1866</v>
      </c>
      <c r="D330" s="27"/>
      <c r="E330" s="3" t="s">
        <v>1429</v>
      </c>
      <c r="F330" s="133" t="s">
        <v>1064</v>
      </c>
      <c r="G330" s="3" t="s">
        <v>879</v>
      </c>
      <c r="H330" s="29">
        <v>10.11</v>
      </c>
      <c r="I330" s="30">
        <v>365.202</v>
      </c>
      <c r="J330" s="30">
        <v>365.392</v>
      </c>
      <c r="K330" s="31">
        <v>0.94</v>
      </c>
      <c r="L330" s="31">
        <v>0.94</v>
      </c>
      <c r="M330" s="4">
        <v>0</v>
      </c>
      <c r="N330" s="4">
        <v>0</v>
      </c>
      <c r="O330" s="4">
        <v>1</v>
      </c>
      <c r="P330" s="4">
        <v>1</v>
      </c>
      <c r="Q330" s="32">
        <v>343.28987999999998</v>
      </c>
      <c r="R330" s="32">
        <v>343.46848</v>
      </c>
      <c r="S330" s="32">
        <v>3470.6606867999994</v>
      </c>
      <c r="T330" s="32">
        <v>3472.4663327999997</v>
      </c>
      <c r="U330" s="33">
        <v>1.8353657885770356E-4</v>
      </c>
      <c r="V330" s="34">
        <v>1.8431562568559863E-4</v>
      </c>
      <c r="W330" s="34">
        <v>7.7904682789506417E-7</v>
      </c>
      <c r="X330" s="35">
        <v>1.6794146571548672</v>
      </c>
      <c r="Y330" s="36">
        <v>166114.20941195521</v>
      </c>
      <c r="Z330" s="37">
        <v>0</v>
      </c>
      <c r="AA330" s="38">
        <v>0</v>
      </c>
      <c r="AB330" s="38">
        <v>0</v>
      </c>
      <c r="AC330" s="39">
        <v>0</v>
      </c>
      <c r="AD330" s="40">
        <v>0</v>
      </c>
      <c r="AE330" s="37">
        <v>3.7144069224680822E-4</v>
      </c>
      <c r="AF330" s="38">
        <v>3.7328084523432354E-4</v>
      </c>
      <c r="AG330" s="38">
        <v>1.8401529875153116E-6</v>
      </c>
      <c r="AH330" s="39">
        <v>2.5790981298395323E-2</v>
      </c>
      <c r="AI330" s="40">
        <v>2551.036725855126</v>
      </c>
      <c r="AJ330" s="39">
        <v>1.7052056384532626</v>
      </c>
      <c r="AK330" s="28">
        <v>168665.24613781032</v>
      </c>
      <c r="AL330" s="41">
        <f t="shared" si="4"/>
        <v>38.528527591249464</v>
      </c>
      <c r="AM330" s="28">
        <v>14017018</v>
      </c>
      <c r="AN330" s="42">
        <v>1.2032890743081753E-2</v>
      </c>
      <c r="AP330" s="30"/>
      <c r="AR330" s="30"/>
    </row>
    <row r="331" spans="1:44" x14ac:dyDescent="0.2">
      <c r="A331" s="3" t="s">
        <v>940</v>
      </c>
      <c r="B331" s="3" t="s">
        <v>1019</v>
      </c>
      <c r="C331" s="3" t="s">
        <v>1867</v>
      </c>
      <c r="D331" s="27"/>
      <c r="E331" s="3" t="s">
        <v>823</v>
      </c>
      <c r="F331" s="133" t="s">
        <v>1068</v>
      </c>
      <c r="G331" s="3" t="s">
        <v>881</v>
      </c>
      <c r="H331" s="29">
        <v>180.5</v>
      </c>
      <c r="I331" s="30">
        <v>606.51499999999999</v>
      </c>
      <c r="J331" s="30">
        <v>604.4</v>
      </c>
      <c r="K331" s="31">
        <v>1</v>
      </c>
      <c r="L331" s="31">
        <v>1</v>
      </c>
      <c r="M331" s="4">
        <v>0.57999999999999996</v>
      </c>
      <c r="N331" s="4">
        <v>0.57999999999999996</v>
      </c>
      <c r="O331" s="4">
        <v>0.42</v>
      </c>
      <c r="P331" s="4">
        <v>0.42</v>
      </c>
      <c r="Q331" s="32">
        <v>606.51499999999999</v>
      </c>
      <c r="R331" s="32">
        <v>604.4</v>
      </c>
      <c r="S331" s="32">
        <v>109475.9575</v>
      </c>
      <c r="T331" s="32">
        <v>109094.2</v>
      </c>
      <c r="U331" s="33">
        <v>5.7893422952986088E-3</v>
      </c>
      <c r="V331" s="34">
        <v>5.7906294271991027E-3</v>
      </c>
      <c r="W331" s="34">
        <v>1.2871319004939888E-6</v>
      </c>
      <c r="X331" s="35">
        <v>2.7747089160503857</v>
      </c>
      <c r="Y331" s="36">
        <v>15372.348565376098</v>
      </c>
      <c r="Z331" s="37">
        <v>6.637589870704742E-3</v>
      </c>
      <c r="AA331" s="38">
        <v>6.6344907823126572E-3</v>
      </c>
      <c r="AB331" s="38">
        <v>-3.0990883920847812E-6</v>
      </c>
      <c r="AC331" s="39">
        <v>-5.9292572126775515E-2</v>
      </c>
      <c r="AD331" s="40">
        <v>-328.49070430346546</v>
      </c>
      <c r="AE331" s="37">
        <v>4.9209093671970039E-3</v>
      </c>
      <c r="AF331" s="38">
        <v>4.9254806062862064E-3</v>
      </c>
      <c r="AG331" s="38">
        <v>4.5712390892025181E-6</v>
      </c>
      <c r="AH331" s="39">
        <v>6.4068989187310618E-2</v>
      </c>
      <c r="AI331" s="40">
        <v>354.95284868316128</v>
      </c>
      <c r="AJ331" s="39">
        <v>2.7794853331109208</v>
      </c>
      <c r="AK331" s="28">
        <v>15398.810709755793</v>
      </c>
      <c r="AL331" s="41">
        <f t="shared" si="4"/>
        <v>3.5654623282381959</v>
      </c>
      <c r="AM331" s="28">
        <v>1330278.75</v>
      </c>
      <c r="AN331" s="42">
        <v>1.1575627070458573E-2</v>
      </c>
      <c r="AP331" s="30"/>
      <c r="AR331" s="30"/>
    </row>
    <row r="332" spans="1:44" x14ac:dyDescent="0.2">
      <c r="A332" s="3" t="s">
        <v>1311</v>
      </c>
      <c r="B332" s="3" t="s">
        <v>1307</v>
      </c>
      <c r="C332" s="3" t="s">
        <v>1868</v>
      </c>
      <c r="D332" s="27"/>
      <c r="E332" s="3" t="s">
        <v>697</v>
      </c>
      <c r="F332" s="133" t="s">
        <v>1055</v>
      </c>
      <c r="G332" s="3" t="s">
        <v>881</v>
      </c>
      <c r="H332" s="29">
        <v>81.510000000000005</v>
      </c>
      <c r="I332" s="30">
        <v>301.61</v>
      </c>
      <c r="J332" s="30">
        <v>300.76499999999999</v>
      </c>
      <c r="K332" s="31">
        <v>1</v>
      </c>
      <c r="L332" s="31">
        <v>1</v>
      </c>
      <c r="M332" s="4">
        <v>1</v>
      </c>
      <c r="N332" s="4">
        <v>1</v>
      </c>
      <c r="O332" s="4">
        <v>0</v>
      </c>
      <c r="P332" s="4">
        <v>0</v>
      </c>
      <c r="Q332" s="32">
        <v>301.61</v>
      </c>
      <c r="R332" s="32">
        <v>300.76499999999999</v>
      </c>
      <c r="S332" s="32">
        <v>24584.231100000001</v>
      </c>
      <c r="T332" s="32">
        <v>24515.355149999999</v>
      </c>
      <c r="U332" s="33">
        <v>1.3000711037820833E-3</v>
      </c>
      <c r="V332" s="34">
        <v>1.301254667524278E-3</v>
      </c>
      <c r="W332" s="34">
        <v>1.1835637421947227E-6</v>
      </c>
      <c r="X332" s="35">
        <v>2.5514439249942233</v>
      </c>
      <c r="Y332" s="36">
        <v>31302.219666227738</v>
      </c>
      <c r="Z332" s="37">
        <v>2.5699241067646023E-3</v>
      </c>
      <c r="AA332" s="38">
        <v>2.5704912434074871E-3</v>
      </c>
      <c r="AB332" s="38">
        <v>5.6713664288486967E-7</v>
      </c>
      <c r="AC332" s="39">
        <v>1.0850607033304824E-2</v>
      </c>
      <c r="AD332" s="40">
        <v>133.11994888117806</v>
      </c>
      <c r="AE332" s="37">
        <v>0</v>
      </c>
      <c r="AF332" s="38">
        <v>0</v>
      </c>
      <c r="AG332" s="38">
        <v>0</v>
      </c>
      <c r="AH332" s="39">
        <v>0</v>
      </c>
      <c r="AI332" s="40">
        <v>0</v>
      </c>
      <c r="AJ332" s="39">
        <v>2.5622945320275283</v>
      </c>
      <c r="AK332" s="28">
        <v>31435.339615108918</v>
      </c>
      <c r="AL332" s="41">
        <f t="shared" si="4"/>
        <v>7.2602364261730008</v>
      </c>
      <c r="AM332" s="28">
        <v>3698901</v>
      </c>
      <c r="AN332" s="42">
        <v>8.4985620364289062E-3</v>
      </c>
      <c r="AP332" s="30"/>
      <c r="AR332" s="30"/>
    </row>
    <row r="333" spans="1:44" x14ac:dyDescent="0.2">
      <c r="A333" s="3" t="s">
        <v>726</v>
      </c>
      <c r="B333" s="3" t="s">
        <v>156</v>
      </c>
      <c r="C333" s="3" t="s">
        <v>1869</v>
      </c>
      <c r="D333" s="27"/>
      <c r="E333" s="3" t="s">
        <v>1362</v>
      </c>
      <c r="F333" s="133" t="s">
        <v>1053</v>
      </c>
      <c r="G333" s="3" t="s">
        <v>881</v>
      </c>
      <c r="H333" s="29">
        <v>164.22</v>
      </c>
      <c r="I333" s="30">
        <v>82.066000000000003</v>
      </c>
      <c r="J333" s="30">
        <v>81.796000000000006</v>
      </c>
      <c r="K333" s="31">
        <v>1</v>
      </c>
      <c r="L333" s="31">
        <v>1</v>
      </c>
      <c r="M333" s="4">
        <v>0.69</v>
      </c>
      <c r="N333" s="4">
        <v>0.69</v>
      </c>
      <c r="O333" s="4">
        <v>0.31</v>
      </c>
      <c r="P333" s="4">
        <v>0.31</v>
      </c>
      <c r="Q333" s="32">
        <v>82.066000000000003</v>
      </c>
      <c r="R333" s="32">
        <v>81.796000000000006</v>
      </c>
      <c r="S333" s="32">
        <v>13476.87852</v>
      </c>
      <c r="T333" s="32">
        <v>13432.539120000001</v>
      </c>
      <c r="U333" s="33">
        <v>7.1268856291517081E-4</v>
      </c>
      <c r="V333" s="34">
        <v>7.1298800770595644E-4</v>
      </c>
      <c r="W333" s="34">
        <v>2.9944479078562909E-7</v>
      </c>
      <c r="X333" s="35">
        <v>0.64552213377575884</v>
      </c>
      <c r="Y333" s="36">
        <v>3930.8374971121598</v>
      </c>
      <c r="Z333" s="37">
        <v>9.7208014550495244E-4</v>
      </c>
      <c r="AA333" s="38">
        <v>9.7181845996773485E-4</v>
      </c>
      <c r="AB333" s="38">
        <v>-2.6168553721758574E-7</v>
      </c>
      <c r="AC333" s="39">
        <v>-5.0066363481713928E-3</v>
      </c>
      <c r="AD333" s="40">
        <v>-30.487372720566267</v>
      </c>
      <c r="AE333" s="37">
        <v>4.4712435958043181E-4</v>
      </c>
      <c r="AF333" s="38">
        <v>4.4762823120511678E-4</v>
      </c>
      <c r="AG333" s="38">
        <v>5.0387162468497684E-7</v>
      </c>
      <c r="AH333" s="39">
        <v>7.0620995847684503E-3</v>
      </c>
      <c r="AI333" s="40">
        <v>43.003894682550545</v>
      </c>
      <c r="AJ333" s="39">
        <v>0.64757759701235584</v>
      </c>
      <c r="AK333" s="28">
        <v>3943.3540190741442</v>
      </c>
      <c r="AL333" s="41">
        <f t="shared" si="4"/>
        <v>0.91171839844607561</v>
      </c>
      <c r="AM333" s="28">
        <v>711933.3125</v>
      </c>
      <c r="AN333" s="42">
        <v>5.5389373552795287E-3</v>
      </c>
      <c r="AP333" s="30"/>
      <c r="AR333" s="30"/>
    </row>
    <row r="334" spans="1:44" x14ac:dyDescent="0.2">
      <c r="A334" s="3" t="s">
        <v>752</v>
      </c>
      <c r="B334" s="3" t="s">
        <v>1028</v>
      </c>
      <c r="C334" s="3" t="s">
        <v>1870</v>
      </c>
      <c r="D334" s="27"/>
      <c r="E334" s="3" t="s">
        <v>951</v>
      </c>
      <c r="F334" s="133" t="s">
        <v>1057</v>
      </c>
      <c r="G334" s="3" t="s">
        <v>881</v>
      </c>
      <c r="H334" s="29">
        <v>107.99</v>
      </c>
      <c r="I334" s="30">
        <v>1444.4169999999999</v>
      </c>
      <c r="J334" s="30">
        <v>1439.1579999999999</v>
      </c>
      <c r="K334" s="31">
        <v>1</v>
      </c>
      <c r="L334" s="31">
        <v>1</v>
      </c>
      <c r="M334" s="4">
        <v>0.55000000000000004</v>
      </c>
      <c r="N334" s="4">
        <v>0.55000000000000004</v>
      </c>
      <c r="O334" s="4">
        <v>0.45</v>
      </c>
      <c r="P334" s="4">
        <v>0.45</v>
      </c>
      <c r="Q334" s="32">
        <v>1444.4169999999999</v>
      </c>
      <c r="R334" s="32">
        <v>1439.1579999999999</v>
      </c>
      <c r="S334" s="32">
        <v>155982.59182999999</v>
      </c>
      <c r="T334" s="32">
        <v>155414.67241999999</v>
      </c>
      <c r="U334" s="33">
        <v>8.2487208774741083E-3</v>
      </c>
      <c r="V334" s="34">
        <v>8.2492815890648705E-3</v>
      </c>
      <c r="W334" s="34">
        <v>5.6071159076215293E-7</v>
      </c>
      <c r="X334" s="35">
        <v>1.2087428255203958</v>
      </c>
      <c r="Y334" s="36">
        <v>11193.099597373792</v>
      </c>
      <c r="Z334" s="37">
        <v>8.9681422917777236E-3</v>
      </c>
      <c r="AA334" s="38">
        <v>8.962571770205794E-3</v>
      </c>
      <c r="AB334" s="38">
        <v>-5.5705215719296236E-6</v>
      </c>
      <c r="AC334" s="39">
        <v>-0.10657668007500977</v>
      </c>
      <c r="AD334" s="40">
        <v>-986.91249259199708</v>
      </c>
      <c r="AE334" s="37">
        <v>7.5121797266626249E-3</v>
      </c>
      <c r="AF334" s="38">
        <v>7.5179977644847344E-3</v>
      </c>
      <c r="AG334" s="38">
        <v>5.8180378221094758E-6</v>
      </c>
      <c r="AH334" s="39">
        <v>8.1543711681273237E-2</v>
      </c>
      <c r="AI334" s="40">
        <v>755.10428448257471</v>
      </c>
      <c r="AJ334" s="39">
        <v>1.1837098571266591</v>
      </c>
      <c r="AK334" s="28">
        <v>10961.29138926437</v>
      </c>
      <c r="AL334" s="41">
        <f t="shared" si="4"/>
        <v>2.5961273764337109</v>
      </c>
      <c r="AM334" s="28">
        <v>2787792.75</v>
      </c>
      <c r="AN334" s="42">
        <v>3.9318889071880865E-3</v>
      </c>
      <c r="AP334" s="30"/>
      <c r="AR334" s="30"/>
    </row>
    <row r="335" spans="1:44" x14ac:dyDescent="0.2">
      <c r="A335" s="3" t="s">
        <v>1181</v>
      </c>
      <c r="B335" s="3" t="s">
        <v>417</v>
      </c>
      <c r="C335" s="3" t="s">
        <v>1871</v>
      </c>
      <c r="D335" s="27"/>
      <c r="E335" s="3" t="s">
        <v>710</v>
      </c>
      <c r="F335" s="133" t="s">
        <v>1064</v>
      </c>
      <c r="G335" s="3" t="s">
        <v>881</v>
      </c>
      <c r="H335" s="29">
        <v>28.03</v>
      </c>
      <c r="I335" s="30">
        <v>226.35499999999999</v>
      </c>
      <c r="J335" s="30">
        <v>225.62700000000001</v>
      </c>
      <c r="K335" s="31">
        <v>1</v>
      </c>
      <c r="L335" s="31">
        <v>1</v>
      </c>
      <c r="M335" s="4">
        <v>0</v>
      </c>
      <c r="N335" s="4">
        <v>0</v>
      </c>
      <c r="O335" s="4">
        <v>1</v>
      </c>
      <c r="P335" s="4">
        <v>1</v>
      </c>
      <c r="Q335" s="32">
        <v>226.35499999999999</v>
      </c>
      <c r="R335" s="32">
        <v>225.62700000000001</v>
      </c>
      <c r="S335" s="32">
        <v>6344.7306500000004</v>
      </c>
      <c r="T335" s="32">
        <v>6324.3248100000001</v>
      </c>
      <c r="U335" s="33">
        <v>3.3552405791310326E-4</v>
      </c>
      <c r="V335" s="34">
        <v>3.3568990241416479E-4</v>
      </c>
      <c r="W335" s="34">
        <v>1.658445010615248E-7</v>
      </c>
      <c r="X335" s="35">
        <v>0.357515974545213</v>
      </c>
      <c r="Y335" s="36">
        <v>12754.761846065392</v>
      </c>
      <c r="Z335" s="37">
        <v>0</v>
      </c>
      <c r="AA335" s="38">
        <v>0</v>
      </c>
      <c r="AB335" s="38">
        <v>0</v>
      </c>
      <c r="AC335" s="39">
        <v>0</v>
      </c>
      <c r="AD335" s="40">
        <v>0</v>
      </c>
      <c r="AE335" s="37">
        <v>6.7903242564701588E-4</v>
      </c>
      <c r="AF335" s="38">
        <v>6.7984800552684649E-4</v>
      </c>
      <c r="AG335" s="38">
        <v>8.1557987983060711E-7</v>
      </c>
      <c r="AH335" s="39">
        <v>1.1430900349465464E-2</v>
      </c>
      <c r="AI335" s="40">
        <v>407.80950229987388</v>
      </c>
      <c r="AJ335" s="39">
        <v>0.36894687489467848</v>
      </c>
      <c r="AK335" s="28">
        <v>13162.571348365265</v>
      </c>
      <c r="AL335" s="41">
        <f t="shared" si="4"/>
        <v>2.9583392982790722</v>
      </c>
      <c r="AM335" s="28">
        <v>3432619.25</v>
      </c>
      <c r="AN335" s="42">
        <v>3.8345561769966958E-3</v>
      </c>
      <c r="AP335" s="30"/>
      <c r="AR335" s="30"/>
    </row>
    <row r="336" spans="1:44" x14ac:dyDescent="0.2">
      <c r="A336" s="3" t="s">
        <v>717</v>
      </c>
      <c r="B336" s="3" t="s">
        <v>148</v>
      </c>
      <c r="C336" s="3" t="s">
        <v>1872</v>
      </c>
      <c r="D336" s="27"/>
      <c r="E336" s="3" t="s">
        <v>1250</v>
      </c>
      <c r="F336" s="133" t="s">
        <v>1065</v>
      </c>
      <c r="G336" s="3" t="s">
        <v>881</v>
      </c>
      <c r="H336" s="29">
        <v>423.02</v>
      </c>
      <c r="I336" s="30">
        <v>29.201000000000001</v>
      </c>
      <c r="J336" s="30">
        <v>29.116</v>
      </c>
      <c r="K336" s="31">
        <v>1</v>
      </c>
      <c r="L336" s="31">
        <v>1</v>
      </c>
      <c r="M336" s="4">
        <v>1</v>
      </c>
      <c r="N336" s="4">
        <v>1</v>
      </c>
      <c r="O336" s="4">
        <v>0</v>
      </c>
      <c r="P336" s="4">
        <v>0</v>
      </c>
      <c r="Q336" s="32">
        <v>29.201000000000001</v>
      </c>
      <c r="R336" s="32">
        <v>29.116</v>
      </c>
      <c r="S336" s="32">
        <v>12352.607019999999</v>
      </c>
      <c r="T336" s="32">
        <v>12316.650319999999</v>
      </c>
      <c r="U336" s="33">
        <v>6.5323448098719304E-4</v>
      </c>
      <c r="V336" s="34">
        <v>6.5375755803253742E-4</v>
      </c>
      <c r="W336" s="34">
        <v>5.2307704534438303E-7</v>
      </c>
      <c r="X336" s="35">
        <v>1.1276129050498425</v>
      </c>
      <c r="Y336" s="36">
        <v>2665.6255142779123</v>
      </c>
      <c r="Z336" s="37">
        <v>1.2912855575168936E-3</v>
      </c>
      <c r="AA336" s="38">
        <v>1.2914290493430613E-3</v>
      </c>
      <c r="AB336" s="38">
        <v>1.4349182616765765E-7</v>
      </c>
      <c r="AC336" s="39">
        <v>2.7453232616334567E-3</v>
      </c>
      <c r="AD336" s="40">
        <v>6.4898190667898845</v>
      </c>
      <c r="AE336" s="37">
        <v>0</v>
      </c>
      <c r="AF336" s="38">
        <v>0</v>
      </c>
      <c r="AG336" s="38">
        <v>0</v>
      </c>
      <c r="AH336" s="39">
        <v>0</v>
      </c>
      <c r="AI336" s="40">
        <v>0</v>
      </c>
      <c r="AJ336" s="39">
        <v>1.1303582283114759</v>
      </c>
      <c r="AK336" s="28">
        <v>2672.1153333447023</v>
      </c>
      <c r="AL336" s="41">
        <f t="shared" si="4"/>
        <v>0.61826514744501804</v>
      </c>
      <c r="AM336" s="28">
        <v>920046.625</v>
      </c>
      <c r="AN336" s="42">
        <v>2.9043259990706475E-3</v>
      </c>
      <c r="AP336" s="30"/>
      <c r="AR336" s="30"/>
    </row>
    <row r="337" spans="1:44" x14ac:dyDescent="0.2">
      <c r="A337" s="3" t="s">
        <v>1100</v>
      </c>
      <c r="B337" s="3" t="s">
        <v>334</v>
      </c>
      <c r="C337" s="3" t="s">
        <v>1873</v>
      </c>
      <c r="D337" s="27"/>
      <c r="E337" s="3" t="s">
        <v>644</v>
      </c>
      <c r="F337" s="133" t="s">
        <v>1052</v>
      </c>
      <c r="G337" s="3" t="s">
        <v>881</v>
      </c>
      <c r="H337" s="29">
        <v>77.37</v>
      </c>
      <c r="I337" s="30">
        <v>89.18</v>
      </c>
      <c r="J337" s="30">
        <v>88.856999999999999</v>
      </c>
      <c r="K337" s="31">
        <v>1</v>
      </c>
      <c r="L337" s="31">
        <v>1</v>
      </c>
      <c r="M337" s="4">
        <v>1</v>
      </c>
      <c r="N337" s="4">
        <v>1</v>
      </c>
      <c r="O337" s="4">
        <v>0</v>
      </c>
      <c r="P337" s="4">
        <v>0</v>
      </c>
      <c r="Q337" s="32">
        <v>89.18</v>
      </c>
      <c r="R337" s="32">
        <v>88.856999999999999</v>
      </c>
      <c r="S337" s="32">
        <v>6899.856600000001</v>
      </c>
      <c r="T337" s="32">
        <v>6874.8660900000004</v>
      </c>
      <c r="U337" s="33">
        <v>3.6488040441094347E-4</v>
      </c>
      <c r="V337" s="34">
        <v>3.6491217579676317E-4</v>
      </c>
      <c r="W337" s="34">
        <v>3.1771385819695085E-8</v>
      </c>
      <c r="X337" s="35">
        <v>6.8490531137757674E-2</v>
      </c>
      <c r="Y337" s="36">
        <v>885.23369701121453</v>
      </c>
      <c r="Z337" s="37">
        <v>7.2127973974174238E-4</v>
      </c>
      <c r="AA337" s="38">
        <v>7.208454854444184E-4</v>
      </c>
      <c r="AB337" s="38">
        <v>-4.3425429732397818E-7</v>
      </c>
      <c r="AC337" s="39">
        <v>-8.3082671379125384E-3</v>
      </c>
      <c r="AD337" s="40">
        <v>-107.38357422660641</v>
      </c>
      <c r="AE337" s="37">
        <v>0</v>
      </c>
      <c r="AF337" s="38">
        <v>0</v>
      </c>
      <c r="AG337" s="38">
        <v>0</v>
      </c>
      <c r="AH337" s="39">
        <v>0</v>
      </c>
      <c r="AI337" s="40">
        <v>0</v>
      </c>
      <c r="AJ337" s="39">
        <v>6.0182263999845137E-2</v>
      </c>
      <c r="AK337" s="28">
        <v>777.85012278460817</v>
      </c>
      <c r="AL337" s="41">
        <f t="shared" si="4"/>
        <v>0.20532109228186043</v>
      </c>
      <c r="AM337" s="28">
        <v>557659.4375</v>
      </c>
      <c r="AN337" s="42">
        <v>1.3948479492640312E-3</v>
      </c>
      <c r="AP337" s="30"/>
      <c r="AR337" s="30"/>
    </row>
    <row r="338" spans="1:44" x14ac:dyDescent="0.2">
      <c r="A338" s="3" t="s">
        <v>892</v>
      </c>
      <c r="B338" s="3" t="s">
        <v>324</v>
      </c>
      <c r="C338" s="3" t="s">
        <v>1874</v>
      </c>
      <c r="D338" s="27"/>
      <c r="E338" s="3" t="s">
        <v>780</v>
      </c>
      <c r="F338" s="133" t="s">
        <v>1054</v>
      </c>
      <c r="G338" s="3" t="s">
        <v>880</v>
      </c>
      <c r="H338" s="29">
        <v>171.51</v>
      </c>
      <c r="I338" s="30">
        <v>751.21699999999998</v>
      </c>
      <c r="J338" s="30">
        <v>748.36099999999999</v>
      </c>
      <c r="K338" s="31">
        <v>1</v>
      </c>
      <c r="L338" s="31">
        <v>1</v>
      </c>
      <c r="M338" s="4">
        <v>0.69</v>
      </c>
      <c r="N338" s="4">
        <v>0.69</v>
      </c>
      <c r="O338" s="4">
        <v>0.31</v>
      </c>
      <c r="P338" s="4">
        <v>0.31</v>
      </c>
      <c r="Q338" s="32">
        <v>751.21699999999998</v>
      </c>
      <c r="R338" s="32">
        <v>748.36099999999999</v>
      </c>
      <c r="S338" s="32">
        <v>128841.22766999999</v>
      </c>
      <c r="T338" s="32">
        <v>128351.39511</v>
      </c>
      <c r="U338" s="33">
        <v>6.8134226524406358E-3</v>
      </c>
      <c r="V338" s="34">
        <v>6.8127853318143868E-3</v>
      </c>
      <c r="W338" s="34">
        <v>-6.3732062624902164E-7</v>
      </c>
      <c r="X338" s="35">
        <v>-1.3738912254115441</v>
      </c>
      <c r="Y338" s="36">
        <v>-8010.5604653463015</v>
      </c>
      <c r="Z338" s="37">
        <v>9.2932498541576456E-3</v>
      </c>
      <c r="AA338" s="38">
        <v>9.2859774325757139E-3</v>
      </c>
      <c r="AB338" s="38">
        <v>-7.2724215819316984E-6</v>
      </c>
      <c r="AC338" s="39">
        <v>-0.13913787753983103</v>
      </c>
      <c r="AD338" s="40">
        <v>-811.25227415212555</v>
      </c>
      <c r="AE338" s="37">
        <v>4.2745841571558037E-3</v>
      </c>
      <c r="AF338" s="38">
        <v>4.2772038445251419E-3</v>
      </c>
      <c r="AG338" s="38">
        <v>2.619687369338243E-6</v>
      </c>
      <c r="AH338" s="39">
        <v>3.6716679759042525E-2</v>
      </c>
      <c r="AI338" s="40">
        <v>214.07894442914423</v>
      </c>
      <c r="AJ338" s="39">
        <v>-1.4763124231923326</v>
      </c>
      <c r="AK338" s="28">
        <v>-8607.7337950692836</v>
      </c>
      <c r="AL338" s="41">
        <f t="shared" si="4"/>
        <v>-1.8579692911463519</v>
      </c>
      <c r="AM338" s="28">
        <v>2816959.25</v>
      </c>
      <c r="AN338" s="42">
        <v>-3.0556827526238739E-3</v>
      </c>
      <c r="AP338" s="30"/>
      <c r="AR338" s="30"/>
    </row>
    <row r="339" spans="1:44" x14ac:dyDescent="0.2">
      <c r="A339" s="3" t="s">
        <v>1077</v>
      </c>
      <c r="B339" s="3" t="s">
        <v>310</v>
      </c>
      <c r="C339" s="3" t="s">
        <v>1875</v>
      </c>
      <c r="D339" s="27"/>
      <c r="E339" s="3" t="s">
        <v>622</v>
      </c>
      <c r="F339" s="133" t="s">
        <v>1055</v>
      </c>
      <c r="G339" s="3" t="s">
        <v>880</v>
      </c>
      <c r="H339" s="29">
        <v>102.3</v>
      </c>
      <c r="I339" s="30">
        <v>500.21</v>
      </c>
      <c r="J339" s="30">
        <v>498.291</v>
      </c>
      <c r="K339" s="31">
        <v>1</v>
      </c>
      <c r="L339" s="31">
        <v>1</v>
      </c>
      <c r="M339" s="4">
        <v>1</v>
      </c>
      <c r="N339" s="4">
        <v>1</v>
      </c>
      <c r="O339" s="4">
        <v>0</v>
      </c>
      <c r="P339" s="4">
        <v>0</v>
      </c>
      <c r="Q339" s="32">
        <v>500.21</v>
      </c>
      <c r="R339" s="32">
        <v>498.291</v>
      </c>
      <c r="S339" s="32">
        <v>51171.482999999993</v>
      </c>
      <c r="T339" s="32">
        <v>50975.169300000001</v>
      </c>
      <c r="U339" s="33">
        <v>2.7060665885936981E-3</v>
      </c>
      <c r="V339" s="34">
        <v>2.7057196020048393E-3</v>
      </c>
      <c r="W339" s="34">
        <v>-3.4698658885881292E-7</v>
      </c>
      <c r="X339" s="35">
        <v>-0.74800941650731323</v>
      </c>
      <c r="Y339" s="36">
        <v>-7311.9200049590736</v>
      </c>
      <c r="Z339" s="37">
        <v>5.3492349305402928E-3</v>
      </c>
      <c r="AA339" s="38">
        <v>5.3448634749582316E-3</v>
      </c>
      <c r="AB339" s="38">
        <v>-4.3714555820612011E-6</v>
      </c>
      <c r="AC339" s="39">
        <v>-8.3635834995979833E-2</v>
      </c>
      <c r="AD339" s="40">
        <v>-817.55459429110294</v>
      </c>
      <c r="AE339" s="37">
        <v>0</v>
      </c>
      <c r="AF339" s="38">
        <v>0</v>
      </c>
      <c r="AG339" s="38">
        <v>0</v>
      </c>
      <c r="AH339" s="39">
        <v>0</v>
      </c>
      <c r="AI339" s="40">
        <v>0</v>
      </c>
      <c r="AJ339" s="39">
        <v>-0.83164525150329305</v>
      </c>
      <c r="AK339" s="28">
        <v>-8129.4745992501767</v>
      </c>
      <c r="AL339" s="41">
        <f t="shared" si="4"/>
        <v>-1.6959266317635042</v>
      </c>
      <c r="AM339" s="28">
        <v>1654089.75</v>
      </c>
      <c r="AN339" s="42">
        <v>-4.91477236906291E-3</v>
      </c>
      <c r="AP339" s="30"/>
      <c r="AR339" s="30"/>
    </row>
    <row r="340" spans="1:44" x14ac:dyDescent="0.2">
      <c r="A340" s="3" t="s">
        <v>238</v>
      </c>
      <c r="B340" s="3" t="s">
        <v>519</v>
      </c>
      <c r="C340" s="3" t="s">
        <v>1876</v>
      </c>
      <c r="D340" s="27"/>
      <c r="E340" s="3" t="s">
        <v>86</v>
      </c>
      <c r="F340" s="133" t="s">
        <v>1071</v>
      </c>
      <c r="G340" s="3" t="s">
        <v>880</v>
      </c>
      <c r="H340" s="29">
        <v>64.58</v>
      </c>
      <c r="I340" s="30">
        <v>53.703000000000003</v>
      </c>
      <c r="J340" s="30">
        <v>53.478000000000002</v>
      </c>
      <c r="K340" s="31">
        <v>1</v>
      </c>
      <c r="L340" s="31">
        <v>1</v>
      </c>
      <c r="M340" s="4">
        <v>0</v>
      </c>
      <c r="N340" s="4">
        <v>0</v>
      </c>
      <c r="O340" s="4">
        <v>1</v>
      </c>
      <c r="P340" s="4">
        <v>1</v>
      </c>
      <c r="Q340" s="32">
        <v>53.703000000000003</v>
      </c>
      <c r="R340" s="32">
        <v>53.478000000000002</v>
      </c>
      <c r="S340" s="32">
        <v>3468.1397400000001</v>
      </c>
      <c r="T340" s="32">
        <v>3453.6092400000002</v>
      </c>
      <c r="U340" s="33">
        <v>1.8340326534972684E-4</v>
      </c>
      <c r="V340" s="34">
        <v>1.833147068789242E-4</v>
      </c>
      <c r="W340" s="34">
        <v>-8.8558470802646517E-8</v>
      </c>
      <c r="X340" s="35">
        <v>-0.19090815668043387</v>
      </c>
      <c r="Y340" s="36">
        <v>-2956.1498402049219</v>
      </c>
      <c r="Z340" s="37">
        <v>0</v>
      </c>
      <c r="AA340" s="38">
        <v>0</v>
      </c>
      <c r="AB340" s="38">
        <v>0</v>
      </c>
      <c r="AC340" s="39">
        <v>0</v>
      </c>
      <c r="AD340" s="40">
        <v>0</v>
      </c>
      <c r="AE340" s="37">
        <v>3.7117089283136248E-4</v>
      </c>
      <c r="AF340" s="38">
        <v>3.7125375818309502E-4</v>
      </c>
      <c r="AG340" s="38">
        <v>8.2865351732535134E-8</v>
      </c>
      <c r="AH340" s="39">
        <v>1.1614136168669948E-3</v>
      </c>
      <c r="AI340" s="40">
        <v>17.98410679571067</v>
      </c>
      <c r="AJ340" s="39">
        <v>-0.18974674306356687</v>
      </c>
      <c r="AK340" s="28">
        <v>-2938.165733409211</v>
      </c>
      <c r="AL340" s="41">
        <f t="shared" ref="AL340:AL403" si="5">+$AL$6*W340/H340*10^6</f>
        <v>-0.68564935585821085</v>
      </c>
      <c r="AM340" s="28">
        <v>620971.25</v>
      </c>
      <c r="AN340" s="42">
        <v>-4.7315648404160594E-3</v>
      </c>
      <c r="AP340" s="30"/>
      <c r="AR340" s="30"/>
    </row>
    <row r="341" spans="1:44" x14ac:dyDescent="0.2">
      <c r="A341" s="3" t="s">
        <v>1551</v>
      </c>
      <c r="B341" s="3" t="s">
        <v>1515</v>
      </c>
      <c r="C341" s="3" t="s">
        <v>1877</v>
      </c>
      <c r="D341" s="27"/>
      <c r="E341" s="3" t="s">
        <v>2109</v>
      </c>
      <c r="F341" s="133" t="s">
        <v>1054</v>
      </c>
      <c r="G341" s="3" t="s">
        <v>880</v>
      </c>
      <c r="H341" s="29">
        <v>170.42</v>
      </c>
      <c r="I341" s="30">
        <v>147.19999999999999</v>
      </c>
      <c r="J341" s="30">
        <v>146.6</v>
      </c>
      <c r="K341" s="31">
        <v>1</v>
      </c>
      <c r="L341" s="31">
        <v>1</v>
      </c>
      <c r="M341" s="4">
        <v>1</v>
      </c>
      <c r="N341" s="4">
        <v>1</v>
      </c>
      <c r="O341" s="4">
        <v>0</v>
      </c>
      <c r="P341" s="4">
        <v>0</v>
      </c>
      <c r="Q341" s="32">
        <v>147.19999999999999</v>
      </c>
      <c r="R341" s="32">
        <v>146.6</v>
      </c>
      <c r="S341" s="32">
        <v>25085.823999999997</v>
      </c>
      <c r="T341" s="32">
        <v>24983.571999999996</v>
      </c>
      <c r="U341" s="33">
        <v>1.3265964985564697E-3</v>
      </c>
      <c r="V341" s="34">
        <v>1.3261072286129558E-3</v>
      </c>
      <c r="W341" s="34">
        <v>-4.892699435139411E-7</v>
      </c>
      <c r="X341" s="35">
        <v>-1.0547339197347019</v>
      </c>
      <c r="Y341" s="36">
        <v>-6189.026638508989</v>
      </c>
      <c r="Z341" s="37">
        <v>2.6223583553790304E-3</v>
      </c>
      <c r="AA341" s="38">
        <v>2.6195848545575925E-3</v>
      </c>
      <c r="AB341" s="38">
        <v>-2.7735008214378916E-6</v>
      </c>
      <c r="AC341" s="39">
        <v>-5.306334531108739E-2</v>
      </c>
      <c r="AD341" s="40">
        <v>-311.36806308583147</v>
      </c>
      <c r="AE341" s="37">
        <v>0</v>
      </c>
      <c r="AF341" s="38">
        <v>0</v>
      </c>
      <c r="AG341" s="38">
        <v>0</v>
      </c>
      <c r="AH341" s="39">
        <v>0</v>
      </c>
      <c r="AI341" s="40">
        <v>0</v>
      </c>
      <c r="AJ341" s="39">
        <v>-1.1077972650457892</v>
      </c>
      <c r="AK341" s="28">
        <v>-6500.3947015948206</v>
      </c>
      <c r="AL341" s="41">
        <f t="shared" si="5"/>
        <v>-1.4354827588133467</v>
      </c>
      <c r="AM341" s="28">
        <v>1199889.625</v>
      </c>
      <c r="AN341" s="42">
        <v>-5.4174938812349685E-3</v>
      </c>
      <c r="AP341" s="30"/>
      <c r="AR341" s="30"/>
    </row>
    <row r="342" spans="1:44" x14ac:dyDescent="0.2">
      <c r="A342" s="3" t="s">
        <v>738</v>
      </c>
      <c r="B342" s="3" t="s">
        <v>166</v>
      </c>
      <c r="C342" s="3" t="s">
        <v>1878</v>
      </c>
      <c r="D342" s="27"/>
      <c r="E342" s="3" t="s">
        <v>1428</v>
      </c>
      <c r="F342" s="133" t="s">
        <v>1063</v>
      </c>
      <c r="G342" s="3" t="s">
        <v>880</v>
      </c>
      <c r="H342" s="29">
        <v>1425.19</v>
      </c>
      <c r="I342" s="30">
        <v>49.639000000000003</v>
      </c>
      <c r="J342" s="30">
        <v>49.427</v>
      </c>
      <c r="K342" s="31">
        <v>1</v>
      </c>
      <c r="L342" s="31">
        <v>1</v>
      </c>
      <c r="M342" s="4">
        <v>1</v>
      </c>
      <c r="N342" s="4">
        <v>1</v>
      </c>
      <c r="O342" s="4">
        <v>0</v>
      </c>
      <c r="P342" s="4">
        <v>0</v>
      </c>
      <c r="Q342" s="32">
        <v>49.639000000000003</v>
      </c>
      <c r="R342" s="32">
        <v>49.427</v>
      </c>
      <c r="S342" s="32">
        <v>70745.006410000002</v>
      </c>
      <c r="T342" s="32">
        <v>70442.866129999995</v>
      </c>
      <c r="U342" s="33">
        <v>3.741159859602819E-3</v>
      </c>
      <c r="V342" s="34">
        <v>3.7390487628913816E-3</v>
      </c>
      <c r="W342" s="34">
        <v>-2.1110967114374227E-6</v>
      </c>
      <c r="X342" s="35">
        <v>-4.5509546190424963</v>
      </c>
      <c r="Y342" s="36">
        <v>-3193.2266006935888</v>
      </c>
      <c r="Z342" s="37">
        <v>7.3953623632457364E-3</v>
      </c>
      <c r="AA342" s="38">
        <v>7.3860961605400543E-3</v>
      </c>
      <c r="AB342" s="38">
        <v>-9.2662027056820626E-6</v>
      </c>
      <c r="AC342" s="39">
        <v>-0.17728342104446365</v>
      </c>
      <c r="AD342" s="40">
        <v>-124.39283256580782</v>
      </c>
      <c r="AE342" s="37">
        <v>0</v>
      </c>
      <c r="AF342" s="38">
        <v>0</v>
      </c>
      <c r="AG342" s="38">
        <v>0</v>
      </c>
      <c r="AH342" s="39">
        <v>0</v>
      </c>
      <c r="AI342" s="40">
        <v>0</v>
      </c>
      <c r="AJ342" s="39">
        <v>-4.7282380400869597</v>
      </c>
      <c r="AK342" s="28">
        <v>-3317.6194332593968</v>
      </c>
      <c r="AL342" s="41">
        <f t="shared" si="5"/>
        <v>-0.74063693663210606</v>
      </c>
      <c r="AM342" s="28">
        <v>527442.375</v>
      </c>
      <c r="AN342" s="42">
        <v>-6.2900130715879566E-3</v>
      </c>
      <c r="AP342" s="30"/>
      <c r="AR342" s="30"/>
    </row>
    <row r="343" spans="1:44" x14ac:dyDescent="0.2">
      <c r="A343" s="3" t="s">
        <v>1214</v>
      </c>
      <c r="B343" s="3" t="s">
        <v>450</v>
      </c>
      <c r="C343" s="3" t="s">
        <v>1879</v>
      </c>
      <c r="D343" s="27"/>
      <c r="E343" s="3" t="s">
        <v>23</v>
      </c>
      <c r="F343" s="133" t="s">
        <v>1068</v>
      </c>
      <c r="G343" s="3" t="s">
        <v>880</v>
      </c>
      <c r="H343" s="29">
        <v>54.75</v>
      </c>
      <c r="I343" s="30">
        <v>121.925</v>
      </c>
      <c r="J343" s="30">
        <v>121.428</v>
      </c>
      <c r="K343" s="31">
        <v>1</v>
      </c>
      <c r="L343" s="31">
        <v>1</v>
      </c>
      <c r="M343" s="4">
        <v>0</v>
      </c>
      <c r="N343" s="4">
        <v>0</v>
      </c>
      <c r="O343" s="4">
        <v>1</v>
      </c>
      <c r="P343" s="4">
        <v>1</v>
      </c>
      <c r="Q343" s="32">
        <v>121.925</v>
      </c>
      <c r="R343" s="32">
        <v>121.428</v>
      </c>
      <c r="S343" s="32">
        <v>6675.3937500000002</v>
      </c>
      <c r="T343" s="32">
        <v>6648.183</v>
      </c>
      <c r="U343" s="33">
        <v>3.5301028880836222E-4</v>
      </c>
      <c r="V343" s="34">
        <v>3.5288002586026404E-4</v>
      </c>
      <c r="W343" s="34">
        <v>-1.30262948098178E-7</v>
      </c>
      <c r="X343" s="35">
        <v>-0.28081175160083072</v>
      </c>
      <c r="Y343" s="36">
        <v>-5128.9817643987344</v>
      </c>
      <c r="Z343" s="37">
        <v>0</v>
      </c>
      <c r="AA343" s="38">
        <v>0</v>
      </c>
      <c r="AB343" s="38">
        <v>0</v>
      </c>
      <c r="AC343" s="39">
        <v>0</v>
      </c>
      <c r="AD343" s="40">
        <v>0</v>
      </c>
      <c r="AE343" s="37">
        <v>7.1442099913436499E-4</v>
      </c>
      <c r="AF343" s="38">
        <v>7.1466189493949903E-4</v>
      </c>
      <c r="AG343" s="38">
        <v>2.4089580513404849E-7</v>
      </c>
      <c r="AH343" s="39">
        <v>3.3763166689000264E-3</v>
      </c>
      <c r="AI343" s="40">
        <v>61.667884363470804</v>
      </c>
      <c r="AJ343" s="39">
        <v>-0.27743543493193068</v>
      </c>
      <c r="AK343" s="28">
        <v>-5067.3138800352635</v>
      </c>
      <c r="AL343" s="41">
        <f t="shared" si="5"/>
        <v>-1.1896159643669224</v>
      </c>
      <c r="AM343" s="28">
        <v>809690.9375</v>
      </c>
      <c r="AN343" s="42">
        <v>-6.2583309820424702E-3</v>
      </c>
      <c r="AP343" s="30"/>
      <c r="AR343" s="30"/>
    </row>
    <row r="344" spans="1:44" x14ac:dyDescent="0.2">
      <c r="A344" s="3" t="s">
        <v>1200</v>
      </c>
      <c r="B344" s="3" t="s">
        <v>435</v>
      </c>
      <c r="C344" s="3" t="s">
        <v>1880</v>
      </c>
      <c r="D344" s="27"/>
      <c r="E344" s="3" t="s">
        <v>11</v>
      </c>
      <c r="F344" s="133" t="s">
        <v>1051</v>
      </c>
      <c r="G344" s="3" t="s">
        <v>880</v>
      </c>
      <c r="H344" s="29">
        <v>92.62</v>
      </c>
      <c r="I344" s="30">
        <v>124.726</v>
      </c>
      <c r="J344" s="30">
        <v>124.22</v>
      </c>
      <c r="K344" s="31">
        <v>1</v>
      </c>
      <c r="L344" s="31">
        <v>1</v>
      </c>
      <c r="M344" s="4">
        <v>0.56000000000000005</v>
      </c>
      <c r="N344" s="4">
        <v>0.56000000000000005</v>
      </c>
      <c r="O344" s="4">
        <v>0.44</v>
      </c>
      <c r="P344" s="4">
        <v>0.44</v>
      </c>
      <c r="Q344" s="32">
        <v>124.726</v>
      </c>
      <c r="R344" s="32">
        <v>124.22</v>
      </c>
      <c r="S344" s="32">
        <v>11552.12212</v>
      </c>
      <c r="T344" s="32">
        <v>11505.2564</v>
      </c>
      <c r="U344" s="33">
        <v>6.1090298470119003E-4</v>
      </c>
      <c r="V344" s="34">
        <v>6.1068944341047292E-4</v>
      </c>
      <c r="W344" s="34">
        <v>-2.1354129071710255E-7</v>
      </c>
      <c r="X344" s="35">
        <v>-0.46033737728841184</v>
      </c>
      <c r="Y344" s="36">
        <v>-4970.1725036537664</v>
      </c>
      <c r="Z344" s="37">
        <v>6.7625963650605697E-4</v>
      </c>
      <c r="AA344" s="38">
        <v>6.7555741954815015E-4</v>
      </c>
      <c r="AB344" s="38">
        <v>-7.02216957906821E-7</v>
      </c>
      <c r="AC344" s="39">
        <v>-1.3434999057037557E-2</v>
      </c>
      <c r="AD344" s="40">
        <v>-145.05505352016365</v>
      </c>
      <c r="AE344" s="37">
        <v>5.4399107107663022E-4</v>
      </c>
      <c r="AF344" s="38">
        <v>5.4418509085250389E-4</v>
      </c>
      <c r="AG344" s="38">
        <v>1.940197758736658E-7</v>
      </c>
      <c r="AH344" s="39">
        <v>2.7193176029527977E-3</v>
      </c>
      <c r="AI344" s="40">
        <v>29.359939569777559</v>
      </c>
      <c r="AJ344" s="39">
        <v>-0.47105305874249659</v>
      </c>
      <c r="AK344" s="28">
        <v>-5085.8676176041527</v>
      </c>
      <c r="AL344" s="41">
        <f t="shared" si="5"/>
        <v>-1.1527817464753971</v>
      </c>
      <c r="AM344" s="28">
        <v>737225.5625</v>
      </c>
      <c r="AN344" s="42">
        <v>-6.8986588044471836E-3</v>
      </c>
      <c r="AP344" s="30"/>
      <c r="AR344" s="30"/>
    </row>
    <row r="345" spans="1:44" x14ac:dyDescent="0.2">
      <c r="A345" s="3" t="s">
        <v>1166</v>
      </c>
      <c r="B345" s="3" t="s">
        <v>402</v>
      </c>
      <c r="C345" s="3" t="s">
        <v>1881</v>
      </c>
      <c r="D345" s="27"/>
      <c r="E345" s="3" t="s">
        <v>1329</v>
      </c>
      <c r="F345" s="133" t="s">
        <v>1053</v>
      </c>
      <c r="G345" s="3" t="s">
        <v>880</v>
      </c>
      <c r="H345" s="29">
        <v>73.12</v>
      </c>
      <c r="I345" s="30">
        <v>632.803</v>
      </c>
      <c r="J345" s="30">
        <v>630.21900000000005</v>
      </c>
      <c r="K345" s="31">
        <v>1</v>
      </c>
      <c r="L345" s="31">
        <v>1</v>
      </c>
      <c r="M345" s="4">
        <v>0</v>
      </c>
      <c r="N345" s="4">
        <v>0</v>
      </c>
      <c r="O345" s="4">
        <v>1</v>
      </c>
      <c r="P345" s="4">
        <v>1</v>
      </c>
      <c r="Q345" s="32">
        <v>632.803</v>
      </c>
      <c r="R345" s="32">
        <v>630.21900000000005</v>
      </c>
      <c r="S345" s="32">
        <v>46270.555360000006</v>
      </c>
      <c r="T345" s="32">
        <v>46081.613280000005</v>
      </c>
      <c r="U345" s="33">
        <v>2.4468941792320361E-3</v>
      </c>
      <c r="V345" s="34">
        <v>2.445973717319317E-3</v>
      </c>
      <c r="W345" s="34">
        <v>-9.2046191271918584E-7</v>
      </c>
      <c r="X345" s="35">
        <v>-1.9842674050161533</v>
      </c>
      <c r="Y345" s="36">
        <v>-27137.13628304367</v>
      </c>
      <c r="Z345" s="37">
        <v>0</v>
      </c>
      <c r="AA345" s="38">
        <v>0</v>
      </c>
      <c r="AB345" s="38">
        <v>0</v>
      </c>
      <c r="AC345" s="39">
        <v>0</v>
      </c>
      <c r="AD345" s="40">
        <v>0</v>
      </c>
      <c r="AE345" s="37">
        <v>4.952015960226039E-3</v>
      </c>
      <c r="AF345" s="38">
        <v>4.9536502031538518E-3</v>
      </c>
      <c r="AG345" s="38">
        <v>1.6342429278127721E-6</v>
      </c>
      <c r="AH345" s="39">
        <v>2.2905013373461867E-2</v>
      </c>
      <c r="AI345" s="40">
        <v>313.25237108126186</v>
      </c>
      <c r="AJ345" s="39">
        <v>-1.9613623916426914</v>
      </c>
      <c r="AK345" s="28">
        <v>-26823.88391196241</v>
      </c>
      <c r="AL345" s="41">
        <f t="shared" si="5"/>
        <v>-6.2941870399287865</v>
      </c>
      <c r="AM345" s="28">
        <v>3707560.5</v>
      </c>
      <c r="AN345" s="42">
        <v>-7.2349146863449456E-3</v>
      </c>
      <c r="AP345" s="30"/>
      <c r="AR345" s="30"/>
    </row>
    <row r="346" spans="1:44" x14ac:dyDescent="0.2">
      <c r="A346" s="3" t="s">
        <v>713</v>
      </c>
      <c r="B346" s="3" t="s">
        <v>1385</v>
      </c>
      <c r="C346" s="3" t="s">
        <v>1882</v>
      </c>
      <c r="D346" s="27"/>
      <c r="E346" s="3" t="s">
        <v>586</v>
      </c>
      <c r="F346" s="133" t="s">
        <v>1068</v>
      </c>
      <c r="G346" s="3" t="s">
        <v>880</v>
      </c>
      <c r="H346" s="29">
        <v>49.82</v>
      </c>
      <c r="I346" s="30">
        <v>233.41</v>
      </c>
      <c r="J346" s="30">
        <v>232.41900000000001</v>
      </c>
      <c r="K346" s="31">
        <v>1</v>
      </c>
      <c r="L346" s="31">
        <v>1</v>
      </c>
      <c r="M346" s="4">
        <v>1</v>
      </c>
      <c r="N346" s="4">
        <v>1</v>
      </c>
      <c r="O346" s="4">
        <v>0</v>
      </c>
      <c r="P346" s="4">
        <v>0</v>
      </c>
      <c r="Q346" s="32">
        <v>233.41</v>
      </c>
      <c r="R346" s="32">
        <v>232.41900000000001</v>
      </c>
      <c r="S346" s="32">
        <v>11628.486199999999</v>
      </c>
      <c r="T346" s="32">
        <v>11579.114580000001</v>
      </c>
      <c r="U346" s="33">
        <v>6.1494129419197995E-4</v>
      </c>
      <c r="V346" s="34">
        <v>6.1460977419384522E-4</v>
      </c>
      <c r="W346" s="34">
        <v>-3.3151999813472825E-7</v>
      </c>
      <c r="X346" s="35">
        <v>-0.71466762211425261</v>
      </c>
      <c r="Y346" s="36">
        <v>-14344.994422204989</v>
      </c>
      <c r="Z346" s="37">
        <v>1.2155892486122742E-3</v>
      </c>
      <c r="AA346" s="38">
        <v>1.2140967345644171E-3</v>
      </c>
      <c r="AB346" s="38">
        <v>-1.4925140478570884E-6</v>
      </c>
      <c r="AC346" s="39">
        <v>-2.8555170307117579E-2</v>
      </c>
      <c r="AD346" s="40">
        <v>-573.16680664627813</v>
      </c>
      <c r="AE346" s="37">
        <v>0</v>
      </c>
      <c r="AF346" s="38">
        <v>0</v>
      </c>
      <c r="AG346" s="38">
        <v>0</v>
      </c>
      <c r="AH346" s="39">
        <v>0</v>
      </c>
      <c r="AI346" s="40">
        <v>0</v>
      </c>
      <c r="AJ346" s="39">
        <v>-0.74322279242137024</v>
      </c>
      <c r="AK346" s="28">
        <v>-14918.161228851268</v>
      </c>
      <c r="AL346" s="41">
        <f t="shared" si="5"/>
        <v>-3.3271778215046997</v>
      </c>
      <c r="AM346" s="28">
        <v>1873035.75</v>
      </c>
      <c r="AN346" s="42">
        <v>-7.9646964714107926E-3</v>
      </c>
      <c r="AP346" s="30"/>
      <c r="AR346" s="30"/>
    </row>
    <row r="347" spans="1:44" x14ac:dyDescent="0.2">
      <c r="A347" s="3" t="s">
        <v>1208</v>
      </c>
      <c r="B347" s="3" t="s">
        <v>444</v>
      </c>
      <c r="C347" s="3" t="s">
        <v>1883</v>
      </c>
      <c r="D347" s="27"/>
      <c r="E347" s="3" t="s">
        <v>18</v>
      </c>
      <c r="F347" s="133" t="s">
        <v>1072</v>
      </c>
      <c r="G347" s="3" t="s">
        <v>880</v>
      </c>
      <c r="H347" s="29">
        <v>22.89</v>
      </c>
      <c r="I347" s="30">
        <v>402.40499999999997</v>
      </c>
      <c r="J347" s="30">
        <v>400.70800000000003</v>
      </c>
      <c r="K347" s="31">
        <v>1</v>
      </c>
      <c r="L347" s="31">
        <v>1</v>
      </c>
      <c r="M347" s="4">
        <v>0.64</v>
      </c>
      <c r="N347" s="4">
        <v>0.64</v>
      </c>
      <c r="O347" s="4">
        <v>0.36</v>
      </c>
      <c r="P347" s="4">
        <v>0.36</v>
      </c>
      <c r="Q347" s="32">
        <v>402.40499999999997</v>
      </c>
      <c r="R347" s="32">
        <v>400.70800000000003</v>
      </c>
      <c r="S347" s="32">
        <v>9211.0504499999988</v>
      </c>
      <c r="T347" s="32">
        <v>9172.2061200000007</v>
      </c>
      <c r="U347" s="33">
        <v>4.8710169038086991E-4</v>
      </c>
      <c r="V347" s="34">
        <v>4.868530744146592E-4</v>
      </c>
      <c r="W347" s="34">
        <v>-2.4861596621071061E-7</v>
      </c>
      <c r="X347" s="35">
        <v>-0.53594890923967264</v>
      </c>
      <c r="Y347" s="36">
        <v>-23414.107000422573</v>
      </c>
      <c r="Z347" s="37">
        <v>6.1624414131264654E-4</v>
      </c>
      <c r="AA347" s="38">
        <v>6.1550518998215221E-4</v>
      </c>
      <c r="AB347" s="38">
        <v>-7.3895133049432619E-7</v>
      </c>
      <c r="AC347" s="39">
        <v>-1.4137810710212537E-2</v>
      </c>
      <c r="AD347" s="40">
        <v>-617.64135911806625</v>
      </c>
      <c r="AE347" s="37">
        <v>3.5488609665965766E-4</v>
      </c>
      <c r="AF347" s="38">
        <v>3.54955547152982E-4</v>
      </c>
      <c r="AG347" s="38">
        <v>6.9450493324341427E-8</v>
      </c>
      <c r="AH347" s="39">
        <v>9.7339535714962655E-4</v>
      </c>
      <c r="AI347" s="40">
        <v>42.524917306667831</v>
      </c>
      <c r="AJ347" s="39">
        <v>-0.54911332459273565</v>
      </c>
      <c r="AK347" s="28">
        <v>-23989.223442233968</v>
      </c>
      <c r="AL347" s="41">
        <f t="shared" si="5"/>
        <v>-5.4306676760749362</v>
      </c>
      <c r="AM347" s="28">
        <v>3008109.5</v>
      </c>
      <c r="AN347" s="42">
        <v>-7.974850464131697E-3</v>
      </c>
      <c r="AP347" s="30"/>
      <c r="AR347" s="30"/>
    </row>
    <row r="348" spans="1:44" x14ac:dyDescent="0.2">
      <c r="A348" s="3" t="s">
        <v>1453</v>
      </c>
      <c r="B348" s="3" t="s">
        <v>1440</v>
      </c>
      <c r="C348" s="3" t="s">
        <v>1884</v>
      </c>
      <c r="D348" s="27"/>
      <c r="E348" s="3" t="s">
        <v>1474</v>
      </c>
      <c r="F348" s="133" t="s">
        <v>1052</v>
      </c>
      <c r="G348" s="3" t="s">
        <v>880</v>
      </c>
      <c r="H348" s="29">
        <v>48.59</v>
      </c>
      <c r="I348" s="30">
        <v>252.61</v>
      </c>
      <c r="J348" s="30">
        <v>251.495</v>
      </c>
      <c r="K348" s="31">
        <v>1</v>
      </c>
      <c r="L348" s="31">
        <v>1</v>
      </c>
      <c r="M348" s="4">
        <v>0</v>
      </c>
      <c r="N348" s="4">
        <v>0</v>
      </c>
      <c r="O348" s="4">
        <v>1</v>
      </c>
      <c r="P348" s="4">
        <v>1</v>
      </c>
      <c r="Q348" s="32">
        <v>252.61</v>
      </c>
      <c r="R348" s="32">
        <v>251.495</v>
      </c>
      <c r="S348" s="32">
        <v>12274.319900000002</v>
      </c>
      <c r="T348" s="32">
        <v>12220.14205</v>
      </c>
      <c r="U348" s="33">
        <v>6.490944766853982E-4</v>
      </c>
      <c r="V348" s="34">
        <v>6.4863497930488679E-4</v>
      </c>
      <c r="W348" s="34">
        <v>-4.594973805114146E-7</v>
      </c>
      <c r="X348" s="35">
        <v>-0.99055231100829455</v>
      </c>
      <c r="Y348" s="36">
        <v>-20385.929430094558</v>
      </c>
      <c r="Z348" s="37">
        <v>0</v>
      </c>
      <c r="AA348" s="38">
        <v>0</v>
      </c>
      <c r="AB348" s="38">
        <v>0</v>
      </c>
      <c r="AC348" s="39">
        <v>0</v>
      </c>
      <c r="AD348" s="40">
        <v>0</v>
      </c>
      <c r="AE348" s="37">
        <v>1.3136351524811283E-3</v>
      </c>
      <c r="AF348" s="38">
        <v>1.3136325931285065E-3</v>
      </c>
      <c r="AG348" s="38">
        <v>-2.559352621760852E-9</v>
      </c>
      <c r="AH348" s="39">
        <v>-3.5871047707267833E-5</v>
      </c>
      <c r="AI348" s="40">
        <v>-0.73823930247515601</v>
      </c>
      <c r="AJ348" s="39">
        <v>-0.99058818205600185</v>
      </c>
      <c r="AK348" s="28">
        <v>-20386.667669397033</v>
      </c>
      <c r="AL348" s="41">
        <f t="shared" si="5"/>
        <v>-4.7283122094197836</v>
      </c>
      <c r="AM348" s="28">
        <v>2112070</v>
      </c>
      <c r="AN348" s="42">
        <v>-9.6524583320614522E-3</v>
      </c>
      <c r="AP348" s="30"/>
      <c r="AR348" s="30"/>
    </row>
    <row r="349" spans="1:44" x14ac:dyDescent="0.2">
      <c r="A349" s="3" t="s">
        <v>1552</v>
      </c>
      <c r="B349" s="3" t="s">
        <v>1516</v>
      </c>
      <c r="C349" s="3" t="s">
        <v>1885</v>
      </c>
      <c r="D349" s="27"/>
      <c r="E349" s="3" t="s">
        <v>2110</v>
      </c>
      <c r="F349" s="133" t="s">
        <v>1063</v>
      </c>
      <c r="G349" s="3" t="s">
        <v>880</v>
      </c>
      <c r="H349" s="29">
        <v>66.44</v>
      </c>
      <c r="I349" s="30">
        <v>136.09399999999999</v>
      </c>
      <c r="J349" s="30">
        <v>135.309</v>
      </c>
      <c r="K349" s="31">
        <v>1</v>
      </c>
      <c r="L349" s="31">
        <v>1</v>
      </c>
      <c r="M349" s="4">
        <v>0.65</v>
      </c>
      <c r="N349" s="4">
        <v>0.65</v>
      </c>
      <c r="O349" s="4">
        <v>0.35</v>
      </c>
      <c r="P349" s="4">
        <v>0.35</v>
      </c>
      <c r="Q349" s="32">
        <v>136.09399999999999</v>
      </c>
      <c r="R349" s="32">
        <v>135.309</v>
      </c>
      <c r="S349" s="32">
        <v>9042.0853599999991</v>
      </c>
      <c r="T349" s="32">
        <v>8989.9299599999995</v>
      </c>
      <c r="U349" s="33">
        <v>4.7816642491889909E-4</v>
      </c>
      <c r="V349" s="34">
        <v>4.7717800739942962E-4</v>
      </c>
      <c r="W349" s="34">
        <v>-9.8841751946946235E-7</v>
      </c>
      <c r="X349" s="35">
        <v>-2.1307613485453594</v>
      </c>
      <c r="Y349" s="36">
        <v>-32070.459791471392</v>
      </c>
      <c r="Z349" s="37">
        <v>6.1439210691265978E-4</v>
      </c>
      <c r="AA349" s="38">
        <v>6.126996107036738E-4</v>
      </c>
      <c r="AB349" s="38">
        <v>-1.6924962089859795E-6</v>
      </c>
      <c r="AC349" s="39">
        <v>-3.2381281476804677E-2</v>
      </c>
      <c r="AD349" s="40">
        <v>-487.37630157743348</v>
      </c>
      <c r="AE349" s="37">
        <v>3.3869904378334157E-4</v>
      </c>
      <c r="AF349" s="38">
        <v>3.3823770091849774E-4</v>
      </c>
      <c r="AG349" s="38">
        <v>-4.6134286484382416E-7</v>
      </c>
      <c r="AH349" s="39">
        <v>-6.4660304225037622E-3</v>
      </c>
      <c r="AI349" s="40">
        <v>-97.321348923897702</v>
      </c>
      <c r="AJ349" s="39">
        <v>-2.1696086604446676</v>
      </c>
      <c r="AK349" s="28">
        <v>-32655.157441972726</v>
      </c>
      <c r="AL349" s="41">
        <f t="shared" si="5"/>
        <v>-7.4384220309261169</v>
      </c>
      <c r="AM349" s="28">
        <v>2539223.75</v>
      </c>
      <c r="AN349" s="42">
        <v>-1.2860291434330167E-2</v>
      </c>
      <c r="AP349" s="30"/>
      <c r="AR349" s="30"/>
    </row>
    <row r="350" spans="1:44" x14ac:dyDescent="0.2">
      <c r="A350" s="3" t="s">
        <v>1090</v>
      </c>
      <c r="B350" s="3" t="s">
        <v>322</v>
      </c>
      <c r="C350" s="3" t="s">
        <v>1886</v>
      </c>
      <c r="D350" s="27"/>
      <c r="E350" s="3" t="s">
        <v>634</v>
      </c>
      <c r="F350" s="133" t="s">
        <v>1055</v>
      </c>
      <c r="G350" s="3" t="s">
        <v>880</v>
      </c>
      <c r="H350" s="29">
        <v>55.04</v>
      </c>
      <c r="I350" s="30">
        <v>175.59200000000001</v>
      </c>
      <c r="J350" s="30">
        <v>174.72499999999999</v>
      </c>
      <c r="K350" s="31">
        <v>1</v>
      </c>
      <c r="L350" s="31">
        <v>1</v>
      </c>
      <c r="M350" s="4">
        <v>1</v>
      </c>
      <c r="N350" s="4">
        <v>1</v>
      </c>
      <c r="O350" s="4">
        <v>0</v>
      </c>
      <c r="P350" s="4">
        <v>0</v>
      </c>
      <c r="Q350" s="32">
        <v>175.59200000000001</v>
      </c>
      <c r="R350" s="32">
        <v>174.72499999999999</v>
      </c>
      <c r="S350" s="32">
        <v>9664.5836799999997</v>
      </c>
      <c r="T350" s="32">
        <v>9616.8639999999996</v>
      </c>
      <c r="U350" s="33">
        <v>5.1108557844837003E-4</v>
      </c>
      <c r="V350" s="34">
        <v>5.1045514496436727E-4</v>
      </c>
      <c r="W350" s="34">
        <v>-6.3043348400276117E-7</v>
      </c>
      <c r="X350" s="35">
        <v>-1.3590444059135018</v>
      </c>
      <c r="Y350" s="36">
        <v>-24691.940514416819</v>
      </c>
      <c r="Z350" s="37">
        <v>1.0102917793136004E-3</v>
      </c>
      <c r="AA350" s="38">
        <v>1.0083502584314265E-3</v>
      </c>
      <c r="AB350" s="38">
        <v>-1.9415208821738604E-6</v>
      </c>
      <c r="AC350" s="39">
        <v>-3.7145686852930911E-2</v>
      </c>
      <c r="AD350" s="40">
        <v>-674.88529892679708</v>
      </c>
      <c r="AE350" s="37">
        <v>0</v>
      </c>
      <c r="AF350" s="38">
        <v>0</v>
      </c>
      <c r="AG350" s="38">
        <v>0</v>
      </c>
      <c r="AH350" s="39">
        <v>0</v>
      </c>
      <c r="AI350" s="40">
        <v>0</v>
      </c>
      <c r="AJ350" s="39">
        <v>-1.3961900927664328</v>
      </c>
      <c r="AK350" s="28">
        <v>-25366.825813343617</v>
      </c>
      <c r="AL350" s="41">
        <f t="shared" si="5"/>
        <v>-5.7270483648506652</v>
      </c>
      <c r="AM350" s="28">
        <v>1805533.125</v>
      </c>
      <c r="AN350" s="42">
        <v>-1.4049493449943554E-2</v>
      </c>
      <c r="AP350" s="30"/>
      <c r="AR350" s="30"/>
    </row>
    <row r="351" spans="1:44" x14ac:dyDescent="0.2">
      <c r="A351" s="3" t="s">
        <v>1222</v>
      </c>
      <c r="B351" s="3" t="s">
        <v>457</v>
      </c>
      <c r="C351" s="3" t="s">
        <v>1887</v>
      </c>
      <c r="D351" s="27"/>
      <c r="E351" s="3" t="s">
        <v>31</v>
      </c>
      <c r="F351" s="133" t="s">
        <v>1073</v>
      </c>
      <c r="G351" s="3" t="s">
        <v>880</v>
      </c>
      <c r="H351" s="29">
        <v>32.33</v>
      </c>
      <c r="I351" s="30">
        <v>953.78700000000003</v>
      </c>
      <c r="J351" s="30">
        <v>948.99199999999996</v>
      </c>
      <c r="K351" s="31">
        <v>1</v>
      </c>
      <c r="L351" s="31">
        <v>1</v>
      </c>
      <c r="M351" s="4">
        <v>0.46</v>
      </c>
      <c r="N351" s="4">
        <v>0.46</v>
      </c>
      <c r="O351" s="4">
        <v>0.54</v>
      </c>
      <c r="P351" s="4">
        <v>0.54</v>
      </c>
      <c r="Q351" s="32">
        <v>953.78700000000003</v>
      </c>
      <c r="R351" s="32">
        <v>948.99199999999996</v>
      </c>
      <c r="S351" s="32">
        <v>30835.933710000001</v>
      </c>
      <c r="T351" s="32">
        <v>30680.911359999998</v>
      </c>
      <c r="U351" s="33">
        <v>1.6306756233881502E-3</v>
      </c>
      <c r="V351" s="34">
        <v>1.6285172646621291E-3</v>
      </c>
      <c r="W351" s="34">
        <v>-2.1583587260210445E-6</v>
      </c>
      <c r="X351" s="35">
        <v>-4.6528387640981421</v>
      </c>
      <c r="Y351" s="36">
        <v>-143917.06662846092</v>
      </c>
      <c r="Z351" s="37">
        <v>1.482786432239695E-3</v>
      </c>
      <c r="AA351" s="38">
        <v>1.4798034217217938E-3</v>
      </c>
      <c r="AB351" s="38">
        <v>-2.9830105179012422E-6</v>
      </c>
      <c r="AC351" s="39">
        <v>-5.7071739786230272E-2</v>
      </c>
      <c r="AD351" s="40">
        <v>-1765.2873425991424</v>
      </c>
      <c r="AE351" s="37">
        <v>1.7820840647764327E-3</v>
      </c>
      <c r="AF351" s="38">
        <v>1.7809826016438684E-3</v>
      </c>
      <c r="AG351" s="38">
        <v>-1.1014631325642968E-6</v>
      </c>
      <c r="AH351" s="39">
        <v>-1.5437746342599316E-2</v>
      </c>
      <c r="AI351" s="40">
        <v>-477.50529980202032</v>
      </c>
      <c r="AJ351" s="39">
        <v>-4.7253482502269719</v>
      </c>
      <c r="AK351" s="28">
        <v>-146159.8592708621</v>
      </c>
      <c r="AL351" s="41">
        <f t="shared" si="5"/>
        <v>-33.380122579972856</v>
      </c>
      <c r="AM351" s="28">
        <v>10429872</v>
      </c>
      <c r="AN351" s="42">
        <v>-1.4013581304819667E-2</v>
      </c>
      <c r="AP351" s="30"/>
      <c r="AR351" s="30"/>
    </row>
    <row r="352" spans="1:44" x14ac:dyDescent="0.2">
      <c r="A352" s="3" t="s">
        <v>188</v>
      </c>
      <c r="B352" s="3" t="s">
        <v>190</v>
      </c>
      <c r="C352" s="3" t="s">
        <v>1888</v>
      </c>
      <c r="D352" s="27"/>
      <c r="E352" s="3" t="s">
        <v>193</v>
      </c>
      <c r="F352" s="133" t="s">
        <v>1056</v>
      </c>
      <c r="G352" s="3" t="s">
        <v>878</v>
      </c>
      <c r="H352" s="29">
        <v>37.590000000000003</v>
      </c>
      <c r="I352" s="30">
        <v>102.245</v>
      </c>
      <c r="J352" s="30">
        <v>102.36</v>
      </c>
      <c r="K352" s="31">
        <v>0.75</v>
      </c>
      <c r="L352" s="31">
        <v>0.74</v>
      </c>
      <c r="M352" s="4">
        <v>0</v>
      </c>
      <c r="N352" s="4">
        <v>0</v>
      </c>
      <c r="O352" s="4">
        <v>1</v>
      </c>
      <c r="P352" s="4">
        <v>1</v>
      </c>
      <c r="Q352" s="32">
        <v>76.683750000000003</v>
      </c>
      <c r="R352" s="32">
        <v>75.746399999999994</v>
      </c>
      <c r="S352" s="32">
        <v>2882.5421625000004</v>
      </c>
      <c r="T352" s="32">
        <v>2847.3071760000003</v>
      </c>
      <c r="U352" s="33">
        <v>1.5243550858500384E-4</v>
      </c>
      <c r="V352" s="34">
        <v>1.5113269744515087E-4</v>
      </c>
      <c r="W352" s="34">
        <v>-1.3028111398529667E-6</v>
      </c>
      <c r="X352" s="35">
        <v>-2.8085091234957509</v>
      </c>
      <c r="Y352" s="36">
        <v>-74714.26239680103</v>
      </c>
      <c r="Z352" s="37">
        <v>0</v>
      </c>
      <c r="AA352" s="38">
        <v>0</v>
      </c>
      <c r="AB352" s="38">
        <v>0</v>
      </c>
      <c r="AC352" s="39">
        <v>0</v>
      </c>
      <c r="AD352" s="40">
        <v>0</v>
      </c>
      <c r="AE352" s="37">
        <v>3.0849845400957558E-4</v>
      </c>
      <c r="AF352" s="38">
        <v>3.0607790758392086E-4</v>
      </c>
      <c r="AG352" s="38">
        <v>-2.4205464256547176E-6</v>
      </c>
      <c r="AH352" s="39">
        <v>-3.3925585546152319E-2</v>
      </c>
      <c r="AI352" s="40">
        <v>-902.51624224932993</v>
      </c>
      <c r="AJ352" s="39">
        <v>-2.8424347090419033</v>
      </c>
      <c r="AK352" s="28">
        <v>-75616.778639050361</v>
      </c>
      <c r="AL352" s="41">
        <f t="shared" si="5"/>
        <v>-17.329225057900594</v>
      </c>
      <c r="AM352" s="28">
        <v>4543092</v>
      </c>
      <c r="AN352" s="42">
        <v>-1.664434236397818E-2</v>
      </c>
      <c r="AP352" s="30"/>
      <c r="AR352" s="30"/>
    </row>
    <row r="353" spans="1:44" x14ac:dyDescent="0.2">
      <c r="A353" s="3" t="s">
        <v>293</v>
      </c>
      <c r="B353" s="3" t="s">
        <v>571</v>
      </c>
      <c r="C353" s="3" t="s">
        <v>1889</v>
      </c>
      <c r="D353" s="27"/>
      <c r="E353" s="3" t="s">
        <v>135</v>
      </c>
      <c r="F353" s="133" t="s">
        <v>1067</v>
      </c>
      <c r="G353" s="3" t="s">
        <v>880</v>
      </c>
      <c r="H353" s="29">
        <v>64.37</v>
      </c>
      <c r="I353" s="30">
        <v>444.262</v>
      </c>
      <c r="J353" s="30">
        <v>442.28899999999999</v>
      </c>
      <c r="K353" s="31">
        <v>0.93</v>
      </c>
      <c r="L353" s="31">
        <v>0.93</v>
      </c>
      <c r="M353" s="4">
        <v>0.53</v>
      </c>
      <c r="N353" s="4">
        <v>0.53</v>
      </c>
      <c r="O353" s="4">
        <v>0.47</v>
      </c>
      <c r="P353" s="4">
        <v>0.47</v>
      </c>
      <c r="Q353" s="32">
        <v>413.16366000000005</v>
      </c>
      <c r="R353" s="32">
        <v>411.32877000000002</v>
      </c>
      <c r="S353" s="32">
        <v>26595.344794200006</v>
      </c>
      <c r="T353" s="32">
        <v>26477.232924900003</v>
      </c>
      <c r="U353" s="33">
        <v>1.4064234558086579E-3</v>
      </c>
      <c r="V353" s="34">
        <v>1.4053895085690252E-3</v>
      </c>
      <c r="W353" s="34">
        <v>-1.0339472396327619E-6</v>
      </c>
      <c r="X353" s="35">
        <v>-2.2289111344638819</v>
      </c>
      <c r="Y353" s="36">
        <v>-34626.551723844677</v>
      </c>
      <c r="Z353" s="37">
        <v>1.4734831136775097E-3</v>
      </c>
      <c r="AA353" s="38">
        <v>1.4713852739372374E-3</v>
      </c>
      <c r="AB353" s="38">
        <v>-2.0978397402722764E-6</v>
      </c>
      <c r="AC353" s="39">
        <v>-4.0136420254484682E-2</v>
      </c>
      <c r="AD353" s="40">
        <v>-623.52680215138548</v>
      </c>
      <c r="AE353" s="37">
        <v>1.3377680104775527E-3</v>
      </c>
      <c r="AF353" s="38">
        <v>1.3377289168763644E-3</v>
      </c>
      <c r="AG353" s="38">
        <v>-3.9093601188287114E-8</v>
      </c>
      <c r="AH353" s="39">
        <v>-5.4792310420638253E-4</v>
      </c>
      <c r="AI353" s="40">
        <v>-8.5120879945064871</v>
      </c>
      <c r="AJ353" s="39">
        <v>-2.2695954778225729</v>
      </c>
      <c r="AK353" s="28">
        <v>-35258.590613990571</v>
      </c>
      <c r="AL353" s="41">
        <f t="shared" si="5"/>
        <v>-8.0312819607951056</v>
      </c>
      <c r="AM353" s="28">
        <v>1814728.75</v>
      </c>
      <c r="AN353" s="42">
        <v>-1.9429124387868198E-2</v>
      </c>
      <c r="AP353" s="30"/>
      <c r="AR353" s="30"/>
    </row>
    <row r="354" spans="1:44" x14ac:dyDescent="0.2">
      <c r="A354" s="3" t="s">
        <v>1225</v>
      </c>
      <c r="B354" s="3" t="s">
        <v>460</v>
      </c>
      <c r="C354" s="3" t="s">
        <v>1890</v>
      </c>
      <c r="D354" s="27"/>
      <c r="E354" s="3" t="s">
        <v>34</v>
      </c>
      <c r="F354" s="133" t="s">
        <v>1070</v>
      </c>
      <c r="G354" s="3" t="s">
        <v>880</v>
      </c>
      <c r="H354" s="29">
        <v>52.26</v>
      </c>
      <c r="I354" s="30">
        <v>134.32599999999999</v>
      </c>
      <c r="J354" s="30">
        <v>133.672</v>
      </c>
      <c r="K354" s="31">
        <v>1</v>
      </c>
      <c r="L354" s="31">
        <v>1</v>
      </c>
      <c r="M354" s="4">
        <v>0.62</v>
      </c>
      <c r="N354" s="4">
        <v>0.62</v>
      </c>
      <c r="O354" s="4">
        <v>0.38</v>
      </c>
      <c r="P354" s="4">
        <v>0.38</v>
      </c>
      <c r="Q354" s="32">
        <v>134.32599999999999</v>
      </c>
      <c r="R354" s="32">
        <v>133.672</v>
      </c>
      <c r="S354" s="32">
        <v>7019.8767599999992</v>
      </c>
      <c r="T354" s="32">
        <v>6985.6987199999994</v>
      </c>
      <c r="U354" s="33">
        <v>3.712273485660242E-4</v>
      </c>
      <c r="V354" s="34">
        <v>3.7079507964290592E-4</v>
      </c>
      <c r="W354" s="34">
        <v>-4.3226892311828318E-7</v>
      </c>
      <c r="X354" s="35">
        <v>-0.93185510719412135</v>
      </c>
      <c r="Y354" s="36">
        <v>-17831.13484872027</v>
      </c>
      <c r="Z354" s="37">
        <v>4.5497218407880829E-4</v>
      </c>
      <c r="AA354" s="38">
        <v>4.5412925543860999E-4</v>
      </c>
      <c r="AB354" s="38">
        <v>-8.4292864019829775E-7</v>
      </c>
      <c r="AC354" s="39">
        <v>-1.6127131876693856E-2</v>
      </c>
      <c r="AD354" s="40">
        <v>-308.59418057202174</v>
      </c>
      <c r="AE354" s="37">
        <v>2.8548967618548899E-4</v>
      </c>
      <c r="AF354" s="38">
        <v>2.8535869427637905E-4</v>
      </c>
      <c r="AG354" s="38">
        <v>-1.3098190910994277E-7</v>
      </c>
      <c r="AH354" s="39">
        <v>-1.8357995184107164E-3</v>
      </c>
      <c r="AI354" s="40">
        <v>-35.128195912949032</v>
      </c>
      <c r="AJ354" s="39">
        <v>-0.94981803858922598</v>
      </c>
      <c r="AK354" s="28">
        <v>-18174.85722520524</v>
      </c>
      <c r="AL354" s="41">
        <f t="shared" si="5"/>
        <v>-4.1357531871247915</v>
      </c>
      <c r="AM354" s="28">
        <v>904552.25</v>
      </c>
      <c r="AN354" s="42">
        <v>-2.0092656035298393E-2</v>
      </c>
      <c r="AP354" s="30"/>
      <c r="AR354" s="30"/>
    </row>
    <row r="355" spans="1:44" x14ac:dyDescent="0.2">
      <c r="A355" s="3" t="s">
        <v>1283</v>
      </c>
      <c r="B355" s="3" t="s">
        <v>1281</v>
      </c>
      <c r="C355" s="3" t="s">
        <v>1891</v>
      </c>
      <c r="D355" s="27"/>
      <c r="E355" s="3" t="s">
        <v>133</v>
      </c>
      <c r="F355" s="133" t="s">
        <v>1073</v>
      </c>
      <c r="G355" s="3" t="s">
        <v>880</v>
      </c>
      <c r="H355" s="29">
        <v>30.69</v>
      </c>
      <c r="I355" s="30">
        <v>321.02699999999999</v>
      </c>
      <c r="J355" s="30">
        <v>318.80500000000001</v>
      </c>
      <c r="K355" s="31">
        <v>1</v>
      </c>
      <c r="L355" s="31">
        <v>1</v>
      </c>
      <c r="M355" s="4">
        <v>0</v>
      </c>
      <c r="N355" s="4">
        <v>0</v>
      </c>
      <c r="O355" s="4">
        <v>1</v>
      </c>
      <c r="P355" s="4">
        <v>1</v>
      </c>
      <c r="Q355" s="32">
        <v>321.02699999999999</v>
      </c>
      <c r="R355" s="32">
        <v>318.80500000000001</v>
      </c>
      <c r="S355" s="32">
        <v>9852.3186299999998</v>
      </c>
      <c r="T355" s="32">
        <v>9784.1254500000014</v>
      </c>
      <c r="U355" s="33">
        <v>5.2101343759809033E-4</v>
      </c>
      <c r="V355" s="34">
        <v>5.1933324365711171E-4</v>
      </c>
      <c r="W355" s="34">
        <v>-1.680193940978617E-6</v>
      </c>
      <c r="X355" s="35">
        <v>-3.6220445681891302</v>
      </c>
      <c r="Y355" s="36">
        <v>-118020.35086963604</v>
      </c>
      <c r="Z355" s="37">
        <v>0</v>
      </c>
      <c r="AA355" s="38">
        <v>0</v>
      </c>
      <c r="AB355" s="38">
        <v>0</v>
      </c>
      <c r="AC355" s="39">
        <v>0</v>
      </c>
      <c r="AD355" s="40">
        <v>0</v>
      </c>
      <c r="AE355" s="37">
        <v>1.0544251894406555E-3</v>
      </c>
      <c r="AF355" s="38">
        <v>1.0517673226538408E-3</v>
      </c>
      <c r="AG355" s="38">
        <v>-2.6578667868147263E-6</v>
      </c>
      <c r="AH355" s="39">
        <v>-3.7251789963900647E-2</v>
      </c>
      <c r="AI355" s="40">
        <v>-1213.808731309894</v>
      </c>
      <c r="AJ355" s="39">
        <v>-3.6592963581530307</v>
      </c>
      <c r="AK355" s="28">
        <v>-119234.15960094593</v>
      </c>
      <c r="AL355" s="41">
        <f t="shared" si="5"/>
        <v>-27.373638660453192</v>
      </c>
      <c r="AM355" s="28">
        <v>5025422</v>
      </c>
      <c r="AN355" s="42">
        <v>-2.3726198436856832E-2</v>
      </c>
      <c r="AP355" s="30"/>
      <c r="AR355" s="30"/>
    </row>
    <row r="356" spans="1:44" x14ac:dyDescent="0.2">
      <c r="A356" s="3" t="s">
        <v>1333</v>
      </c>
      <c r="B356" s="3" t="s">
        <v>1338</v>
      </c>
      <c r="C356" s="3" t="s">
        <v>1892</v>
      </c>
      <c r="D356" s="27"/>
      <c r="E356" s="3" t="s">
        <v>1344</v>
      </c>
      <c r="F356" s="133" t="s">
        <v>1063</v>
      </c>
      <c r="G356" s="3" t="s">
        <v>880</v>
      </c>
      <c r="H356" s="29">
        <v>77.489999999999995</v>
      </c>
      <c r="I356" s="30">
        <v>283.77800000000002</v>
      </c>
      <c r="J356" s="30">
        <v>281.74400000000003</v>
      </c>
      <c r="K356" s="31">
        <v>1</v>
      </c>
      <c r="L356" s="31">
        <v>1</v>
      </c>
      <c r="M356" s="4">
        <v>0.53</v>
      </c>
      <c r="N356" s="4">
        <v>0.53</v>
      </c>
      <c r="O356" s="4">
        <v>0.47</v>
      </c>
      <c r="P356" s="4">
        <v>0.47</v>
      </c>
      <c r="Q356" s="32">
        <v>283.77800000000002</v>
      </c>
      <c r="R356" s="32">
        <v>281.74400000000003</v>
      </c>
      <c r="S356" s="32">
        <v>21989.95722</v>
      </c>
      <c r="T356" s="32">
        <v>21832.342560000001</v>
      </c>
      <c r="U356" s="33">
        <v>1.1628798899114721E-3</v>
      </c>
      <c r="V356" s="34">
        <v>1.1588425900976166E-3</v>
      </c>
      <c r="W356" s="34">
        <v>-4.0372998138555206E-6</v>
      </c>
      <c r="X356" s="35">
        <v>-8.7033285290917952</v>
      </c>
      <c r="Y356" s="36">
        <v>-112315.50560190728</v>
      </c>
      <c r="Z356" s="37">
        <v>1.2183271502923746E-3</v>
      </c>
      <c r="AA356" s="38">
        <v>1.2132607447860237E-3</v>
      </c>
      <c r="AB356" s="38">
        <v>-5.0664055063509052E-6</v>
      </c>
      <c r="AC356" s="39">
        <v>-9.6931799259433862E-2</v>
      </c>
      <c r="AD356" s="40">
        <v>-1250.8942993861642</v>
      </c>
      <c r="AE356" s="37">
        <v>1.1061131768858041E-3</v>
      </c>
      <c r="AF356" s="38">
        <v>1.1030516688999084E-3</v>
      </c>
      <c r="AG356" s="38">
        <v>-3.0615079858957017E-6</v>
      </c>
      <c r="AH356" s="39">
        <v>-4.2909092746543698E-2</v>
      </c>
      <c r="AI356" s="40">
        <v>-553.73716281512066</v>
      </c>
      <c r="AJ356" s="39">
        <v>-8.8431694210977732</v>
      </c>
      <c r="AK356" s="28">
        <v>-114120.13706410857</v>
      </c>
      <c r="AL356" s="41">
        <f t="shared" si="5"/>
        <v>-26.050456922541755</v>
      </c>
      <c r="AM356" s="28">
        <v>4496539.5</v>
      </c>
      <c r="AN356" s="42">
        <v>-2.5379547330588014E-2</v>
      </c>
      <c r="AP356" s="30"/>
      <c r="AR356" s="30"/>
    </row>
    <row r="357" spans="1:44" x14ac:dyDescent="0.2">
      <c r="A357" s="3" t="s">
        <v>712</v>
      </c>
      <c r="B357" s="3" t="s">
        <v>1388</v>
      </c>
      <c r="C357" s="3" t="s">
        <v>1893</v>
      </c>
      <c r="D357" s="27"/>
      <c r="E357" s="3" t="s">
        <v>583</v>
      </c>
      <c r="F357" s="133" t="s">
        <v>1055</v>
      </c>
      <c r="G357" s="3" t="s">
        <v>880</v>
      </c>
      <c r="H357" s="29">
        <v>198.81</v>
      </c>
      <c r="I357" s="30">
        <v>58.94</v>
      </c>
      <c r="J357" s="30">
        <v>58.529000000000003</v>
      </c>
      <c r="K357" s="31">
        <v>1</v>
      </c>
      <c r="L357" s="31">
        <v>1</v>
      </c>
      <c r="M357" s="4">
        <v>1</v>
      </c>
      <c r="N357" s="4">
        <v>1</v>
      </c>
      <c r="O357" s="4">
        <v>0</v>
      </c>
      <c r="P357" s="4">
        <v>0</v>
      </c>
      <c r="Q357" s="32">
        <v>58.94</v>
      </c>
      <c r="R357" s="32">
        <v>58.529000000000003</v>
      </c>
      <c r="S357" s="32">
        <v>11717.8614</v>
      </c>
      <c r="T357" s="32">
        <v>11636.15049</v>
      </c>
      <c r="U357" s="33">
        <v>6.1966766185595553E-4</v>
      </c>
      <c r="V357" s="34">
        <v>6.1763719287286827E-4</v>
      </c>
      <c r="W357" s="34">
        <v>-2.0304689830872615E-6</v>
      </c>
      <c r="X357" s="35">
        <v>-4.3771430021847211</v>
      </c>
      <c r="Y357" s="36">
        <v>-22016.71446197234</v>
      </c>
      <c r="Z357" s="37">
        <v>1.2249321269838865E-3</v>
      </c>
      <c r="AA357" s="38">
        <v>1.2200770806094865E-3</v>
      </c>
      <c r="AB357" s="38">
        <v>-4.8550463743999867E-6</v>
      </c>
      <c r="AC357" s="39">
        <v>-9.2888020899365181E-2</v>
      </c>
      <c r="AD357" s="40">
        <v>-467.22006387689345</v>
      </c>
      <c r="AE357" s="37">
        <v>0</v>
      </c>
      <c r="AF357" s="38">
        <v>0</v>
      </c>
      <c r="AG357" s="38">
        <v>0</v>
      </c>
      <c r="AH357" s="39">
        <v>0</v>
      </c>
      <c r="AI357" s="40">
        <v>0</v>
      </c>
      <c r="AJ357" s="39">
        <v>-4.4700310230840863</v>
      </c>
      <c r="AK357" s="28">
        <v>-22483.934525849232</v>
      </c>
      <c r="AL357" s="41">
        <f t="shared" si="5"/>
        <v>-5.1065564687069607</v>
      </c>
      <c r="AM357" s="28">
        <v>839137.6875</v>
      </c>
      <c r="AN357" s="42">
        <v>-2.6794094533919063E-2</v>
      </c>
      <c r="AP357" s="30"/>
      <c r="AR357" s="30"/>
    </row>
    <row r="358" spans="1:44" x14ac:dyDescent="0.2">
      <c r="A358" s="3" t="s">
        <v>210</v>
      </c>
      <c r="B358" s="3" t="s">
        <v>490</v>
      </c>
      <c r="C358" s="3" t="s">
        <v>1894</v>
      </c>
      <c r="D358" s="27"/>
      <c r="E358" s="3" t="s">
        <v>62</v>
      </c>
      <c r="F358" s="133" t="s">
        <v>1056</v>
      </c>
      <c r="G358" s="3" t="s">
        <v>878</v>
      </c>
      <c r="H358" s="29">
        <v>61.99</v>
      </c>
      <c r="I358" s="30">
        <v>534</v>
      </c>
      <c r="J358" s="30">
        <v>535</v>
      </c>
      <c r="K358" s="31">
        <v>0.95</v>
      </c>
      <c r="L358" s="31">
        <v>0.94</v>
      </c>
      <c r="M358" s="4">
        <v>1</v>
      </c>
      <c r="N358" s="4">
        <v>1</v>
      </c>
      <c r="O358" s="4">
        <v>0</v>
      </c>
      <c r="P358" s="4">
        <v>0</v>
      </c>
      <c r="Q358" s="32">
        <v>507.29999999999995</v>
      </c>
      <c r="R358" s="32">
        <v>502.9</v>
      </c>
      <c r="S358" s="32">
        <v>31447.526999999998</v>
      </c>
      <c r="T358" s="32">
        <v>31174.771000000001</v>
      </c>
      <c r="U358" s="33">
        <v>1.6630180936635787E-3</v>
      </c>
      <c r="V358" s="34">
        <v>1.6547309237227388E-3</v>
      </c>
      <c r="W358" s="34">
        <v>-8.2871699408398804E-6</v>
      </c>
      <c r="X358" s="35">
        <v>-17.864901269907229</v>
      </c>
      <c r="Y358" s="36">
        <v>-288190.05113578367</v>
      </c>
      <c r="Z358" s="37">
        <v>3.2873819566165202E-3</v>
      </c>
      <c r="AA358" s="38">
        <v>3.2687462767894545E-3</v>
      </c>
      <c r="AB358" s="38">
        <v>-1.8635679827065654E-5</v>
      </c>
      <c r="AC358" s="39">
        <v>-0.35654271530295795</v>
      </c>
      <c r="AD358" s="40">
        <v>-5751.6166366019997</v>
      </c>
      <c r="AE358" s="37">
        <v>0</v>
      </c>
      <c r="AF358" s="38">
        <v>0</v>
      </c>
      <c r="AG358" s="38">
        <v>0</v>
      </c>
      <c r="AH358" s="39">
        <v>0</v>
      </c>
      <c r="AI358" s="40">
        <v>0</v>
      </c>
      <c r="AJ358" s="39">
        <v>-18.221443985210186</v>
      </c>
      <c r="AK358" s="28">
        <v>-293941.66777238564</v>
      </c>
      <c r="AL358" s="41">
        <f t="shared" si="5"/>
        <v>-66.842796748184227</v>
      </c>
      <c r="AM358" s="28">
        <v>10412389</v>
      </c>
      <c r="AN358" s="42">
        <v>-2.822999292212245E-2</v>
      </c>
      <c r="AP358" s="30"/>
      <c r="AR358" s="30"/>
    </row>
    <row r="359" spans="1:44" x14ac:dyDescent="0.2">
      <c r="A359" s="3" t="s">
        <v>300</v>
      </c>
      <c r="B359" s="3" t="s">
        <v>578</v>
      </c>
      <c r="C359" s="3" t="s">
        <v>1895</v>
      </c>
      <c r="D359" s="27"/>
      <c r="E359" s="3" t="s">
        <v>2111</v>
      </c>
      <c r="F359" s="133" t="s">
        <v>1053</v>
      </c>
      <c r="G359" s="3" t="s">
        <v>880</v>
      </c>
      <c r="H359" s="29">
        <v>61.87</v>
      </c>
      <c r="I359" s="30">
        <v>234.23099999999999</v>
      </c>
      <c r="J359" s="30">
        <v>233.012</v>
      </c>
      <c r="K359" s="31">
        <v>1</v>
      </c>
      <c r="L359" s="31">
        <v>1</v>
      </c>
      <c r="M359" s="4">
        <v>0.54</v>
      </c>
      <c r="N359" s="4">
        <v>0.54</v>
      </c>
      <c r="O359" s="4">
        <v>0.46</v>
      </c>
      <c r="P359" s="4">
        <v>0.46</v>
      </c>
      <c r="Q359" s="32">
        <v>234.23099999999999</v>
      </c>
      <c r="R359" s="32">
        <v>233.012</v>
      </c>
      <c r="S359" s="32">
        <v>14491.871969999998</v>
      </c>
      <c r="T359" s="32">
        <v>14416.452439999999</v>
      </c>
      <c r="U359" s="33">
        <v>7.6636376835501399E-4</v>
      </c>
      <c r="V359" s="34">
        <v>7.6521330863492572E-4</v>
      </c>
      <c r="W359" s="34">
        <v>-1.1504597200882784E-6</v>
      </c>
      <c r="X359" s="35">
        <v>-2.4800805897675642</v>
      </c>
      <c r="Y359" s="36">
        <v>-40085.349761880789</v>
      </c>
      <c r="Z359" s="37">
        <v>8.180538950855608E-4</v>
      </c>
      <c r="AA359" s="38">
        <v>8.1626298484731817E-4</v>
      </c>
      <c r="AB359" s="38">
        <v>-1.7909102382426302E-6</v>
      </c>
      <c r="AC359" s="39">
        <v>-3.4264164502306627E-2</v>
      </c>
      <c r="AD359" s="40">
        <v>-553.80902702936203</v>
      </c>
      <c r="AE359" s="37">
        <v>7.1344359574024546E-4</v>
      </c>
      <c r="AF359" s="38">
        <v>7.1287584002647933E-4</v>
      </c>
      <c r="AG359" s="38">
        <v>-5.6775571376612485E-7</v>
      </c>
      <c r="AH359" s="39">
        <v>-7.9574780440245171E-3</v>
      </c>
      <c r="AI359" s="40">
        <v>-128.61609898213217</v>
      </c>
      <c r="AJ359" s="39">
        <v>-2.5223022323138955</v>
      </c>
      <c r="AK359" s="28">
        <v>-40767.774887892279</v>
      </c>
      <c r="AL359" s="41">
        <f t="shared" si="5"/>
        <v>-9.2973955074210313</v>
      </c>
      <c r="AM359" s="28">
        <v>1427275.375</v>
      </c>
      <c r="AN359" s="42">
        <v>-2.8563356169367303E-2</v>
      </c>
      <c r="AP359" s="30"/>
      <c r="AR359" s="30"/>
    </row>
    <row r="360" spans="1:44" x14ac:dyDescent="0.2">
      <c r="A360" s="3" t="s">
        <v>226</v>
      </c>
      <c r="B360" s="3" t="s">
        <v>506</v>
      </c>
      <c r="C360" s="3" t="s">
        <v>1896</v>
      </c>
      <c r="D360" s="27"/>
      <c r="E360" s="3" t="s">
        <v>1265</v>
      </c>
      <c r="F360" s="133" t="s">
        <v>1070</v>
      </c>
      <c r="G360" s="3" t="s">
        <v>880</v>
      </c>
      <c r="H360" s="29">
        <v>21.18</v>
      </c>
      <c r="I360" s="30">
        <v>346.03199999999998</v>
      </c>
      <c r="J360" s="30">
        <v>343.62</v>
      </c>
      <c r="K360" s="31">
        <v>0.91</v>
      </c>
      <c r="L360" s="31">
        <v>0.91</v>
      </c>
      <c r="M360" s="4">
        <v>0</v>
      </c>
      <c r="N360" s="4">
        <v>0</v>
      </c>
      <c r="O360" s="4">
        <v>1</v>
      </c>
      <c r="P360" s="4">
        <v>1</v>
      </c>
      <c r="Q360" s="32">
        <v>314.88911999999999</v>
      </c>
      <c r="R360" s="32">
        <v>312.69420000000002</v>
      </c>
      <c r="S360" s="32">
        <v>6669.3515615999995</v>
      </c>
      <c r="T360" s="32">
        <v>6622.8631560000003</v>
      </c>
      <c r="U360" s="33">
        <v>3.5269076388563851E-4</v>
      </c>
      <c r="V360" s="34">
        <v>3.5153606959349194E-4</v>
      </c>
      <c r="W360" s="34">
        <v>-1.1546942921465708E-6</v>
      </c>
      <c r="X360" s="35">
        <v>-2.4892091840019948</v>
      </c>
      <c r="Y360" s="36">
        <v>-117526.4015109535</v>
      </c>
      <c r="Z360" s="37">
        <v>0</v>
      </c>
      <c r="AA360" s="38">
        <v>0</v>
      </c>
      <c r="AB360" s="38">
        <v>0</v>
      </c>
      <c r="AC360" s="39">
        <v>0</v>
      </c>
      <c r="AD360" s="40">
        <v>0</v>
      </c>
      <c r="AE360" s="37">
        <v>7.1377434570306939E-4</v>
      </c>
      <c r="AF360" s="38">
        <v>7.1194007941597747E-4</v>
      </c>
      <c r="AG360" s="38">
        <v>-1.8342662870919147E-6</v>
      </c>
      <c r="AH360" s="39">
        <v>-2.5708475234193517E-2</v>
      </c>
      <c r="AI360" s="40">
        <v>-1213.8090289987495</v>
      </c>
      <c r="AJ360" s="39">
        <v>-2.5149176592361884</v>
      </c>
      <c r="AK360" s="28">
        <v>-118740.21053995224</v>
      </c>
      <c r="AL360" s="41">
        <f t="shared" si="5"/>
        <v>-27.259072052563052</v>
      </c>
      <c r="AM360" s="28">
        <v>4105867</v>
      </c>
      <c r="AN360" s="42">
        <v>-2.8919643656249033E-2</v>
      </c>
      <c r="AP360" s="30"/>
      <c r="AR360" s="30"/>
    </row>
    <row r="361" spans="1:44" x14ac:dyDescent="0.2">
      <c r="A361" s="3" t="s">
        <v>1274</v>
      </c>
      <c r="B361" s="3" t="s">
        <v>169</v>
      </c>
      <c r="C361" s="3" t="s">
        <v>1897</v>
      </c>
      <c r="D361" s="27"/>
      <c r="E361" s="3" t="s">
        <v>612</v>
      </c>
      <c r="F361" s="133" t="s">
        <v>1063</v>
      </c>
      <c r="G361" s="3" t="s">
        <v>880</v>
      </c>
      <c r="H361" s="29">
        <v>63.11</v>
      </c>
      <c r="I361" s="30">
        <v>401.80399999999997</v>
      </c>
      <c r="J361" s="30">
        <v>399.51</v>
      </c>
      <c r="K361" s="31">
        <v>1</v>
      </c>
      <c r="L361" s="31">
        <v>1</v>
      </c>
      <c r="M361" s="4">
        <v>1</v>
      </c>
      <c r="N361" s="4">
        <v>1</v>
      </c>
      <c r="O361" s="4">
        <v>0</v>
      </c>
      <c r="P361" s="4">
        <v>0</v>
      </c>
      <c r="Q361" s="32">
        <v>401.80399999999997</v>
      </c>
      <c r="R361" s="32">
        <v>399.51</v>
      </c>
      <c r="S361" s="32">
        <v>25357.850439999998</v>
      </c>
      <c r="T361" s="32">
        <v>25213.076099999998</v>
      </c>
      <c r="U361" s="33">
        <v>1.3409818870060892E-3</v>
      </c>
      <c r="V361" s="34">
        <v>1.3382891154146636E-3</v>
      </c>
      <c r="W361" s="34">
        <v>-2.6927715914256203E-6</v>
      </c>
      <c r="X361" s="35">
        <v>-5.804888637091743</v>
      </c>
      <c r="Y361" s="36">
        <v>-91980.488624492835</v>
      </c>
      <c r="Z361" s="37">
        <v>2.6507947666293851E-3</v>
      </c>
      <c r="AA361" s="38">
        <v>2.6436488860907487E-3</v>
      </c>
      <c r="AB361" s="38">
        <v>-7.1458805386364309E-6</v>
      </c>
      <c r="AC361" s="39">
        <v>-0.13671686110295078</v>
      </c>
      <c r="AD361" s="40">
        <v>-2166.3264316740738</v>
      </c>
      <c r="AE361" s="37">
        <v>0</v>
      </c>
      <c r="AF361" s="38">
        <v>0</v>
      </c>
      <c r="AG361" s="38">
        <v>0</v>
      </c>
      <c r="AH361" s="39">
        <v>0</v>
      </c>
      <c r="AI361" s="40">
        <v>0</v>
      </c>
      <c r="AJ361" s="39">
        <v>-5.9416054981946935</v>
      </c>
      <c r="AK361" s="28">
        <v>-94146.815056166903</v>
      </c>
      <c r="AL361" s="41">
        <f t="shared" si="5"/>
        <v>-21.333953346740774</v>
      </c>
      <c r="AM361" s="28">
        <v>3196337.75</v>
      </c>
      <c r="AN361" s="42">
        <v>-2.9454589101595069E-2</v>
      </c>
      <c r="AP361" s="30"/>
      <c r="AR361" s="30"/>
    </row>
    <row r="362" spans="1:44" x14ac:dyDescent="0.2">
      <c r="A362" s="3" t="s">
        <v>225</v>
      </c>
      <c r="B362" s="3" t="s">
        <v>505</v>
      </c>
      <c r="C362" s="3" t="s">
        <v>1898</v>
      </c>
      <c r="D362" s="27"/>
      <c r="E362" s="3" t="s">
        <v>75</v>
      </c>
      <c r="F362" s="133" t="s">
        <v>1068</v>
      </c>
      <c r="G362" s="3" t="s">
        <v>880</v>
      </c>
      <c r="H362" s="29">
        <v>123.74</v>
      </c>
      <c r="I362" s="30">
        <v>134.68100000000001</v>
      </c>
      <c r="J362" s="30">
        <v>133.90100000000001</v>
      </c>
      <c r="K362" s="31">
        <v>1</v>
      </c>
      <c r="L362" s="31">
        <v>1</v>
      </c>
      <c r="M362" s="4">
        <v>0</v>
      </c>
      <c r="N362" s="4">
        <v>0</v>
      </c>
      <c r="O362" s="4">
        <v>1</v>
      </c>
      <c r="P362" s="4">
        <v>1</v>
      </c>
      <c r="Q362" s="32">
        <v>134.68100000000001</v>
      </c>
      <c r="R362" s="32">
        <v>133.90100000000001</v>
      </c>
      <c r="S362" s="32">
        <v>16665.426940000001</v>
      </c>
      <c r="T362" s="32">
        <v>16568.909739999999</v>
      </c>
      <c r="U362" s="33">
        <v>8.8130639143257428E-4</v>
      </c>
      <c r="V362" s="34">
        <v>8.7946395241039245E-4</v>
      </c>
      <c r="W362" s="34">
        <v>-1.8424390221818358E-6</v>
      </c>
      <c r="X362" s="35">
        <v>-3.9718011651836682</v>
      </c>
      <c r="Y362" s="36">
        <v>-32097.956725259966</v>
      </c>
      <c r="Z362" s="37">
        <v>0</v>
      </c>
      <c r="AA362" s="38">
        <v>0</v>
      </c>
      <c r="AB362" s="38">
        <v>0</v>
      </c>
      <c r="AC362" s="39">
        <v>0</v>
      </c>
      <c r="AD362" s="40">
        <v>0</v>
      </c>
      <c r="AE362" s="37">
        <v>1.7835848208168339E-3</v>
      </c>
      <c r="AF362" s="38">
        <v>1.7811134909899323E-3</v>
      </c>
      <c r="AG362" s="38">
        <v>-2.4713298269016682E-6</v>
      </c>
      <c r="AH362" s="39">
        <v>-3.4637349057509884E-2</v>
      </c>
      <c r="AI362" s="40">
        <v>-279.92038999119029</v>
      </c>
      <c r="AJ362" s="39">
        <v>-4.0064385142411778</v>
      </c>
      <c r="AK362" s="28">
        <v>-32377.877115251158</v>
      </c>
      <c r="AL362" s="41">
        <f t="shared" si="5"/>
        <v>-7.4447996693948433</v>
      </c>
      <c r="AM362" s="28">
        <v>1112321.5</v>
      </c>
      <c r="AN362" s="42">
        <v>-2.910838018976632E-2</v>
      </c>
      <c r="AP362" s="30"/>
      <c r="AR362" s="30"/>
    </row>
    <row r="363" spans="1:44" x14ac:dyDescent="0.2">
      <c r="A363" s="3" t="s">
        <v>270</v>
      </c>
      <c r="B363" s="3" t="s">
        <v>549</v>
      </c>
      <c r="C363" s="3" t="s">
        <v>1899</v>
      </c>
      <c r="D363" s="27"/>
      <c r="E363" s="3" t="s">
        <v>112</v>
      </c>
      <c r="F363" s="133" t="s">
        <v>1063</v>
      </c>
      <c r="G363" s="3" t="s">
        <v>880</v>
      </c>
      <c r="H363" s="29">
        <v>72.98</v>
      </c>
      <c r="I363" s="30">
        <v>126.018</v>
      </c>
      <c r="J363" s="30">
        <v>124.892</v>
      </c>
      <c r="K363" s="31">
        <v>0.87</v>
      </c>
      <c r="L363" s="31">
        <v>0.87</v>
      </c>
      <c r="M363" s="4">
        <v>0</v>
      </c>
      <c r="N363" s="4">
        <v>0</v>
      </c>
      <c r="O363" s="4">
        <v>1</v>
      </c>
      <c r="P363" s="4">
        <v>1</v>
      </c>
      <c r="Q363" s="32">
        <v>109.63566</v>
      </c>
      <c r="R363" s="32">
        <v>108.65603999999999</v>
      </c>
      <c r="S363" s="32">
        <v>8001.2104668000002</v>
      </c>
      <c r="T363" s="32">
        <v>7929.7177991999997</v>
      </c>
      <c r="U363" s="33">
        <v>4.2312254879370352E-4</v>
      </c>
      <c r="V363" s="34">
        <v>4.2090282744116579E-4</v>
      </c>
      <c r="W363" s="34">
        <v>-2.2197213525377343E-6</v>
      </c>
      <c r="X363" s="35">
        <v>-4.7851200220195595</v>
      </c>
      <c r="Y363" s="36">
        <v>-65567.553055899683</v>
      </c>
      <c r="Z363" s="37">
        <v>0</v>
      </c>
      <c r="AA363" s="38">
        <v>0</v>
      </c>
      <c r="AB363" s="38">
        <v>0</v>
      </c>
      <c r="AC363" s="39">
        <v>0</v>
      </c>
      <c r="AD363" s="40">
        <v>0</v>
      </c>
      <c r="AE363" s="37">
        <v>8.5631394791889164E-4</v>
      </c>
      <c r="AF363" s="38">
        <v>8.5242345896792339E-4</v>
      </c>
      <c r="AG363" s="38">
        <v>-3.890488950968247E-6</v>
      </c>
      <c r="AH363" s="39">
        <v>-5.4527818315541432E-2</v>
      </c>
      <c r="AI363" s="40">
        <v>-747.16111695726818</v>
      </c>
      <c r="AJ363" s="39">
        <v>-4.8396478403351013</v>
      </c>
      <c r="AK363" s="28">
        <v>-66314.714172856955</v>
      </c>
      <c r="AL363" s="41">
        <f t="shared" si="5"/>
        <v>-15.207737411193026</v>
      </c>
      <c r="AM363" s="28">
        <v>2240891.75</v>
      </c>
      <c r="AN363" s="42">
        <v>-2.9593002059495714E-2</v>
      </c>
      <c r="AP363" s="30"/>
      <c r="AR363" s="30"/>
    </row>
    <row r="364" spans="1:44" x14ac:dyDescent="0.2">
      <c r="A364" s="3" t="s">
        <v>1127</v>
      </c>
      <c r="B364" s="3" t="s">
        <v>361</v>
      </c>
      <c r="C364" s="3" t="s">
        <v>1900</v>
      </c>
      <c r="D364" s="27"/>
      <c r="E364" s="3" t="s">
        <v>665</v>
      </c>
      <c r="F364" s="133" t="s">
        <v>1069</v>
      </c>
      <c r="G364" s="3" t="s">
        <v>880</v>
      </c>
      <c r="H364" s="29">
        <v>47.16</v>
      </c>
      <c r="I364" s="30">
        <v>175.13399999999999</v>
      </c>
      <c r="J364" s="30">
        <v>173.90299999999999</v>
      </c>
      <c r="K364" s="31">
        <v>1</v>
      </c>
      <c r="L364" s="31">
        <v>1</v>
      </c>
      <c r="M364" s="4">
        <v>0</v>
      </c>
      <c r="N364" s="4">
        <v>0</v>
      </c>
      <c r="O364" s="4">
        <v>1</v>
      </c>
      <c r="P364" s="4">
        <v>1</v>
      </c>
      <c r="Q364" s="32">
        <v>175.13399999999999</v>
      </c>
      <c r="R364" s="32">
        <v>173.90299999999999</v>
      </c>
      <c r="S364" s="32">
        <v>8259.3194399999993</v>
      </c>
      <c r="T364" s="32">
        <v>8201.2654799999982</v>
      </c>
      <c r="U364" s="33">
        <v>4.3677194935129031E-4</v>
      </c>
      <c r="V364" s="34">
        <v>4.3531635255366616E-4</v>
      </c>
      <c r="W364" s="34">
        <v>-1.4555967976241559E-6</v>
      </c>
      <c r="X364" s="35">
        <v>-3.137873757143351</v>
      </c>
      <c r="Y364" s="36">
        <v>-66536.763298205071</v>
      </c>
      <c r="Z364" s="37">
        <v>0</v>
      </c>
      <c r="AA364" s="38">
        <v>0</v>
      </c>
      <c r="AB364" s="38">
        <v>0</v>
      </c>
      <c r="AC364" s="39">
        <v>0</v>
      </c>
      <c r="AD364" s="40">
        <v>0</v>
      </c>
      <c r="AE364" s="37">
        <v>8.83937557465383E-4</v>
      </c>
      <c r="AF364" s="38">
        <v>8.8161410852238852E-4</v>
      </c>
      <c r="AG364" s="38">
        <v>-2.3234489429944721E-6</v>
      </c>
      <c r="AH364" s="39">
        <v>-3.2564699045735293E-2</v>
      </c>
      <c r="AI364" s="40">
        <v>-690.51524694095201</v>
      </c>
      <c r="AJ364" s="39">
        <v>-3.1704384561890864</v>
      </c>
      <c r="AK364" s="28">
        <v>-67227.278545146022</v>
      </c>
      <c r="AL364" s="41">
        <f t="shared" si="5"/>
        <v>-15.432536022308692</v>
      </c>
      <c r="AM364" s="28">
        <v>2094948.875</v>
      </c>
      <c r="AN364" s="42">
        <v>-3.2090176207830383E-2</v>
      </c>
      <c r="AP364" s="30"/>
      <c r="AR364" s="30"/>
    </row>
    <row r="365" spans="1:44" x14ac:dyDescent="0.2">
      <c r="A365" s="3" t="s">
        <v>1201</v>
      </c>
      <c r="B365" s="3" t="s">
        <v>436</v>
      </c>
      <c r="C365" s="3" t="s">
        <v>1901</v>
      </c>
      <c r="D365" s="27"/>
      <c r="E365" s="3" t="s">
        <v>12</v>
      </c>
      <c r="F365" s="133" t="s">
        <v>1060</v>
      </c>
      <c r="G365" s="3" t="s">
        <v>880</v>
      </c>
      <c r="H365" s="29">
        <v>18.010000000000002</v>
      </c>
      <c r="I365" s="30">
        <v>747.31500000000005</v>
      </c>
      <c r="J365" s="30">
        <v>742.48199999999997</v>
      </c>
      <c r="K365" s="31">
        <v>1</v>
      </c>
      <c r="L365" s="31">
        <v>1</v>
      </c>
      <c r="M365" s="4">
        <v>0.48</v>
      </c>
      <c r="N365" s="4">
        <v>0.48</v>
      </c>
      <c r="O365" s="4">
        <v>0.52</v>
      </c>
      <c r="P365" s="4">
        <v>0.52</v>
      </c>
      <c r="Q365" s="32">
        <v>747.31500000000005</v>
      </c>
      <c r="R365" s="32">
        <v>742.48199999999997</v>
      </c>
      <c r="S365" s="32">
        <v>13459.143150000002</v>
      </c>
      <c r="T365" s="32">
        <v>13372.100820000001</v>
      </c>
      <c r="U365" s="33">
        <v>7.1175067545559991E-4</v>
      </c>
      <c r="V365" s="34">
        <v>7.0977999299472628E-4</v>
      </c>
      <c r="W365" s="34">
        <v>-1.9706824608736306E-6</v>
      </c>
      <c r="X365" s="35">
        <v>-4.2482593996711495</v>
      </c>
      <c r="Y365" s="36">
        <v>-235883.36477907546</v>
      </c>
      <c r="Z365" s="37">
        <v>6.7533975833959366E-4</v>
      </c>
      <c r="AA365" s="38">
        <v>6.7300581899220821E-4</v>
      </c>
      <c r="AB365" s="38">
        <v>-2.3339393473854452E-6</v>
      </c>
      <c r="AC365" s="39">
        <v>-4.4653539875730369E-2</v>
      </c>
      <c r="AD365" s="40">
        <v>-2479.3747848823077</v>
      </c>
      <c r="AE365" s="37">
        <v>7.4902804621705373E-4</v>
      </c>
      <c r="AF365" s="38">
        <v>7.4748184186543601E-4</v>
      </c>
      <c r="AG365" s="38">
        <v>-1.5462043516177148E-6</v>
      </c>
      <c r="AH365" s="39">
        <v>-2.1671093537671486E-2</v>
      </c>
      <c r="AI365" s="40">
        <v>-1203.2811514531641</v>
      </c>
      <c r="AJ365" s="39">
        <v>-4.3145840330845511</v>
      </c>
      <c r="AK365" s="28">
        <v>-239566.02071541094</v>
      </c>
      <c r="AL365" s="41">
        <f t="shared" si="5"/>
        <v>-54.710784588385074</v>
      </c>
      <c r="AM365" s="28">
        <v>7210327.5</v>
      </c>
      <c r="AN365" s="42">
        <v>-3.3225400748497336E-2</v>
      </c>
      <c r="AP365" s="30"/>
      <c r="AR365" s="30"/>
    </row>
    <row r="366" spans="1:44" x14ac:dyDescent="0.2">
      <c r="A366" s="3" t="s">
        <v>214</v>
      </c>
      <c r="B366" s="3" t="s">
        <v>494</v>
      </c>
      <c r="C366" s="3" t="s">
        <v>1902</v>
      </c>
      <c r="D366" s="27"/>
      <c r="E366" s="3" t="s">
        <v>64</v>
      </c>
      <c r="F366" s="133" t="s">
        <v>1072</v>
      </c>
      <c r="G366" s="3" t="s">
        <v>880</v>
      </c>
      <c r="H366" s="29">
        <v>85.84</v>
      </c>
      <c r="I366" s="30">
        <v>237.75</v>
      </c>
      <c r="J366" s="30">
        <v>236.53800000000001</v>
      </c>
      <c r="K366" s="31">
        <v>1</v>
      </c>
      <c r="L366" s="31">
        <v>1</v>
      </c>
      <c r="M366" s="4">
        <v>0.49</v>
      </c>
      <c r="N366" s="4">
        <v>0.49</v>
      </c>
      <c r="O366" s="4">
        <v>0.51</v>
      </c>
      <c r="P366" s="4">
        <v>0.51</v>
      </c>
      <c r="Q366" s="32">
        <v>237.75</v>
      </c>
      <c r="R366" s="32">
        <v>236.53800000000001</v>
      </c>
      <c r="S366" s="32">
        <v>20408.46</v>
      </c>
      <c r="T366" s="32">
        <v>20304.421920000001</v>
      </c>
      <c r="U366" s="33">
        <v>1.0792466524890622E-3</v>
      </c>
      <c r="V366" s="34">
        <v>1.0777418329500424E-3</v>
      </c>
      <c r="W366" s="34">
        <v>-1.5048195390198089E-6</v>
      </c>
      <c r="X366" s="35">
        <v>-3.2439846999072923</v>
      </c>
      <c r="Y366" s="36">
        <v>-37791.061275714026</v>
      </c>
      <c r="Z366" s="37">
        <v>1.0453698808018097E-3</v>
      </c>
      <c r="AA366" s="38">
        <v>1.0431929633467868E-3</v>
      </c>
      <c r="AB366" s="38">
        <v>-2.1769174550229781E-6</v>
      </c>
      <c r="AC366" s="39">
        <v>-4.1649355838203998E-2</v>
      </c>
      <c r="AD366" s="40">
        <v>-485.19752840405403</v>
      </c>
      <c r="AE366" s="37">
        <v>1.1139295739426304E-3</v>
      </c>
      <c r="AF366" s="38">
        <v>1.1131622413145267E-3</v>
      </c>
      <c r="AG366" s="38">
        <v>-7.6733262810370524E-7</v>
      </c>
      <c r="AH366" s="39">
        <v>-1.075468267874468E-2</v>
      </c>
      <c r="AI366" s="40">
        <v>-125.28754285583271</v>
      </c>
      <c r="AJ366" s="39">
        <v>-3.2963887384242407</v>
      </c>
      <c r="AK366" s="28">
        <v>-38401.546346973912</v>
      </c>
      <c r="AL366" s="41">
        <f t="shared" si="5"/>
        <v>-8.7652582654928288</v>
      </c>
      <c r="AM366" s="28">
        <v>1086970.125</v>
      </c>
      <c r="AN366" s="42">
        <v>-3.5328980497025077E-2</v>
      </c>
      <c r="AP366" s="30"/>
      <c r="AR366" s="30"/>
    </row>
    <row r="367" spans="1:44" x14ac:dyDescent="0.2">
      <c r="A367" s="3" t="s">
        <v>1185</v>
      </c>
      <c r="B367" s="3" t="s">
        <v>422</v>
      </c>
      <c r="C367" s="3" t="s">
        <v>1903</v>
      </c>
      <c r="D367" s="27"/>
      <c r="E367" s="3" t="s">
        <v>610</v>
      </c>
      <c r="F367" s="133" t="s">
        <v>1063</v>
      </c>
      <c r="G367" s="3" t="s">
        <v>880</v>
      </c>
      <c r="H367" s="29">
        <v>105.09</v>
      </c>
      <c r="I367" s="30">
        <v>149.62299999999999</v>
      </c>
      <c r="J367" s="30">
        <v>148.91399999999999</v>
      </c>
      <c r="K367" s="31">
        <v>1</v>
      </c>
      <c r="L367" s="31">
        <v>1</v>
      </c>
      <c r="M367" s="4">
        <v>0</v>
      </c>
      <c r="N367" s="4">
        <v>0</v>
      </c>
      <c r="O367" s="4">
        <v>1</v>
      </c>
      <c r="P367" s="4">
        <v>1</v>
      </c>
      <c r="Q367" s="32">
        <v>149.62299999999999</v>
      </c>
      <c r="R367" s="32">
        <v>148.91399999999999</v>
      </c>
      <c r="S367" s="32">
        <v>15723.881069999999</v>
      </c>
      <c r="T367" s="32">
        <v>15649.372259999998</v>
      </c>
      <c r="U367" s="33">
        <v>8.3151526420580644E-4</v>
      </c>
      <c r="V367" s="34">
        <v>8.3065566754189797E-4</v>
      </c>
      <c r="W367" s="34">
        <v>-8.595966639084662E-7</v>
      </c>
      <c r="X367" s="35">
        <v>-1.8530583591616352</v>
      </c>
      <c r="Y367" s="36">
        <v>-17633.060797046674</v>
      </c>
      <c r="Z367" s="37">
        <v>0</v>
      </c>
      <c r="AA367" s="38">
        <v>0</v>
      </c>
      <c r="AB367" s="38">
        <v>0</v>
      </c>
      <c r="AC367" s="39">
        <v>0</v>
      </c>
      <c r="AD367" s="40">
        <v>0</v>
      </c>
      <c r="AE367" s="37">
        <v>1.6828177100862893E-3</v>
      </c>
      <c r="AF367" s="38">
        <v>1.6822656707772979E-3</v>
      </c>
      <c r="AG367" s="38">
        <v>-5.5203930899140954E-7</v>
      </c>
      <c r="AH367" s="39">
        <v>-7.7372020645963017E-3</v>
      </c>
      <c r="AI367" s="40">
        <v>-73.624531968753473</v>
      </c>
      <c r="AJ367" s="39">
        <v>-1.8607955612262315</v>
      </c>
      <c r="AK367" s="28">
        <v>-17706.685329015429</v>
      </c>
      <c r="AL367" s="41">
        <f t="shared" si="5"/>
        <v>-4.0898118941310599</v>
      </c>
      <c r="AM367" s="28">
        <v>506223.6875</v>
      </c>
      <c r="AN367" s="42">
        <v>-3.4977986542787824E-2</v>
      </c>
      <c r="AP367" s="30"/>
      <c r="AR367" s="30"/>
    </row>
    <row r="368" spans="1:44" x14ac:dyDescent="0.2">
      <c r="A368" s="3" t="s">
        <v>1091</v>
      </c>
      <c r="B368" s="3" t="s">
        <v>323</v>
      </c>
      <c r="C368" s="3" t="s">
        <v>1904</v>
      </c>
      <c r="D368" s="27"/>
      <c r="E368" s="3" t="s">
        <v>635</v>
      </c>
      <c r="F368" s="133" t="s">
        <v>1056</v>
      </c>
      <c r="G368" s="3" t="s">
        <v>880</v>
      </c>
      <c r="H368" s="29">
        <v>30.05</v>
      </c>
      <c r="I368" s="30">
        <v>1089.144</v>
      </c>
      <c r="J368" s="30">
        <v>1080.894</v>
      </c>
      <c r="K368" s="31">
        <v>1</v>
      </c>
      <c r="L368" s="31">
        <v>1</v>
      </c>
      <c r="M368" s="4">
        <v>1</v>
      </c>
      <c r="N368" s="4">
        <v>1</v>
      </c>
      <c r="O368" s="4">
        <v>0</v>
      </c>
      <c r="P368" s="4">
        <v>0</v>
      </c>
      <c r="Q368" s="32">
        <v>1089.144</v>
      </c>
      <c r="R368" s="32">
        <v>1080.894</v>
      </c>
      <c r="S368" s="32">
        <v>32728.7772</v>
      </c>
      <c r="T368" s="32">
        <v>32480.864700000002</v>
      </c>
      <c r="U368" s="33">
        <v>1.7307735729771056E-3</v>
      </c>
      <c r="V368" s="34">
        <v>1.72405729133806E-3</v>
      </c>
      <c r="W368" s="34">
        <v>-6.7162816390455623E-6</v>
      </c>
      <c r="X368" s="35">
        <v>-14.478490152728721</v>
      </c>
      <c r="Y368" s="36">
        <v>-481813.31623057305</v>
      </c>
      <c r="Z368" s="37">
        <v>3.4213180460709093E-3</v>
      </c>
      <c r="AA368" s="38">
        <v>3.4056931983566783E-3</v>
      </c>
      <c r="AB368" s="38">
        <v>-1.5624847714230949E-5</v>
      </c>
      <c r="AC368" s="39">
        <v>-0.29893868546379226</v>
      </c>
      <c r="AD368" s="40">
        <v>-9948.0427774972468</v>
      </c>
      <c r="AE368" s="37">
        <v>0</v>
      </c>
      <c r="AF368" s="38">
        <v>0</v>
      </c>
      <c r="AG368" s="38">
        <v>0</v>
      </c>
      <c r="AH368" s="39">
        <v>0</v>
      </c>
      <c r="AI368" s="40">
        <v>0</v>
      </c>
      <c r="AJ368" s="39">
        <v>-14.777428838192513</v>
      </c>
      <c r="AK368" s="28">
        <v>-491761.35900807031</v>
      </c>
      <c r="AL368" s="41">
        <f t="shared" si="5"/>
        <v>-111.7517743601591</v>
      </c>
      <c r="AM368" s="28">
        <v>13208635</v>
      </c>
      <c r="AN368" s="42">
        <v>-3.7230293592643772E-2</v>
      </c>
      <c r="AP368" s="30"/>
      <c r="AR368" s="30"/>
    </row>
    <row r="369" spans="1:44" x14ac:dyDescent="0.2">
      <c r="A369" s="3" t="s">
        <v>1169</v>
      </c>
      <c r="B369" s="3" t="s">
        <v>405</v>
      </c>
      <c r="C369" s="3" t="s">
        <v>1905</v>
      </c>
      <c r="D369" s="27"/>
      <c r="E369" s="3" t="s">
        <v>699</v>
      </c>
      <c r="F369" s="133" t="s">
        <v>1071</v>
      </c>
      <c r="G369" s="3" t="s">
        <v>880</v>
      </c>
      <c r="H369" s="29">
        <v>51.07</v>
      </c>
      <c r="I369" s="30">
        <v>182.059</v>
      </c>
      <c r="J369" s="30">
        <v>181.05199999999999</v>
      </c>
      <c r="K369" s="31">
        <v>1</v>
      </c>
      <c r="L369" s="31">
        <v>1</v>
      </c>
      <c r="M369" s="4">
        <v>0.63</v>
      </c>
      <c r="N369" s="4">
        <v>0.63</v>
      </c>
      <c r="O369" s="4">
        <v>0.37</v>
      </c>
      <c r="P369" s="4">
        <v>0.37</v>
      </c>
      <c r="Q369" s="32">
        <v>182.059</v>
      </c>
      <c r="R369" s="32">
        <v>181.05199999999999</v>
      </c>
      <c r="S369" s="32">
        <v>9297.7531299999991</v>
      </c>
      <c r="T369" s="32">
        <v>9246.3256399999991</v>
      </c>
      <c r="U369" s="33">
        <v>4.9168672899484818E-4</v>
      </c>
      <c r="V369" s="34">
        <v>4.9078727690793442E-4</v>
      </c>
      <c r="W369" s="34">
        <v>-8.9945208691375508E-7</v>
      </c>
      <c r="X369" s="35">
        <v>-1.9389758921847018</v>
      </c>
      <c r="Y369" s="36">
        <v>-37967.023539939335</v>
      </c>
      <c r="Z369" s="37">
        <v>6.12325334907294E-4</v>
      </c>
      <c r="AA369" s="38">
        <v>6.1078403049477745E-4</v>
      </c>
      <c r="AB369" s="38">
        <v>-1.5413044125165472E-6</v>
      </c>
      <c r="AC369" s="39">
        <v>-2.9488640363360977E-2</v>
      </c>
      <c r="AD369" s="40">
        <v>-577.41610267007979</v>
      </c>
      <c r="AE369" s="37">
        <v>3.6817734233437978E-4</v>
      </c>
      <c r="AF369" s="38">
        <v>3.677634540370997E-4</v>
      </c>
      <c r="AG369" s="38">
        <v>-4.1388829728007713E-7</v>
      </c>
      <c r="AH369" s="39">
        <v>-5.8009227532699005E-3</v>
      </c>
      <c r="AI369" s="40">
        <v>-113.58767874035443</v>
      </c>
      <c r="AJ369" s="39">
        <v>-1.9742654553013326</v>
      </c>
      <c r="AK369" s="28">
        <v>-38658.027321349771</v>
      </c>
      <c r="AL369" s="41">
        <f t="shared" si="5"/>
        <v>-8.8060709507906303</v>
      </c>
      <c r="AM369" s="28">
        <v>1039652.75</v>
      </c>
      <c r="AN369" s="42">
        <v>-3.7183595504700746E-2</v>
      </c>
      <c r="AP369" s="30"/>
      <c r="AR369" s="30"/>
    </row>
    <row r="370" spans="1:44" x14ac:dyDescent="0.2">
      <c r="A370" s="3" t="s">
        <v>277</v>
      </c>
      <c r="B370" s="3" t="s">
        <v>556</v>
      </c>
      <c r="C370" s="3" t="s">
        <v>1906</v>
      </c>
      <c r="D370" s="27"/>
      <c r="E370" s="3" t="s">
        <v>119</v>
      </c>
      <c r="F370" s="133" t="s">
        <v>1064</v>
      </c>
      <c r="G370" s="3" t="s">
        <v>880</v>
      </c>
      <c r="H370" s="29">
        <v>73.75</v>
      </c>
      <c r="I370" s="30">
        <v>119.98</v>
      </c>
      <c r="J370" s="30">
        <v>118.789</v>
      </c>
      <c r="K370" s="31">
        <v>1</v>
      </c>
      <c r="L370" s="31">
        <v>1</v>
      </c>
      <c r="M370" s="4">
        <v>0.44</v>
      </c>
      <c r="N370" s="4">
        <v>0.44</v>
      </c>
      <c r="O370" s="4">
        <v>0.56000000000000005</v>
      </c>
      <c r="P370" s="4">
        <v>0.56000000000000005</v>
      </c>
      <c r="Q370" s="32">
        <v>119.98</v>
      </c>
      <c r="R370" s="32">
        <v>118.789</v>
      </c>
      <c r="S370" s="32">
        <v>8848.5249999999996</v>
      </c>
      <c r="T370" s="32">
        <v>8760.6887499999993</v>
      </c>
      <c r="U370" s="33">
        <v>4.6793050459053637E-4</v>
      </c>
      <c r="V370" s="34">
        <v>4.6501007458033629E-4</v>
      </c>
      <c r="W370" s="34">
        <v>-2.9204300102000881E-6</v>
      </c>
      <c r="X370" s="35">
        <v>-6.2956587315513808</v>
      </c>
      <c r="Y370" s="36">
        <v>-85364.864156628886</v>
      </c>
      <c r="Z370" s="37">
        <v>4.0699326939682367E-4</v>
      </c>
      <c r="AA370" s="38">
        <v>4.0417446026520782E-4</v>
      </c>
      <c r="AB370" s="38">
        <v>-2.8188091316158474E-6</v>
      </c>
      <c r="AC370" s="39">
        <v>-5.3930195787514609E-2</v>
      </c>
      <c r="AD370" s="40">
        <v>-731.2568920340965</v>
      </c>
      <c r="AE370" s="37">
        <v>5.3031783480407102E-4</v>
      </c>
      <c r="AF370" s="38">
        <v>5.2738034390871686E-4</v>
      </c>
      <c r="AG370" s="38">
        <v>-2.9374908953541537E-6</v>
      </c>
      <c r="AH370" s="39">
        <v>-4.117090984298126E-2</v>
      </c>
      <c r="AI370" s="40">
        <v>-558.24962498957643</v>
      </c>
      <c r="AJ370" s="39">
        <v>-6.3907598371818768</v>
      </c>
      <c r="AK370" s="28">
        <v>-86654.370673652564</v>
      </c>
      <c r="AL370" s="41">
        <f t="shared" si="5"/>
        <v>-19.799525492881955</v>
      </c>
      <c r="AM370" s="28">
        <v>2242917.25</v>
      </c>
      <c r="AN370" s="42">
        <v>-3.8634671285199026E-2</v>
      </c>
      <c r="AP370" s="30"/>
      <c r="AR370" s="30"/>
    </row>
    <row r="371" spans="1:44" x14ac:dyDescent="0.2">
      <c r="A371" s="3" t="s">
        <v>1161</v>
      </c>
      <c r="B371" s="3" t="s">
        <v>397</v>
      </c>
      <c r="C371" s="3" t="s">
        <v>1907</v>
      </c>
      <c r="D371" s="27"/>
      <c r="E371" s="3" t="s">
        <v>692</v>
      </c>
      <c r="F371" s="133" t="s">
        <v>1052</v>
      </c>
      <c r="G371" s="3" t="s">
        <v>880</v>
      </c>
      <c r="H371" s="29">
        <v>68.06</v>
      </c>
      <c r="I371" s="30">
        <v>148.65799999999999</v>
      </c>
      <c r="J371" s="30">
        <v>147.71199999999999</v>
      </c>
      <c r="K371" s="31">
        <v>1</v>
      </c>
      <c r="L371" s="31">
        <v>1</v>
      </c>
      <c r="M371" s="4">
        <v>0</v>
      </c>
      <c r="N371" s="4">
        <v>0</v>
      </c>
      <c r="O371" s="4">
        <v>1</v>
      </c>
      <c r="P371" s="4">
        <v>1</v>
      </c>
      <c r="Q371" s="32">
        <v>148.65799999999999</v>
      </c>
      <c r="R371" s="32">
        <v>147.71199999999999</v>
      </c>
      <c r="S371" s="32">
        <v>10117.663479999999</v>
      </c>
      <c r="T371" s="32">
        <v>10053.27872</v>
      </c>
      <c r="U371" s="33">
        <v>5.3504548808684411E-4</v>
      </c>
      <c r="V371" s="34">
        <v>5.3361967543523426E-4</v>
      </c>
      <c r="W371" s="34">
        <v>-1.4258126516098445E-6</v>
      </c>
      <c r="X371" s="35">
        <v>-3.0736671785703709</v>
      </c>
      <c r="Y371" s="36">
        <v>-45161.139855574067</v>
      </c>
      <c r="Z371" s="37">
        <v>0</v>
      </c>
      <c r="AA371" s="38">
        <v>0</v>
      </c>
      <c r="AB371" s="38">
        <v>0</v>
      </c>
      <c r="AC371" s="39">
        <v>0</v>
      </c>
      <c r="AD371" s="40">
        <v>0</v>
      </c>
      <c r="AE371" s="37">
        <v>1.0828232045917705E-3</v>
      </c>
      <c r="AF371" s="38">
        <v>1.0807005794500756E-3</v>
      </c>
      <c r="AG371" s="38">
        <v>-2.1226251416949383E-6</v>
      </c>
      <c r="AH371" s="39">
        <v>-2.9750018451931762E-2</v>
      </c>
      <c r="AI371" s="40">
        <v>-437.11458201486573</v>
      </c>
      <c r="AJ371" s="39">
        <v>-3.1034171970223028</v>
      </c>
      <c r="AK371" s="28">
        <v>-45598.254437588934</v>
      </c>
      <c r="AL371" s="41">
        <f t="shared" si="5"/>
        <v>-10.474674196369707</v>
      </c>
      <c r="AM371" s="28">
        <v>1136405.375</v>
      </c>
      <c r="AN371" s="42">
        <v>-4.0124990114191371E-2</v>
      </c>
      <c r="AP371" s="30"/>
      <c r="AR371" s="30"/>
    </row>
    <row r="372" spans="1:44" x14ac:dyDescent="0.2">
      <c r="A372" s="3" t="s">
        <v>292</v>
      </c>
      <c r="B372" s="3" t="s">
        <v>570</v>
      </c>
      <c r="C372" s="3" t="s">
        <v>1908</v>
      </c>
      <c r="D372" s="27"/>
      <c r="E372" s="3" t="s">
        <v>134</v>
      </c>
      <c r="F372" s="133" t="s">
        <v>1070</v>
      </c>
      <c r="G372" s="3" t="s">
        <v>880</v>
      </c>
      <c r="H372" s="29">
        <v>181.34</v>
      </c>
      <c r="I372" s="30">
        <v>75.966999999999999</v>
      </c>
      <c r="J372" s="30">
        <v>75.444000000000003</v>
      </c>
      <c r="K372" s="31">
        <v>1</v>
      </c>
      <c r="L372" s="31">
        <v>1</v>
      </c>
      <c r="M372" s="4">
        <v>0</v>
      </c>
      <c r="N372" s="4">
        <v>0</v>
      </c>
      <c r="O372" s="4">
        <v>1</v>
      </c>
      <c r="P372" s="4">
        <v>1</v>
      </c>
      <c r="Q372" s="32">
        <v>75.966999999999999</v>
      </c>
      <c r="R372" s="32">
        <v>75.444000000000003</v>
      </c>
      <c r="S372" s="32">
        <v>13775.85578</v>
      </c>
      <c r="T372" s="32">
        <v>13681.01496</v>
      </c>
      <c r="U372" s="33">
        <v>7.2849917317313986E-4</v>
      </c>
      <c r="V372" s="34">
        <v>7.2617689869238845E-4</v>
      </c>
      <c r="W372" s="34">
        <v>-2.3222744807514101E-6</v>
      </c>
      <c r="X372" s="35">
        <v>-5.0061968822186849</v>
      </c>
      <c r="Y372" s="36">
        <v>-27606.68844280735</v>
      </c>
      <c r="Z372" s="37">
        <v>0</v>
      </c>
      <c r="AA372" s="38">
        <v>0</v>
      </c>
      <c r="AB372" s="38">
        <v>0</v>
      </c>
      <c r="AC372" s="39">
        <v>0</v>
      </c>
      <c r="AD372" s="40">
        <v>0</v>
      </c>
      <c r="AE372" s="37">
        <v>1.4743341020563045E-3</v>
      </c>
      <c r="AF372" s="38">
        <v>1.4706725245092133E-3</v>
      </c>
      <c r="AG372" s="38">
        <v>-3.6615775470911702E-6</v>
      </c>
      <c r="AH372" s="39">
        <v>-5.131947108765423E-2</v>
      </c>
      <c r="AI372" s="40">
        <v>-283.00138462365845</v>
      </c>
      <c r="AJ372" s="39">
        <v>-5.0575163533063394</v>
      </c>
      <c r="AK372" s="28">
        <v>-27889.689827431008</v>
      </c>
      <c r="AL372" s="41">
        <f t="shared" si="5"/>
        <v>-6.4030949618159534</v>
      </c>
      <c r="AM372" s="28">
        <v>692931.4375</v>
      </c>
      <c r="AN372" s="42">
        <v>-4.024884471695081E-2</v>
      </c>
      <c r="AP372" s="30"/>
      <c r="AR372" s="30"/>
    </row>
    <row r="373" spans="1:44" x14ac:dyDescent="0.2">
      <c r="A373" s="3" t="s">
        <v>896</v>
      </c>
      <c r="B373" s="3" t="s">
        <v>980</v>
      </c>
      <c r="C373" s="3" t="s">
        <v>1909</v>
      </c>
      <c r="D373" s="27"/>
      <c r="E373" s="3" t="s">
        <v>784</v>
      </c>
      <c r="F373" s="133" t="s">
        <v>1069</v>
      </c>
      <c r="G373" s="3" t="s">
        <v>880</v>
      </c>
      <c r="H373" s="29">
        <v>15.84</v>
      </c>
      <c r="I373" s="30">
        <v>10271.915999999999</v>
      </c>
      <c r="J373" s="30">
        <v>10204.799999999999</v>
      </c>
      <c r="K373" s="31">
        <v>1</v>
      </c>
      <c r="L373" s="31">
        <v>1</v>
      </c>
      <c r="M373" s="4">
        <v>0</v>
      </c>
      <c r="N373" s="4">
        <v>0</v>
      </c>
      <c r="O373" s="4">
        <v>1</v>
      </c>
      <c r="P373" s="4">
        <v>1</v>
      </c>
      <c r="Q373" s="32">
        <v>10271.915999999999</v>
      </c>
      <c r="R373" s="32">
        <v>10204.799999999999</v>
      </c>
      <c r="S373" s="32">
        <v>162707.14943999998</v>
      </c>
      <c r="T373" s="32">
        <v>161644.03199999998</v>
      </c>
      <c r="U373" s="33">
        <v>8.6043310651150329E-3</v>
      </c>
      <c r="V373" s="34">
        <v>8.579930816031589E-3</v>
      </c>
      <c r="W373" s="34">
        <v>-2.4400249083443917E-5</v>
      </c>
      <c r="X373" s="35">
        <v>-52.6003501736676</v>
      </c>
      <c r="Y373" s="36">
        <v>-3320729.1776305302</v>
      </c>
      <c r="Z373" s="37">
        <v>0</v>
      </c>
      <c r="AA373" s="38">
        <v>0</v>
      </c>
      <c r="AB373" s="38">
        <v>0</v>
      </c>
      <c r="AC373" s="39">
        <v>0</v>
      </c>
      <c r="AD373" s="40">
        <v>0</v>
      </c>
      <c r="AE373" s="37">
        <v>1.741341539129871E-2</v>
      </c>
      <c r="AF373" s="38">
        <v>1.7376301196098391E-2</v>
      </c>
      <c r="AG373" s="38">
        <v>-3.7114195200319E-5</v>
      </c>
      <c r="AH373" s="39">
        <v>-0.52018039848355602</v>
      </c>
      <c r="AI373" s="40">
        <v>-32839.671621436617</v>
      </c>
      <c r="AJ373" s="39">
        <v>-53.120530572151154</v>
      </c>
      <c r="AK373" s="28">
        <v>-3353568.8492519669</v>
      </c>
      <c r="AL373" s="41">
        <f t="shared" si="5"/>
        <v>-770.20988268446706</v>
      </c>
      <c r="AM373" s="28">
        <v>75153440</v>
      </c>
      <c r="AN373" s="42">
        <v>-4.4622958699588031E-2</v>
      </c>
      <c r="AP373" s="30"/>
      <c r="AR373" s="30"/>
    </row>
    <row r="374" spans="1:44" x14ac:dyDescent="0.2">
      <c r="A374" s="3" t="s">
        <v>242</v>
      </c>
      <c r="B374" s="3" t="s">
        <v>523</v>
      </c>
      <c r="C374" s="3" t="s">
        <v>1910</v>
      </c>
      <c r="D374" s="27"/>
      <c r="E374" s="3" t="s">
        <v>2112</v>
      </c>
      <c r="F374" s="133" t="s">
        <v>1070</v>
      </c>
      <c r="G374" s="3" t="s">
        <v>880</v>
      </c>
      <c r="H374" s="29">
        <v>106.45</v>
      </c>
      <c r="I374" s="30">
        <v>57.021000000000001</v>
      </c>
      <c r="J374" s="30">
        <v>56.377000000000002</v>
      </c>
      <c r="K374" s="31">
        <v>1</v>
      </c>
      <c r="L374" s="31">
        <v>1</v>
      </c>
      <c r="M374" s="4">
        <v>0</v>
      </c>
      <c r="N374" s="4">
        <v>0</v>
      </c>
      <c r="O374" s="4">
        <v>1</v>
      </c>
      <c r="P374" s="4">
        <v>1</v>
      </c>
      <c r="Q374" s="32">
        <v>57.021000000000001</v>
      </c>
      <c r="R374" s="32">
        <v>56.377000000000002</v>
      </c>
      <c r="S374" s="32">
        <v>6069.8854500000007</v>
      </c>
      <c r="T374" s="32">
        <v>6001.3316500000001</v>
      </c>
      <c r="U374" s="33">
        <v>3.2098960690343933E-4</v>
      </c>
      <c r="V374" s="34">
        <v>3.1854569404121712E-4</v>
      </c>
      <c r="W374" s="34">
        <v>-2.4439128622222046E-6</v>
      </c>
      <c r="X374" s="35">
        <v>-5.2684163963736976</v>
      </c>
      <c r="Y374" s="36">
        <v>-49491.934207362116</v>
      </c>
      <c r="Z374" s="37">
        <v>0</v>
      </c>
      <c r="AA374" s="38">
        <v>0</v>
      </c>
      <c r="AB374" s="38">
        <v>0</v>
      </c>
      <c r="AC374" s="39">
        <v>0</v>
      </c>
      <c r="AD374" s="40">
        <v>0</v>
      </c>
      <c r="AE374" s="37">
        <v>6.4961765406275026E-4</v>
      </c>
      <c r="AF374" s="38">
        <v>6.4512710452606229E-4</v>
      </c>
      <c r="AG374" s="38">
        <v>-4.4905495366879709E-6</v>
      </c>
      <c r="AH374" s="39">
        <v>-6.2938070859324985E-2</v>
      </c>
      <c r="AI374" s="40">
        <v>-591.2453814873179</v>
      </c>
      <c r="AJ374" s="39">
        <v>-5.3313544672330222</v>
      </c>
      <c r="AK374" s="28">
        <v>-50083.179588849431</v>
      </c>
      <c r="AL374" s="41">
        <f t="shared" si="5"/>
        <v>-11.479158582537362</v>
      </c>
      <c r="AM374" s="28">
        <v>1113056.875</v>
      </c>
      <c r="AN374" s="42">
        <v>-4.4996065083241527E-2</v>
      </c>
      <c r="AP374" s="30"/>
      <c r="AR374" s="30"/>
    </row>
    <row r="375" spans="1:44" x14ac:dyDescent="0.2">
      <c r="A375" s="3" t="s">
        <v>719</v>
      </c>
      <c r="B375" s="3" t="s">
        <v>150</v>
      </c>
      <c r="C375" s="3" t="s">
        <v>1911</v>
      </c>
      <c r="D375" s="27"/>
      <c r="E375" s="3" t="s">
        <v>1384</v>
      </c>
      <c r="F375" s="133" t="s">
        <v>1054</v>
      </c>
      <c r="G375" s="3" t="s">
        <v>878</v>
      </c>
      <c r="H375" s="29">
        <v>20.82</v>
      </c>
      <c r="I375" s="30">
        <v>222.66300000000001</v>
      </c>
      <c r="J375" s="30">
        <v>222.767</v>
      </c>
      <c r="K375" s="31">
        <v>0.92</v>
      </c>
      <c r="L375" s="31">
        <v>0.9</v>
      </c>
      <c r="M375" s="4">
        <v>0.34</v>
      </c>
      <c r="N375" s="4">
        <v>0.34</v>
      </c>
      <c r="O375" s="4">
        <v>0.66</v>
      </c>
      <c r="P375" s="4">
        <v>0.66</v>
      </c>
      <c r="Q375" s="32">
        <v>204.84996000000001</v>
      </c>
      <c r="R375" s="32">
        <v>200.49029999999999</v>
      </c>
      <c r="S375" s="32">
        <v>4264.9761672000004</v>
      </c>
      <c r="T375" s="32">
        <v>4174.2080459999997</v>
      </c>
      <c r="U375" s="33">
        <v>2.2554182194032432E-4</v>
      </c>
      <c r="V375" s="34">
        <v>2.2156349234348725E-4</v>
      </c>
      <c r="W375" s="34">
        <v>-3.9783295968370683E-6</v>
      </c>
      <c r="X375" s="35">
        <v>-8.576204660217341</v>
      </c>
      <c r="Y375" s="36">
        <v>-411921.45342062152</v>
      </c>
      <c r="Z375" s="37">
        <v>1.5158603527501354E-4</v>
      </c>
      <c r="AA375" s="38">
        <v>1.4880959937214642E-4</v>
      </c>
      <c r="AB375" s="38">
        <v>-2.7764359028671214E-6</v>
      </c>
      <c r="AC375" s="39">
        <v>-5.3119500058975526E-2</v>
      </c>
      <c r="AD375" s="40">
        <v>-2551.3688789133298</v>
      </c>
      <c r="AE375" s="37">
        <v>3.0125750003473338E-4</v>
      </c>
      <c r="AF375" s="38">
        <v>2.9615269392211404E-4</v>
      </c>
      <c r="AG375" s="38">
        <v>-5.1048061126193344E-6</v>
      </c>
      <c r="AH375" s="39">
        <v>-7.1547289750224577E-2</v>
      </c>
      <c r="AI375" s="40">
        <v>-3436.4692483297108</v>
      </c>
      <c r="AJ375" s="39">
        <v>-8.7008714500265416</v>
      </c>
      <c r="AK375" s="28">
        <v>-417909.29154786456</v>
      </c>
      <c r="AL375" s="41">
        <f t="shared" si="5"/>
        <v>-95.541056600313851</v>
      </c>
      <c r="AM375" s="28">
        <v>8861901</v>
      </c>
      <c r="AN375" s="42">
        <v>-4.7157973390569874E-2</v>
      </c>
      <c r="AP375" s="30"/>
      <c r="AR375" s="30"/>
    </row>
    <row r="376" spans="1:44" x14ac:dyDescent="0.2">
      <c r="A376" s="3" t="s">
        <v>1160</v>
      </c>
      <c r="B376" s="3" t="s">
        <v>396</v>
      </c>
      <c r="C376" s="3" t="s">
        <v>1912</v>
      </c>
      <c r="D376" s="27"/>
      <c r="E376" s="3" t="s">
        <v>2113</v>
      </c>
      <c r="F376" s="133" t="s">
        <v>1066</v>
      </c>
      <c r="G376" s="3" t="s">
        <v>880</v>
      </c>
      <c r="H376" s="29">
        <v>90.86</v>
      </c>
      <c r="I376" s="30">
        <v>222.58</v>
      </c>
      <c r="J376" s="30">
        <v>220.94300000000001</v>
      </c>
      <c r="K376" s="31">
        <v>1</v>
      </c>
      <c r="L376" s="31">
        <v>1</v>
      </c>
      <c r="M376" s="4">
        <v>1</v>
      </c>
      <c r="N376" s="4">
        <v>1</v>
      </c>
      <c r="O376" s="4">
        <v>0</v>
      </c>
      <c r="P376" s="4">
        <v>0</v>
      </c>
      <c r="Q376" s="32">
        <v>222.58</v>
      </c>
      <c r="R376" s="32">
        <v>220.94300000000001</v>
      </c>
      <c r="S376" s="32">
        <v>20223.6188</v>
      </c>
      <c r="T376" s="32">
        <v>20074.880980000002</v>
      </c>
      <c r="U376" s="33">
        <v>1.0694718215443432E-3</v>
      </c>
      <c r="V376" s="34">
        <v>1.0655579907117663E-3</v>
      </c>
      <c r="W376" s="34">
        <v>-3.913830832576919E-6</v>
      </c>
      <c r="X376" s="35">
        <v>-8.4371627359217953</v>
      </c>
      <c r="Y376" s="36">
        <v>-92858.933919456249</v>
      </c>
      <c r="Z376" s="37">
        <v>2.1140854586311555E-3</v>
      </c>
      <c r="AA376" s="38">
        <v>2.1048973370282795E-3</v>
      </c>
      <c r="AB376" s="38">
        <v>-9.1881216028760239E-6</v>
      </c>
      <c r="AC376" s="39">
        <v>-0.17578955290191906</v>
      </c>
      <c r="AD376" s="40">
        <v>-1934.7298360325672</v>
      </c>
      <c r="AE376" s="37">
        <v>0</v>
      </c>
      <c r="AF376" s="38">
        <v>0</v>
      </c>
      <c r="AG376" s="38">
        <v>0</v>
      </c>
      <c r="AH376" s="39">
        <v>0</v>
      </c>
      <c r="AI376" s="40">
        <v>0</v>
      </c>
      <c r="AJ376" s="39">
        <v>-8.6129522888237151</v>
      </c>
      <c r="AK376" s="28">
        <v>-94793.663755488815</v>
      </c>
      <c r="AL376" s="41">
        <f t="shared" si="5"/>
        <v>-21.537699937139109</v>
      </c>
      <c r="AM376" s="28">
        <v>1861555.25</v>
      </c>
      <c r="AN376" s="42">
        <v>-5.0921756824294534E-2</v>
      </c>
      <c r="AP376" s="30"/>
      <c r="AR376" s="30"/>
    </row>
    <row r="377" spans="1:44" x14ac:dyDescent="0.2">
      <c r="A377" s="3" t="s">
        <v>294</v>
      </c>
      <c r="B377" s="3" t="s">
        <v>572</v>
      </c>
      <c r="C377" s="3" t="s">
        <v>1913</v>
      </c>
      <c r="D377" s="27"/>
      <c r="E377" s="3" t="s">
        <v>136</v>
      </c>
      <c r="F377" s="133" t="s">
        <v>1055</v>
      </c>
      <c r="G377" s="3" t="s">
        <v>880</v>
      </c>
      <c r="H377" s="29">
        <v>21.46</v>
      </c>
      <c r="I377" s="30">
        <v>491.137</v>
      </c>
      <c r="J377" s="30">
        <v>487.73399999999998</v>
      </c>
      <c r="K377" s="31">
        <v>1</v>
      </c>
      <c r="L377" s="31">
        <v>1</v>
      </c>
      <c r="M377" s="4">
        <v>0.52</v>
      </c>
      <c r="N377" s="4">
        <v>0.52</v>
      </c>
      <c r="O377" s="4">
        <v>0.48</v>
      </c>
      <c r="P377" s="4">
        <v>0.48</v>
      </c>
      <c r="Q377" s="32">
        <v>491.137</v>
      </c>
      <c r="R377" s="32">
        <v>487.73399999999998</v>
      </c>
      <c r="S377" s="32">
        <v>10539.800020000001</v>
      </c>
      <c r="T377" s="32">
        <v>10466.771640000001</v>
      </c>
      <c r="U377" s="33">
        <v>5.5736904643903322E-4</v>
      </c>
      <c r="V377" s="34">
        <v>5.5556753582094206E-4</v>
      </c>
      <c r="W377" s="34">
        <v>-1.8015106180911634E-6</v>
      </c>
      <c r="X377" s="35">
        <v>-3.8835705745918907</v>
      </c>
      <c r="Y377" s="36">
        <v>-180967.87393252054</v>
      </c>
      <c r="Z377" s="37">
        <v>5.7292712314990974E-4</v>
      </c>
      <c r="AA377" s="38">
        <v>5.7068181288943032E-4</v>
      </c>
      <c r="AB377" s="38">
        <v>-2.2453102604794205E-6</v>
      </c>
      <c r="AC377" s="39">
        <v>-4.29578649342452E-2</v>
      </c>
      <c r="AD377" s="40">
        <v>-2001.7644424158991</v>
      </c>
      <c r="AE377" s="37">
        <v>5.4144074141890188E-4</v>
      </c>
      <c r="AF377" s="38">
        <v>5.4007198207207529E-4</v>
      </c>
      <c r="AG377" s="38">
        <v>-1.3687593468265924E-6</v>
      </c>
      <c r="AH377" s="39">
        <v>-1.9184082495051082E-2</v>
      </c>
      <c r="AI377" s="40">
        <v>-893.94606221114077</v>
      </c>
      <c r="AJ377" s="39">
        <v>-3.9457125220211866</v>
      </c>
      <c r="AK377" s="28">
        <v>-183863.5844371476</v>
      </c>
      <c r="AL377" s="41">
        <f t="shared" si="5"/>
        <v>-41.973686348815548</v>
      </c>
      <c r="AM377" s="28">
        <v>3541017.5</v>
      </c>
      <c r="AN377" s="42">
        <v>-5.1923941194062892E-2</v>
      </c>
      <c r="AP377" s="30"/>
      <c r="AR377" s="30"/>
    </row>
    <row r="378" spans="1:44" x14ac:dyDescent="0.2">
      <c r="A378" s="3" t="s">
        <v>1094</v>
      </c>
      <c r="B378" s="3" t="s">
        <v>328</v>
      </c>
      <c r="C378" s="3" t="s">
        <v>1914</v>
      </c>
      <c r="D378" s="27"/>
      <c r="E378" s="3" t="s">
        <v>638</v>
      </c>
      <c r="F378" s="133" t="s">
        <v>1063</v>
      </c>
      <c r="G378" s="3" t="s">
        <v>880</v>
      </c>
      <c r="H378" s="29">
        <v>47.96</v>
      </c>
      <c r="I378" s="30">
        <v>103.104</v>
      </c>
      <c r="J378" s="30">
        <v>102.089</v>
      </c>
      <c r="K378" s="31">
        <v>0.69</v>
      </c>
      <c r="L378" s="31">
        <v>0.69</v>
      </c>
      <c r="M378" s="4">
        <v>0</v>
      </c>
      <c r="N378" s="4">
        <v>0</v>
      </c>
      <c r="O378" s="4">
        <v>1</v>
      </c>
      <c r="P378" s="4">
        <v>1</v>
      </c>
      <c r="Q378" s="32">
        <v>71.141759999999991</v>
      </c>
      <c r="R378" s="32">
        <v>70.441409999999991</v>
      </c>
      <c r="S378" s="32">
        <v>3411.9588095999998</v>
      </c>
      <c r="T378" s="32">
        <v>3378.3700235999995</v>
      </c>
      <c r="U378" s="33">
        <v>1.8043228757541556E-4</v>
      </c>
      <c r="V378" s="34">
        <v>1.7932107183173335E-4</v>
      </c>
      <c r="W378" s="34">
        <v>-1.1112157436822068E-6</v>
      </c>
      <c r="X378" s="35">
        <v>-2.3954811705523253</v>
      </c>
      <c r="Y378" s="36">
        <v>-49947.480620357077</v>
      </c>
      <c r="Z378" s="37">
        <v>0</v>
      </c>
      <c r="AA378" s="38">
        <v>0</v>
      </c>
      <c r="AB378" s="38">
        <v>0</v>
      </c>
      <c r="AC378" s="39">
        <v>0</v>
      </c>
      <c r="AD378" s="40">
        <v>0</v>
      </c>
      <c r="AE378" s="37">
        <v>3.6515823830762497E-4</v>
      </c>
      <c r="AF378" s="38">
        <v>3.631657436133716E-4</v>
      </c>
      <c r="AG378" s="38">
        <v>-1.9924946942533658E-6</v>
      </c>
      <c r="AH378" s="39">
        <v>-2.7926152741261069E-2</v>
      </c>
      <c r="AI378" s="40">
        <v>-582.28008217808735</v>
      </c>
      <c r="AJ378" s="39">
        <v>-2.4234073232935862</v>
      </c>
      <c r="AK378" s="28">
        <v>-50529.760702535161</v>
      </c>
      <c r="AL378" s="41">
        <f t="shared" si="5"/>
        <v>-11.584818011699403</v>
      </c>
      <c r="AM378" s="28">
        <v>942759.25</v>
      </c>
      <c r="AN378" s="42">
        <v>-5.3597735267551246E-2</v>
      </c>
      <c r="AP378" s="30"/>
      <c r="AR378" s="30"/>
    </row>
    <row r="379" spans="1:44" x14ac:dyDescent="0.2">
      <c r="A379" s="3" t="s">
        <v>757</v>
      </c>
      <c r="B379" s="3" t="s">
        <v>1032</v>
      </c>
      <c r="C379" s="3" t="s">
        <v>1915</v>
      </c>
      <c r="D379" s="27"/>
      <c r="E379" s="3" t="s">
        <v>956</v>
      </c>
      <c r="F379" s="133" t="s">
        <v>1069</v>
      </c>
      <c r="G379" s="3" t="s">
        <v>880</v>
      </c>
      <c r="H379" s="29">
        <v>9.86</v>
      </c>
      <c r="I379" s="30">
        <v>1266.713</v>
      </c>
      <c r="J379" s="30">
        <v>1255.1980000000001</v>
      </c>
      <c r="K379" s="31">
        <v>1</v>
      </c>
      <c r="L379" s="31">
        <v>1</v>
      </c>
      <c r="M379" s="4">
        <v>0</v>
      </c>
      <c r="N379" s="4">
        <v>0</v>
      </c>
      <c r="O379" s="4">
        <v>1</v>
      </c>
      <c r="P379" s="4">
        <v>1</v>
      </c>
      <c r="Q379" s="32">
        <v>1266.713</v>
      </c>
      <c r="R379" s="32">
        <v>1255.1980000000001</v>
      </c>
      <c r="S379" s="32">
        <v>12489.790179999998</v>
      </c>
      <c r="T379" s="32">
        <v>12376.252280000001</v>
      </c>
      <c r="U379" s="33">
        <v>6.6048904435002734E-4</v>
      </c>
      <c r="V379" s="34">
        <v>6.5692118051196126E-4</v>
      </c>
      <c r="W379" s="34">
        <v>-3.5678638380660758E-6</v>
      </c>
      <c r="X379" s="35">
        <v>-7.6913512895890843</v>
      </c>
      <c r="Y379" s="36">
        <v>-780055.91172303085</v>
      </c>
      <c r="Z379" s="37">
        <v>0</v>
      </c>
      <c r="AA379" s="38">
        <v>0</v>
      </c>
      <c r="AB379" s="38">
        <v>0</v>
      </c>
      <c r="AC379" s="39">
        <v>0</v>
      </c>
      <c r="AD379" s="40">
        <v>0</v>
      </c>
      <c r="AE379" s="37">
        <v>1.3366954390329677E-3</v>
      </c>
      <c r="AF379" s="38">
        <v>1.3304140254072573E-3</v>
      </c>
      <c r="AG379" s="38">
        <v>-6.2814136257104136E-6</v>
      </c>
      <c r="AH379" s="39">
        <v>-8.8038235107250742E-2</v>
      </c>
      <c r="AI379" s="40">
        <v>-8928.8270899848631</v>
      </c>
      <c r="AJ379" s="39">
        <v>-7.7793895246963354</v>
      </c>
      <c r="AK379" s="28">
        <v>-788984.73881301575</v>
      </c>
      <c r="AL379" s="41">
        <f t="shared" si="5"/>
        <v>-180.92615811694097</v>
      </c>
      <c r="AM379" s="28">
        <v>14568722</v>
      </c>
      <c r="AN379" s="42">
        <v>-5.4156070711831539E-2</v>
      </c>
      <c r="AP379" s="30"/>
      <c r="AR379" s="30"/>
    </row>
    <row r="380" spans="1:44" x14ac:dyDescent="0.2">
      <c r="A380" s="3" t="s">
        <v>1301</v>
      </c>
      <c r="B380" s="3" t="s">
        <v>1293</v>
      </c>
      <c r="C380" s="3" t="s">
        <v>1916</v>
      </c>
      <c r="D380" s="27"/>
      <c r="E380" s="3" t="s">
        <v>1298</v>
      </c>
      <c r="F380" s="133" t="s">
        <v>1051</v>
      </c>
      <c r="G380" s="3" t="s">
        <v>880</v>
      </c>
      <c r="H380" s="29">
        <v>63.4</v>
      </c>
      <c r="I380" s="30">
        <v>357.61599999999999</v>
      </c>
      <c r="J380" s="30">
        <v>355.55</v>
      </c>
      <c r="K380" s="31">
        <v>1</v>
      </c>
      <c r="L380" s="31">
        <v>1</v>
      </c>
      <c r="M380" s="4">
        <v>0.42</v>
      </c>
      <c r="N380" s="4">
        <v>0.42</v>
      </c>
      <c r="O380" s="4">
        <v>0.57999999999999996</v>
      </c>
      <c r="P380" s="4">
        <v>0.57999999999999996</v>
      </c>
      <c r="Q380" s="32">
        <v>357.61599999999999</v>
      </c>
      <c r="R380" s="32">
        <v>355.55</v>
      </c>
      <c r="S380" s="32">
        <v>22672.8544</v>
      </c>
      <c r="T380" s="32">
        <v>22541.87</v>
      </c>
      <c r="U380" s="33">
        <v>1.1989930751057113E-3</v>
      </c>
      <c r="V380" s="34">
        <v>1.1965037166604333E-3</v>
      </c>
      <c r="W380" s="34">
        <v>-2.4893584452780667E-6</v>
      </c>
      <c r="X380" s="35">
        <v>-5.3663848054014078</v>
      </c>
      <c r="Y380" s="36">
        <v>-84643.293460590037</v>
      </c>
      <c r="Z380" s="37">
        <v>9.9544932843248566E-4</v>
      </c>
      <c r="AA380" s="38">
        <v>9.9269805466850733E-4</v>
      </c>
      <c r="AB380" s="38">
        <v>-2.7512737639783392E-6</v>
      </c>
      <c r="AC380" s="39">
        <v>-5.2638091416763989E-2</v>
      </c>
      <c r="AD380" s="40">
        <v>-830.25380783539413</v>
      </c>
      <c r="AE380" s="37">
        <v>1.4073804575695733E-3</v>
      </c>
      <c r="AF380" s="38">
        <v>1.405450633235323E-3</v>
      </c>
      <c r="AG380" s="38">
        <v>-1.929824334250289E-6</v>
      </c>
      <c r="AH380" s="39">
        <v>-2.704778551105293E-2</v>
      </c>
      <c r="AI380" s="40">
        <v>-426.62122257181278</v>
      </c>
      <c r="AJ380" s="39">
        <v>-5.4460706823292249</v>
      </c>
      <c r="AK380" s="28">
        <v>-85900.168490997254</v>
      </c>
      <c r="AL380" s="41">
        <f t="shared" si="5"/>
        <v>-19.632164394937437</v>
      </c>
      <c r="AM380" s="28">
        <v>1525890.75</v>
      </c>
      <c r="AN380" s="42">
        <v>-5.6295097464217049E-2</v>
      </c>
      <c r="AP380" s="30"/>
      <c r="AR380" s="30"/>
    </row>
    <row r="381" spans="1:44" x14ac:dyDescent="0.2">
      <c r="A381" s="3" t="s">
        <v>271</v>
      </c>
      <c r="B381" s="3" t="s">
        <v>550</v>
      </c>
      <c r="C381" s="3" t="s">
        <v>1917</v>
      </c>
      <c r="D381" s="27"/>
      <c r="E381" s="3" t="s">
        <v>113</v>
      </c>
      <c r="F381" s="133" t="s">
        <v>1063</v>
      </c>
      <c r="G381" s="3" t="s">
        <v>880</v>
      </c>
      <c r="H381" s="29">
        <v>78.569999999999993</v>
      </c>
      <c r="I381" s="30">
        <v>661.08299999999997</v>
      </c>
      <c r="J381" s="30">
        <v>656.64499999999998</v>
      </c>
      <c r="K381" s="31">
        <v>1</v>
      </c>
      <c r="L381" s="31">
        <v>1</v>
      </c>
      <c r="M381" s="4">
        <v>1</v>
      </c>
      <c r="N381" s="4">
        <v>1</v>
      </c>
      <c r="O381" s="4">
        <v>0</v>
      </c>
      <c r="P381" s="4">
        <v>0</v>
      </c>
      <c r="Q381" s="32">
        <v>661.08299999999997</v>
      </c>
      <c r="R381" s="32">
        <v>656.64499999999998</v>
      </c>
      <c r="S381" s="32">
        <v>51941.291309999993</v>
      </c>
      <c r="T381" s="32">
        <v>51592.597649999996</v>
      </c>
      <c r="U381" s="33">
        <v>2.7467758357209073E-3</v>
      </c>
      <c r="V381" s="34">
        <v>2.7384921854482938E-3</v>
      </c>
      <c r="W381" s="34">
        <v>-8.2836502726135221E-6</v>
      </c>
      <c r="X381" s="35">
        <v>-17.857313815346068</v>
      </c>
      <c r="Y381" s="36">
        <v>-227279.03545050364</v>
      </c>
      <c r="Z381" s="37">
        <v>5.4297072025999513E-3</v>
      </c>
      <c r="AA381" s="38">
        <v>5.4096022542822796E-3</v>
      </c>
      <c r="AB381" s="38">
        <v>-2.0104948317671741E-5</v>
      </c>
      <c r="AC381" s="39">
        <v>-0.38465314551055063</v>
      </c>
      <c r="AD381" s="40">
        <v>-4895.6745005797457</v>
      </c>
      <c r="AE381" s="37">
        <v>0</v>
      </c>
      <c r="AF381" s="38">
        <v>0</v>
      </c>
      <c r="AG381" s="38">
        <v>0</v>
      </c>
      <c r="AH381" s="39">
        <v>0</v>
      </c>
      <c r="AI381" s="40">
        <v>0</v>
      </c>
      <c r="AJ381" s="39">
        <v>-18.241966960856619</v>
      </c>
      <c r="AK381" s="28">
        <v>-232174.70995108338</v>
      </c>
      <c r="AL381" s="41">
        <f t="shared" si="5"/>
        <v>-52.715096554750687</v>
      </c>
      <c r="AM381" s="28">
        <v>4030791</v>
      </c>
      <c r="AN381" s="42">
        <v>-5.7600284894722492E-2</v>
      </c>
      <c r="AP381" s="30"/>
      <c r="AR381" s="30"/>
    </row>
    <row r="382" spans="1:44" x14ac:dyDescent="0.2">
      <c r="A382" s="3" t="s">
        <v>1237</v>
      </c>
      <c r="B382" s="3" t="s">
        <v>471</v>
      </c>
      <c r="C382" s="3" t="s">
        <v>1918</v>
      </c>
      <c r="D382" s="27"/>
      <c r="E382" s="3" t="s">
        <v>44</v>
      </c>
      <c r="F382" s="133" t="s">
        <v>1068</v>
      </c>
      <c r="G382" s="3" t="s">
        <v>880</v>
      </c>
      <c r="H382" s="29">
        <v>35.46</v>
      </c>
      <c r="I382" s="30">
        <v>332.74599999999998</v>
      </c>
      <c r="J382" s="30">
        <v>330.21499999999997</v>
      </c>
      <c r="K382" s="31">
        <v>1</v>
      </c>
      <c r="L382" s="31">
        <v>1</v>
      </c>
      <c r="M382" s="4">
        <v>1</v>
      </c>
      <c r="N382" s="4">
        <v>1</v>
      </c>
      <c r="O382" s="4">
        <v>0</v>
      </c>
      <c r="P382" s="4">
        <v>0</v>
      </c>
      <c r="Q382" s="32">
        <v>332.74599999999998</v>
      </c>
      <c r="R382" s="32">
        <v>330.21499999999997</v>
      </c>
      <c r="S382" s="32">
        <v>11799.17316</v>
      </c>
      <c r="T382" s="32">
        <v>11709.4239</v>
      </c>
      <c r="U382" s="33">
        <v>6.2396761612923217E-4</v>
      </c>
      <c r="V382" s="34">
        <v>6.2152648455086055E-4</v>
      </c>
      <c r="W382" s="34">
        <v>-2.4411315783716241E-6</v>
      </c>
      <c r="X382" s="35">
        <v>-5.2624206991997626</v>
      </c>
      <c r="Y382" s="36">
        <v>-148404.41904116646</v>
      </c>
      <c r="Z382" s="37">
        <v>1.2334320898803246E-3</v>
      </c>
      <c r="AA382" s="38">
        <v>1.227759965790108E-3</v>
      </c>
      <c r="AB382" s="38">
        <v>-5.6721240902165865E-6</v>
      </c>
      <c r="AC382" s="39">
        <v>-0.10852056610910227</v>
      </c>
      <c r="AD382" s="40">
        <v>-3060.3656545150102</v>
      </c>
      <c r="AE382" s="37">
        <v>0</v>
      </c>
      <c r="AF382" s="38">
        <v>0</v>
      </c>
      <c r="AG382" s="38">
        <v>0</v>
      </c>
      <c r="AH382" s="39">
        <v>0</v>
      </c>
      <c r="AI382" s="40">
        <v>0</v>
      </c>
      <c r="AJ382" s="39">
        <v>-5.3709412653088648</v>
      </c>
      <c r="AK382" s="28">
        <v>-151464.78469568148</v>
      </c>
      <c r="AL382" s="41">
        <f t="shared" si="5"/>
        <v>-34.420919040773043</v>
      </c>
      <c r="AM382" s="28">
        <v>2586681.25</v>
      </c>
      <c r="AN382" s="42">
        <v>-5.8555643334748525E-2</v>
      </c>
      <c r="AP382" s="30"/>
      <c r="AR382" s="30"/>
    </row>
    <row r="383" spans="1:44" x14ac:dyDescent="0.2">
      <c r="A383" s="3" t="s">
        <v>1075</v>
      </c>
      <c r="B383" s="3" t="s">
        <v>307</v>
      </c>
      <c r="C383" s="3" t="s">
        <v>1919</v>
      </c>
      <c r="D383" s="27"/>
      <c r="E383" s="3" t="s">
        <v>620</v>
      </c>
      <c r="F383" s="133" t="s">
        <v>1054</v>
      </c>
      <c r="G383" s="3" t="s">
        <v>880</v>
      </c>
      <c r="H383" s="29">
        <v>47.62</v>
      </c>
      <c r="I383" s="30">
        <v>327.77</v>
      </c>
      <c r="J383" s="30">
        <v>325.52199999999999</v>
      </c>
      <c r="K383" s="31">
        <v>1</v>
      </c>
      <c r="L383" s="31">
        <v>1</v>
      </c>
      <c r="M383" s="4">
        <v>0.37</v>
      </c>
      <c r="N383" s="4">
        <v>0.37</v>
      </c>
      <c r="O383" s="4">
        <v>0.63</v>
      </c>
      <c r="P383" s="4">
        <v>0.63</v>
      </c>
      <c r="Q383" s="32">
        <v>327.77</v>
      </c>
      <c r="R383" s="32">
        <v>325.52199999999999</v>
      </c>
      <c r="S383" s="32">
        <v>15608.407399999998</v>
      </c>
      <c r="T383" s="32">
        <v>15501.357639999998</v>
      </c>
      <c r="U383" s="33">
        <v>8.2540874897642962E-4</v>
      </c>
      <c r="V383" s="34">
        <v>8.227991745823484E-4</v>
      </c>
      <c r="W383" s="34">
        <v>-2.6095743940812233E-6</v>
      </c>
      <c r="X383" s="35">
        <v>-5.6255379387108659</v>
      </c>
      <c r="Y383" s="36">
        <v>-118133.9340342475</v>
      </c>
      <c r="Z383" s="37">
        <v>6.0370390452525941E-4</v>
      </c>
      <c r="AA383" s="38">
        <v>6.0138058034956375E-4</v>
      </c>
      <c r="AB383" s="38">
        <v>-2.3233241756956576E-6</v>
      </c>
      <c r="AC383" s="39">
        <v>-4.4450447626195842E-2</v>
      </c>
      <c r="AD383" s="40">
        <v>-933.44073133548602</v>
      </c>
      <c r="AE383" s="37">
        <v>1.0523894004081265E-3</v>
      </c>
      <c r="AF383" s="38">
        <v>1.0498033318030635E-3</v>
      </c>
      <c r="AG383" s="38">
        <v>-2.586068605062988E-6</v>
      </c>
      <c r="AH383" s="39">
        <v>-3.6245490175034603E-2</v>
      </c>
      <c r="AI383" s="40">
        <v>-761.14007087430923</v>
      </c>
      <c r="AJ383" s="39">
        <v>-5.7062338765120968</v>
      </c>
      <c r="AK383" s="28">
        <v>-119828.5148364573</v>
      </c>
      <c r="AL383" s="41">
        <f t="shared" si="5"/>
        <v>-27.399983138190084</v>
      </c>
      <c r="AM383" s="28">
        <v>1984013.25</v>
      </c>
      <c r="AN383" s="42">
        <v>-6.039703355633199E-2</v>
      </c>
      <c r="AP383" s="30"/>
      <c r="AR383" s="30"/>
    </row>
    <row r="384" spans="1:44" x14ac:dyDescent="0.2">
      <c r="A384" s="3" t="s">
        <v>1189</v>
      </c>
      <c r="B384" s="3" t="s">
        <v>425</v>
      </c>
      <c r="C384" s="3" t="s">
        <v>1920</v>
      </c>
      <c r="D384" s="27"/>
      <c r="E384" s="3" t="s">
        <v>1</v>
      </c>
      <c r="F384" s="133" t="s">
        <v>1070</v>
      </c>
      <c r="G384" s="3" t="s">
        <v>880</v>
      </c>
      <c r="H384" s="29">
        <v>85.31</v>
      </c>
      <c r="I384" s="30">
        <v>70.555000000000007</v>
      </c>
      <c r="J384" s="30">
        <v>69.783000000000001</v>
      </c>
      <c r="K384" s="31">
        <v>1</v>
      </c>
      <c r="L384" s="31">
        <v>1</v>
      </c>
      <c r="M384" s="4">
        <v>0.56999999999999995</v>
      </c>
      <c r="N384" s="4">
        <v>0.56999999999999995</v>
      </c>
      <c r="O384" s="4">
        <v>0.43</v>
      </c>
      <c r="P384" s="4">
        <v>0.43</v>
      </c>
      <c r="Q384" s="32">
        <v>70.555000000000007</v>
      </c>
      <c r="R384" s="32">
        <v>69.783000000000001</v>
      </c>
      <c r="S384" s="32">
        <v>6019.047050000001</v>
      </c>
      <c r="T384" s="32">
        <v>5953.1877300000006</v>
      </c>
      <c r="U384" s="33">
        <v>3.1830115451565998E-4</v>
      </c>
      <c r="V384" s="34">
        <v>3.1599025479795106E-4</v>
      </c>
      <c r="W384" s="34">
        <v>-2.3108997177089148E-6</v>
      </c>
      <c r="X384" s="35">
        <v>-4.9816759637177457</v>
      </c>
      <c r="Y384" s="36">
        <v>-58394.982577865965</v>
      </c>
      <c r="Z384" s="37">
        <v>3.5864622362425069E-4</v>
      </c>
      <c r="AA384" s="38">
        <v>3.557970748094898E-4</v>
      </c>
      <c r="AB384" s="38">
        <v>-2.8491488147608878E-6</v>
      </c>
      <c r="AC384" s="39">
        <v>-5.451066256470475E-2</v>
      </c>
      <c r="AD384" s="40">
        <v>-638.97154571216447</v>
      </c>
      <c r="AE384" s="37">
        <v>2.7699601257798965E-4</v>
      </c>
      <c r="AF384" s="38">
        <v>2.7517925760204269E-4</v>
      </c>
      <c r="AG384" s="38">
        <v>-1.8167549759469642E-6</v>
      </c>
      <c r="AH384" s="39">
        <v>-2.5463042435228456E-2</v>
      </c>
      <c r="AI384" s="40">
        <v>-298.47664324497072</v>
      </c>
      <c r="AJ384" s="39">
        <v>-5.0616496687176795</v>
      </c>
      <c r="AK384" s="28">
        <v>-59332.430766823098</v>
      </c>
      <c r="AL384" s="41">
        <f t="shared" si="5"/>
        <v>-13.544131506909592</v>
      </c>
      <c r="AM384" s="28">
        <v>960237.4375</v>
      </c>
      <c r="AN384" s="42">
        <v>-6.1789332981326398E-2</v>
      </c>
      <c r="AP384" s="30"/>
      <c r="AR384" s="30"/>
    </row>
    <row r="385" spans="1:44" x14ac:dyDescent="0.2">
      <c r="A385" s="3" t="s">
        <v>758</v>
      </c>
      <c r="B385" s="3" t="s">
        <v>1033</v>
      </c>
      <c r="C385" s="3" t="s">
        <v>1921</v>
      </c>
      <c r="D385" s="27"/>
      <c r="E385" s="3" t="s">
        <v>957</v>
      </c>
      <c r="F385" s="133" t="s">
        <v>1068</v>
      </c>
      <c r="G385" s="3" t="s">
        <v>880</v>
      </c>
      <c r="H385" s="29">
        <v>141.4</v>
      </c>
      <c r="I385" s="30">
        <v>296.98</v>
      </c>
      <c r="J385" s="30">
        <v>295.09500000000003</v>
      </c>
      <c r="K385" s="31">
        <v>1</v>
      </c>
      <c r="L385" s="31">
        <v>1</v>
      </c>
      <c r="M385" s="4">
        <v>0.56000000000000005</v>
      </c>
      <c r="N385" s="4">
        <v>0.56000000000000005</v>
      </c>
      <c r="O385" s="4">
        <v>0.44</v>
      </c>
      <c r="P385" s="4">
        <v>0.44</v>
      </c>
      <c r="Q385" s="32">
        <v>296.98</v>
      </c>
      <c r="R385" s="32">
        <v>295.09500000000003</v>
      </c>
      <c r="S385" s="32">
        <v>41992.972000000002</v>
      </c>
      <c r="T385" s="32">
        <v>41726.433000000005</v>
      </c>
      <c r="U385" s="33">
        <v>2.2206856597247865E-3</v>
      </c>
      <c r="V385" s="34">
        <v>2.214804369268502E-3</v>
      </c>
      <c r="W385" s="34">
        <v>-5.8812904562845734E-6</v>
      </c>
      <c r="X385" s="35">
        <v>-12.678474568668388</v>
      </c>
      <c r="Y385" s="36">
        <v>-89663.893696381812</v>
      </c>
      <c r="Z385" s="37">
        <v>2.4582627923716086E-3</v>
      </c>
      <c r="AA385" s="38">
        <v>2.450062860348665E-3</v>
      </c>
      <c r="AB385" s="38">
        <v>-8.1999320229435985E-6</v>
      </c>
      <c r="AC385" s="39">
        <v>-0.1568832506187319</v>
      </c>
      <c r="AD385" s="40">
        <v>-1109.4996507689668</v>
      </c>
      <c r="AE385" s="37">
        <v>1.9774550146437462E-3</v>
      </c>
      <c r="AF385" s="38">
        <v>1.9736111863665998E-3</v>
      </c>
      <c r="AG385" s="38">
        <v>-3.8438282771464244E-6</v>
      </c>
      <c r="AH385" s="39">
        <v>-5.387383760085418E-2</v>
      </c>
      <c r="AI385" s="40">
        <v>-381.00309477266035</v>
      </c>
      <c r="AJ385" s="39">
        <v>-12.889231656887974</v>
      </c>
      <c r="AK385" s="28">
        <v>-91154.39644192344</v>
      </c>
      <c r="AL385" s="41">
        <f t="shared" si="5"/>
        <v>-20.796642348955348</v>
      </c>
      <c r="AM385" s="28">
        <v>1404691.5</v>
      </c>
      <c r="AN385" s="42">
        <v>-6.4892822688770765E-2</v>
      </c>
      <c r="AP385" s="30"/>
      <c r="AR385" s="30"/>
    </row>
    <row r="386" spans="1:44" x14ac:dyDescent="0.2">
      <c r="A386" s="3" t="s">
        <v>1382</v>
      </c>
      <c r="B386" s="3" t="s">
        <v>1398</v>
      </c>
      <c r="C386" s="3" t="s">
        <v>1922</v>
      </c>
      <c r="D386" s="27"/>
      <c r="E386" s="3" t="s">
        <v>1383</v>
      </c>
      <c r="F386" s="133" t="s">
        <v>1054</v>
      </c>
      <c r="G386" s="3" t="s">
        <v>880</v>
      </c>
      <c r="H386" s="29">
        <v>74.2</v>
      </c>
      <c r="I386" s="30">
        <v>109.32599999999999</v>
      </c>
      <c r="J386" s="30">
        <v>107.71299999999999</v>
      </c>
      <c r="K386" s="31">
        <v>1</v>
      </c>
      <c r="L386" s="31">
        <v>1</v>
      </c>
      <c r="M386" s="4">
        <v>0</v>
      </c>
      <c r="N386" s="4">
        <v>0</v>
      </c>
      <c r="O386" s="4">
        <v>1</v>
      </c>
      <c r="P386" s="4">
        <v>1</v>
      </c>
      <c r="Q386" s="32">
        <v>109.32599999999999</v>
      </c>
      <c r="R386" s="32">
        <v>107.71299999999999</v>
      </c>
      <c r="S386" s="32">
        <v>8111.9892</v>
      </c>
      <c r="T386" s="32">
        <v>7992.3045999999995</v>
      </c>
      <c r="U386" s="33">
        <v>4.2898078488663158E-4</v>
      </c>
      <c r="V386" s="34">
        <v>4.2422488278844115E-4</v>
      </c>
      <c r="W386" s="34">
        <v>-4.7559020981904226E-6</v>
      </c>
      <c r="X386" s="35">
        <v>-10.252441067342913</v>
      </c>
      <c r="Y386" s="36">
        <v>-138173.06020677779</v>
      </c>
      <c r="Z386" s="37">
        <v>0</v>
      </c>
      <c r="AA386" s="38">
        <v>0</v>
      </c>
      <c r="AB386" s="38">
        <v>0</v>
      </c>
      <c r="AC386" s="39">
        <v>0</v>
      </c>
      <c r="AD386" s="40">
        <v>0</v>
      </c>
      <c r="AE386" s="37">
        <v>8.6816982582206147E-4</v>
      </c>
      <c r="AF386" s="38">
        <v>8.5915137269381337E-4</v>
      </c>
      <c r="AG386" s="38">
        <v>-9.0184531282480997E-6</v>
      </c>
      <c r="AH386" s="39">
        <v>-0.12639968391169767</v>
      </c>
      <c r="AI386" s="40">
        <v>-1703.4997831765183</v>
      </c>
      <c r="AJ386" s="39">
        <v>-10.378840751254611</v>
      </c>
      <c r="AK386" s="28">
        <v>-139876.55998995432</v>
      </c>
      <c r="AL386" s="41">
        <f t="shared" si="5"/>
        <v>-32.047857804517669</v>
      </c>
      <c r="AM386" s="28">
        <v>2156738.25</v>
      </c>
      <c r="AN386" s="42">
        <v>-6.4855603126598382E-2</v>
      </c>
      <c r="AP386" s="30"/>
      <c r="AR386" s="30"/>
    </row>
    <row r="387" spans="1:44" x14ac:dyDescent="0.2">
      <c r="A387" s="3" t="s">
        <v>243</v>
      </c>
      <c r="B387" s="3" t="s">
        <v>524</v>
      </c>
      <c r="C387" s="3" t="s">
        <v>1923</v>
      </c>
      <c r="D387" s="27"/>
      <c r="E387" s="3" t="s">
        <v>90</v>
      </c>
      <c r="F387" s="133" t="s">
        <v>1068</v>
      </c>
      <c r="G387" s="3" t="s">
        <v>880</v>
      </c>
      <c r="H387" s="29">
        <v>118.3</v>
      </c>
      <c r="I387" s="30">
        <v>130.26</v>
      </c>
      <c r="J387" s="30">
        <v>129.4</v>
      </c>
      <c r="K387" s="31">
        <v>1</v>
      </c>
      <c r="L387" s="31">
        <v>1</v>
      </c>
      <c r="M387" s="4">
        <v>0.48</v>
      </c>
      <c r="N387" s="4">
        <v>0.48</v>
      </c>
      <c r="O387" s="4">
        <v>0.52</v>
      </c>
      <c r="P387" s="4">
        <v>0.52</v>
      </c>
      <c r="Q387" s="32">
        <v>130.26</v>
      </c>
      <c r="R387" s="32">
        <v>129.4</v>
      </c>
      <c r="S387" s="32">
        <v>15409.757999999998</v>
      </c>
      <c r="T387" s="32">
        <v>15308.02</v>
      </c>
      <c r="U387" s="33">
        <v>8.1490370842124014E-4</v>
      </c>
      <c r="V387" s="34">
        <v>8.1253697340603274E-4</v>
      </c>
      <c r="W387" s="34">
        <v>-2.3667350152074005E-6</v>
      </c>
      <c r="X387" s="35">
        <v>-5.1020417923790617</v>
      </c>
      <c r="Y387" s="36">
        <v>-43127.994863728338</v>
      </c>
      <c r="Z387" s="37">
        <v>7.7321580785710093E-4</v>
      </c>
      <c r="AA387" s="38">
        <v>7.704388918336844E-4</v>
      </c>
      <c r="AB387" s="38">
        <v>-2.7769160234165317E-6</v>
      </c>
      <c r="AC387" s="39">
        <v>-5.3128685851280825E-2</v>
      </c>
      <c r="AD387" s="40">
        <v>-449.10131742418281</v>
      </c>
      <c r="AE387" s="37">
        <v>8.5758363654952368E-4</v>
      </c>
      <c r="AF387" s="38">
        <v>8.5569703212220701E-4</v>
      </c>
      <c r="AG387" s="38">
        <v>-1.8866044273166708E-6</v>
      </c>
      <c r="AH387" s="39">
        <v>-2.6442029457612804E-2</v>
      </c>
      <c r="AI387" s="40">
        <v>-223.51673252419951</v>
      </c>
      <c r="AJ387" s="39">
        <v>-5.1816125076879551</v>
      </c>
      <c r="AK387" s="28">
        <v>-43800.612913676719</v>
      </c>
      <c r="AL387" s="41">
        <f t="shared" si="5"/>
        <v>-10.003106573150466</v>
      </c>
      <c r="AM387" s="28">
        <v>668580.125</v>
      </c>
      <c r="AN387" s="42">
        <v>-6.5512885106593199E-2</v>
      </c>
      <c r="AP387" s="30"/>
      <c r="AR387" s="30"/>
    </row>
    <row r="388" spans="1:44" x14ac:dyDescent="0.2">
      <c r="A388" s="3" t="s">
        <v>240</v>
      </c>
      <c r="B388" s="3" t="s">
        <v>521</v>
      </c>
      <c r="C388" s="3" t="s">
        <v>1924</v>
      </c>
      <c r="D388" s="27"/>
      <c r="E388" s="3" t="s">
        <v>88</v>
      </c>
      <c r="F388" s="133" t="s">
        <v>1067</v>
      </c>
      <c r="G388" s="3" t="s">
        <v>880</v>
      </c>
      <c r="H388" s="29">
        <v>38.35</v>
      </c>
      <c r="I388" s="30">
        <v>131.31899999999999</v>
      </c>
      <c r="J388" s="30">
        <v>130.13999999999999</v>
      </c>
      <c r="K388" s="31">
        <v>1</v>
      </c>
      <c r="L388" s="31">
        <v>1</v>
      </c>
      <c r="M388" s="4">
        <v>0.56000000000000005</v>
      </c>
      <c r="N388" s="4">
        <v>0.56000000000000005</v>
      </c>
      <c r="O388" s="4">
        <v>0.44</v>
      </c>
      <c r="P388" s="4">
        <v>0.44</v>
      </c>
      <c r="Q388" s="32">
        <v>131.31899999999999</v>
      </c>
      <c r="R388" s="32">
        <v>130.13999999999999</v>
      </c>
      <c r="S388" s="32">
        <v>5036.0836499999996</v>
      </c>
      <c r="T388" s="32">
        <v>4990.8689999999997</v>
      </c>
      <c r="U388" s="33">
        <v>2.6631977233546272E-4</v>
      </c>
      <c r="V388" s="34">
        <v>2.6491117675087912E-4</v>
      </c>
      <c r="W388" s="34">
        <v>-1.4085955845836019E-6</v>
      </c>
      <c r="X388" s="35">
        <v>-3.0365518298111507</v>
      </c>
      <c r="Y388" s="36">
        <v>-79179.969486601054</v>
      </c>
      <c r="Z388" s="37">
        <v>2.9481164267358836E-4</v>
      </c>
      <c r="AA388" s="38">
        <v>2.9305027769245166E-4</v>
      </c>
      <c r="AB388" s="38">
        <v>-1.7613649811367023E-6</v>
      </c>
      <c r="AC388" s="39">
        <v>-3.3698896892505124E-2</v>
      </c>
      <c r="AD388" s="40">
        <v>-878.71960606271512</v>
      </c>
      <c r="AE388" s="37">
        <v>2.371498942217731E-4</v>
      </c>
      <c r="AF388" s="38">
        <v>2.3606223153774695E-4</v>
      </c>
      <c r="AG388" s="38">
        <v>-1.087662684026155E-6</v>
      </c>
      <c r="AH388" s="39">
        <v>-1.5244323777969363E-2</v>
      </c>
      <c r="AI388" s="40">
        <v>-397.50518325865352</v>
      </c>
      <c r="AJ388" s="39">
        <v>-3.085495050481625</v>
      </c>
      <c r="AK388" s="28">
        <v>-80456.194275922418</v>
      </c>
      <c r="AL388" s="41">
        <f t="shared" si="5"/>
        <v>-18.365001102784902</v>
      </c>
      <c r="AM388" s="28">
        <v>1153400.25</v>
      </c>
      <c r="AN388" s="42">
        <v>-6.975565878013501E-2</v>
      </c>
      <c r="AP388" s="30"/>
      <c r="AR388" s="30"/>
    </row>
    <row r="389" spans="1:44" x14ac:dyDescent="0.2">
      <c r="A389" s="3" t="s">
        <v>296</v>
      </c>
      <c r="B389" s="3" t="s">
        <v>574</v>
      </c>
      <c r="C389" s="3" t="s">
        <v>1925</v>
      </c>
      <c r="D389" s="27"/>
      <c r="E389" s="3" t="s">
        <v>138</v>
      </c>
      <c r="F389" s="133" t="s">
        <v>1065</v>
      </c>
      <c r="G389" s="3" t="s">
        <v>878</v>
      </c>
      <c r="H389" s="29">
        <v>90.72</v>
      </c>
      <c r="I389" s="30">
        <v>101.79</v>
      </c>
      <c r="J389" s="30">
        <v>101.791</v>
      </c>
      <c r="K389" s="31">
        <v>0.8</v>
      </c>
      <c r="L389" s="31">
        <v>0.78</v>
      </c>
      <c r="M389" s="4">
        <v>0.33</v>
      </c>
      <c r="N389" s="4">
        <v>0.33</v>
      </c>
      <c r="O389" s="4">
        <v>0.67</v>
      </c>
      <c r="P389" s="4">
        <v>0.67</v>
      </c>
      <c r="Q389" s="32">
        <v>81.432000000000016</v>
      </c>
      <c r="R389" s="32">
        <v>79.396979999999999</v>
      </c>
      <c r="S389" s="32">
        <v>7387.5110400000012</v>
      </c>
      <c r="T389" s="32">
        <v>7202.8940255999996</v>
      </c>
      <c r="U389" s="33">
        <v>3.9066870112423923E-4</v>
      </c>
      <c r="V389" s="34">
        <v>3.8232362587228255E-4</v>
      </c>
      <c r="W389" s="34">
        <v>-8.3450752519566729E-6</v>
      </c>
      <c r="X389" s="35">
        <v>-17.989729489129182</v>
      </c>
      <c r="Y389" s="36">
        <v>-198299.4873140342</v>
      </c>
      <c r="Z389" s="37">
        <v>2.5484478522194915E-4</v>
      </c>
      <c r="AA389" s="38">
        <v>2.4922918918427248E-4</v>
      </c>
      <c r="AB389" s="38">
        <v>-5.6155960376766726E-6</v>
      </c>
      <c r="AC389" s="39">
        <v>-0.10743905657843854</v>
      </c>
      <c r="AD389" s="40">
        <v>-1184.2929517023649</v>
      </c>
      <c r="AE389" s="37">
        <v>5.2972475552766883E-4</v>
      </c>
      <c r="AF389" s="38">
        <v>5.1877553740128305E-4</v>
      </c>
      <c r="AG389" s="38">
        <v>-1.0949218126385775E-5</v>
      </c>
      <c r="AH389" s="39">
        <v>-0.15346065345956289</v>
      </c>
      <c r="AI389" s="40">
        <v>-1691.5856862826599</v>
      </c>
      <c r="AJ389" s="39">
        <v>-18.250629199167186</v>
      </c>
      <c r="AK389" s="28">
        <v>-201175.36595201923</v>
      </c>
      <c r="AL389" s="41">
        <f t="shared" si="5"/>
        <v>-45.993580533270908</v>
      </c>
      <c r="AM389" s="28">
        <v>2691617.25</v>
      </c>
      <c r="AN389" s="42">
        <v>-7.4741446226063241E-2</v>
      </c>
      <c r="AP389" s="30"/>
      <c r="AR389" s="30"/>
    </row>
    <row r="390" spans="1:44" x14ac:dyDescent="0.2">
      <c r="A390" s="3" t="s">
        <v>1243</v>
      </c>
      <c r="B390" s="3" t="s">
        <v>476</v>
      </c>
      <c r="C390" s="3" t="s">
        <v>1926</v>
      </c>
      <c r="D390" s="27"/>
      <c r="E390" s="3" t="s">
        <v>50</v>
      </c>
      <c r="F390" s="133" t="s">
        <v>1059</v>
      </c>
      <c r="G390" s="3" t="s">
        <v>880</v>
      </c>
      <c r="H390" s="29">
        <v>67.92</v>
      </c>
      <c r="I390" s="30">
        <v>521.23299999999995</v>
      </c>
      <c r="J390" s="30">
        <v>518.23699999999997</v>
      </c>
      <c r="K390" s="31">
        <v>1</v>
      </c>
      <c r="L390" s="31">
        <v>1</v>
      </c>
      <c r="M390" s="4">
        <v>0.52</v>
      </c>
      <c r="N390" s="4">
        <v>0.52</v>
      </c>
      <c r="O390" s="4">
        <v>0.48</v>
      </c>
      <c r="P390" s="4">
        <v>0.48</v>
      </c>
      <c r="Q390" s="32">
        <v>521.23299999999995</v>
      </c>
      <c r="R390" s="32">
        <v>518.23699999999997</v>
      </c>
      <c r="S390" s="32">
        <v>35402.145359999995</v>
      </c>
      <c r="T390" s="32">
        <v>35198.657039999998</v>
      </c>
      <c r="U390" s="33">
        <v>1.8721474756405519E-3</v>
      </c>
      <c r="V390" s="34">
        <v>1.868315448976324E-3</v>
      </c>
      <c r="W390" s="34">
        <v>-3.8320266642279544E-6</v>
      </c>
      <c r="X390" s="35">
        <v>-8.2608150320067217</v>
      </c>
      <c r="Y390" s="36">
        <v>-121625.6630154111</v>
      </c>
      <c r="Z390" s="37">
        <v>1.9244055158495997E-3</v>
      </c>
      <c r="AA390" s="38">
        <v>1.9191431801277462E-3</v>
      </c>
      <c r="AB390" s="38">
        <v>-5.2623357218535474E-6</v>
      </c>
      <c r="AC390" s="39">
        <v>-0.10068038754241927</v>
      </c>
      <c r="AD390" s="40">
        <v>-1482.3378613430398</v>
      </c>
      <c r="AE390" s="37">
        <v>1.8186458751745969E-3</v>
      </c>
      <c r="AF390" s="38">
        <v>1.8162055242726214E-3</v>
      </c>
      <c r="AG390" s="38">
        <v>-2.440350901975483E-6</v>
      </c>
      <c r="AH390" s="39">
        <v>-3.4203158596805602E-2</v>
      </c>
      <c r="AI390" s="40">
        <v>-503.58007356898707</v>
      </c>
      <c r="AJ390" s="39">
        <v>-8.3956985781459466</v>
      </c>
      <c r="AK390" s="28">
        <v>-123611.58095032313</v>
      </c>
      <c r="AL390" s="41">
        <f t="shared" si="5"/>
        <v>-28.209854713103315</v>
      </c>
      <c r="AM390" s="28">
        <v>1622993</v>
      </c>
      <c r="AN390" s="42">
        <v>-7.616273203293121E-2</v>
      </c>
      <c r="AP390" s="30"/>
      <c r="AR390" s="30"/>
    </row>
    <row r="391" spans="1:44" x14ac:dyDescent="0.2">
      <c r="A391" s="3" t="s">
        <v>1216</v>
      </c>
      <c r="B391" s="3" t="s">
        <v>451</v>
      </c>
      <c r="C391" s="3" t="s">
        <v>1927</v>
      </c>
      <c r="D391" s="27"/>
      <c r="E391" s="3" t="s">
        <v>25</v>
      </c>
      <c r="F391" s="133" t="s">
        <v>1063</v>
      </c>
      <c r="G391" s="3" t="s">
        <v>878</v>
      </c>
      <c r="H391" s="29">
        <v>52.45</v>
      </c>
      <c r="I391" s="30">
        <v>173.435</v>
      </c>
      <c r="J391" s="30">
        <v>173.435</v>
      </c>
      <c r="K391" s="31">
        <v>0.74</v>
      </c>
      <c r="L391" s="31">
        <v>0.72</v>
      </c>
      <c r="M391" s="4">
        <v>0</v>
      </c>
      <c r="N391" s="4">
        <v>0</v>
      </c>
      <c r="O391" s="4">
        <v>1</v>
      </c>
      <c r="P391" s="4">
        <v>1</v>
      </c>
      <c r="Q391" s="32">
        <v>128.34190000000001</v>
      </c>
      <c r="R391" s="32">
        <v>124.8732</v>
      </c>
      <c r="S391" s="32">
        <v>6731.5326550000009</v>
      </c>
      <c r="T391" s="32">
        <v>6549.5993399999998</v>
      </c>
      <c r="U391" s="33">
        <v>3.5597904418214603E-4</v>
      </c>
      <c r="V391" s="34">
        <v>3.4764728715704248E-4</v>
      </c>
      <c r="W391" s="34">
        <v>-8.331757025103559E-6</v>
      </c>
      <c r="X391" s="35">
        <v>-17.961018987290846</v>
      </c>
      <c r="Y391" s="36">
        <v>-342440.78145454422</v>
      </c>
      <c r="Z391" s="37">
        <v>0</v>
      </c>
      <c r="AA391" s="38">
        <v>0</v>
      </c>
      <c r="AB391" s="38">
        <v>0</v>
      </c>
      <c r="AC391" s="39">
        <v>0</v>
      </c>
      <c r="AD391" s="40">
        <v>0</v>
      </c>
      <c r="AE391" s="37">
        <v>7.2042915597161667E-4</v>
      </c>
      <c r="AF391" s="38">
        <v>7.0406441510693853E-4</v>
      </c>
      <c r="AG391" s="38">
        <v>-1.636474086467814E-5</v>
      </c>
      <c r="AH391" s="39">
        <v>-0.22936284562073006</v>
      </c>
      <c r="AI391" s="40">
        <v>-4372.9808507288853</v>
      </c>
      <c r="AJ391" s="39">
        <v>-18.190381832911577</v>
      </c>
      <c r="AK391" s="28">
        <v>-346813.76230527309</v>
      </c>
      <c r="AL391" s="41">
        <f t="shared" si="5"/>
        <v>-79.425710439500079</v>
      </c>
      <c r="AM391" s="28">
        <v>4455603</v>
      </c>
      <c r="AN391" s="42">
        <v>-7.7837671422986546E-2</v>
      </c>
      <c r="AP391" s="30"/>
      <c r="AR391" s="30"/>
    </row>
    <row r="392" spans="1:44" x14ac:dyDescent="0.2">
      <c r="A392" s="3" t="s">
        <v>1156</v>
      </c>
      <c r="B392" s="3" t="s">
        <v>392</v>
      </c>
      <c r="C392" s="3" t="s">
        <v>1928</v>
      </c>
      <c r="D392" s="27"/>
      <c r="E392" s="3" t="s">
        <v>688</v>
      </c>
      <c r="F392" s="133" t="s">
        <v>1052</v>
      </c>
      <c r="G392" s="3" t="s">
        <v>880</v>
      </c>
      <c r="H392" s="29">
        <v>123.89</v>
      </c>
      <c r="I392" s="30">
        <v>293.30500000000001</v>
      </c>
      <c r="J392" s="30">
        <v>291.59500000000003</v>
      </c>
      <c r="K392" s="31">
        <v>0.9</v>
      </c>
      <c r="L392" s="31">
        <v>0.9</v>
      </c>
      <c r="M392" s="4">
        <v>1</v>
      </c>
      <c r="N392" s="4">
        <v>1</v>
      </c>
      <c r="O392" s="4">
        <v>0</v>
      </c>
      <c r="P392" s="4">
        <v>0</v>
      </c>
      <c r="Q392" s="32">
        <v>263.97450000000003</v>
      </c>
      <c r="R392" s="32">
        <v>262.43550000000005</v>
      </c>
      <c r="S392" s="32">
        <v>32703.800805000006</v>
      </c>
      <c r="T392" s="32">
        <v>32513.134095000005</v>
      </c>
      <c r="U392" s="33">
        <v>1.7294527633376234E-3</v>
      </c>
      <c r="V392" s="34">
        <v>1.7257701239935534E-3</v>
      </c>
      <c r="W392" s="34">
        <v>-3.6826393440699511E-6</v>
      </c>
      <c r="X392" s="35">
        <v>-7.9387762968714943</v>
      </c>
      <c r="Y392" s="36">
        <v>-64079.233972649068</v>
      </c>
      <c r="Z392" s="37">
        <v>3.4187071269272734E-3</v>
      </c>
      <c r="AA392" s="38">
        <v>3.4090767184717262E-3</v>
      </c>
      <c r="AB392" s="38">
        <v>-9.630408455547218E-6</v>
      </c>
      <c r="AC392" s="39">
        <v>-0.184251500995981</v>
      </c>
      <c r="AD392" s="40">
        <v>-1487.218508321745</v>
      </c>
      <c r="AE392" s="37">
        <v>0</v>
      </c>
      <c r="AF392" s="38">
        <v>0</v>
      </c>
      <c r="AG392" s="38">
        <v>0</v>
      </c>
      <c r="AH392" s="39">
        <v>0</v>
      </c>
      <c r="AI392" s="40">
        <v>0</v>
      </c>
      <c r="AJ392" s="39">
        <v>-8.1230277978674756</v>
      </c>
      <c r="AK392" s="28">
        <v>-65566.452480970809</v>
      </c>
      <c r="AL392" s="41">
        <f t="shared" si="5"/>
        <v>-14.862536702195298</v>
      </c>
      <c r="AM392" s="28">
        <v>802350</v>
      </c>
      <c r="AN392" s="42">
        <v>-8.1718018920634142E-2</v>
      </c>
      <c r="AP392" s="30"/>
      <c r="AR392" s="30"/>
    </row>
    <row r="393" spans="1:44" x14ac:dyDescent="0.2">
      <c r="A393" s="3" t="s">
        <v>1168</v>
      </c>
      <c r="B393" s="3" t="s">
        <v>404</v>
      </c>
      <c r="C393" s="3" t="s">
        <v>1929</v>
      </c>
      <c r="D393" s="27"/>
      <c r="E393" s="3" t="s">
        <v>1346</v>
      </c>
      <c r="F393" s="133" t="s">
        <v>1068</v>
      </c>
      <c r="G393" s="3" t="s">
        <v>880</v>
      </c>
      <c r="H393" s="29">
        <v>67.709999999999994</v>
      </c>
      <c r="I393" s="30">
        <v>458</v>
      </c>
      <c r="J393" s="30">
        <v>454.7</v>
      </c>
      <c r="K393" s="31">
        <v>1</v>
      </c>
      <c r="L393" s="31">
        <v>1</v>
      </c>
      <c r="M393" s="4">
        <v>0</v>
      </c>
      <c r="N393" s="4">
        <v>0</v>
      </c>
      <c r="O393" s="4">
        <v>1</v>
      </c>
      <c r="P393" s="4">
        <v>1</v>
      </c>
      <c r="Q393" s="32">
        <v>458</v>
      </c>
      <c r="R393" s="32">
        <v>454.7</v>
      </c>
      <c r="S393" s="32">
        <v>31011.179999999997</v>
      </c>
      <c r="T393" s="32">
        <v>30787.736999999997</v>
      </c>
      <c r="U393" s="33">
        <v>1.6399430532600574E-3</v>
      </c>
      <c r="V393" s="34">
        <v>1.634187480810773E-3</v>
      </c>
      <c r="W393" s="34">
        <v>-5.7555724492844556E-6</v>
      </c>
      <c r="X393" s="35">
        <v>-12.407460483167567</v>
      </c>
      <c r="Y393" s="36">
        <v>-183244.13651111457</v>
      </c>
      <c r="Z393" s="37">
        <v>0</v>
      </c>
      <c r="AA393" s="38">
        <v>0</v>
      </c>
      <c r="AB393" s="38">
        <v>0</v>
      </c>
      <c r="AC393" s="39">
        <v>0</v>
      </c>
      <c r="AD393" s="40">
        <v>0</v>
      </c>
      <c r="AE393" s="37">
        <v>3.31891106797043E-3</v>
      </c>
      <c r="AF393" s="38">
        <v>3.3095993996132365E-3</v>
      </c>
      <c r="AG393" s="38">
        <v>-9.3116683571935026E-6</v>
      </c>
      <c r="AH393" s="39">
        <v>-0.13050929248089968</v>
      </c>
      <c r="AI393" s="40">
        <v>-1927.4744126554378</v>
      </c>
      <c r="AJ393" s="39">
        <v>-12.537969775648467</v>
      </c>
      <c r="AK393" s="28">
        <v>-185171.61092377</v>
      </c>
      <c r="AL393" s="41">
        <f t="shared" si="5"/>
        <v>-42.501642661973534</v>
      </c>
      <c r="AM393" s="28">
        <v>2236578.5</v>
      </c>
      <c r="AN393" s="42">
        <v>-8.2792359366671009E-2</v>
      </c>
      <c r="AP393" s="30"/>
      <c r="AR393" s="30"/>
    </row>
    <row r="394" spans="1:44" x14ac:dyDescent="0.2">
      <c r="A394" s="3" t="s">
        <v>931</v>
      </c>
      <c r="B394" s="3" t="s">
        <v>1010</v>
      </c>
      <c r="C394" s="3" t="s">
        <v>1930</v>
      </c>
      <c r="D394" s="27"/>
      <c r="E394" s="3" t="s">
        <v>815</v>
      </c>
      <c r="F394" s="133" t="s">
        <v>1054</v>
      </c>
      <c r="G394" s="3" t="s">
        <v>880</v>
      </c>
      <c r="H394" s="29">
        <v>119.92</v>
      </c>
      <c r="I394" s="30">
        <v>2750.6439999999998</v>
      </c>
      <c r="J394" s="30">
        <v>2735.877</v>
      </c>
      <c r="K394" s="31">
        <v>1</v>
      </c>
      <c r="L394" s="31">
        <v>1</v>
      </c>
      <c r="M394" s="4">
        <v>0.49</v>
      </c>
      <c r="N394" s="4">
        <v>0.49</v>
      </c>
      <c r="O394" s="4">
        <v>0.51</v>
      </c>
      <c r="P394" s="4">
        <v>0.51</v>
      </c>
      <c r="Q394" s="32">
        <v>2750.6439999999998</v>
      </c>
      <c r="R394" s="32">
        <v>2735.877</v>
      </c>
      <c r="S394" s="32">
        <v>329857.22847999999</v>
      </c>
      <c r="T394" s="32">
        <v>328086.36984</v>
      </c>
      <c r="U394" s="33">
        <v>1.7443614542026184E-2</v>
      </c>
      <c r="V394" s="34">
        <v>1.7414551716392185E-2</v>
      </c>
      <c r="W394" s="34">
        <v>-2.9062825633998507E-5</v>
      </c>
      <c r="X394" s="35">
        <v>-62.651606553550707</v>
      </c>
      <c r="Y394" s="36">
        <v>-522445.01795822807</v>
      </c>
      <c r="Z394" s="37">
        <v>1.6896072100381555E-2</v>
      </c>
      <c r="AA394" s="38">
        <v>1.6856298284954052E-2</v>
      </c>
      <c r="AB394" s="38">
        <v>-3.977381542750319E-5</v>
      </c>
      <c r="AC394" s="39">
        <v>-0.76096307095192217</v>
      </c>
      <c r="AD394" s="40">
        <v>-6345.5893174776693</v>
      </c>
      <c r="AE394" s="37">
        <v>1.8004186596275434E-2</v>
      </c>
      <c r="AF394" s="38">
        <v>1.7986887793939279E-2</v>
      </c>
      <c r="AG394" s="38">
        <v>-1.7298802336154773E-5</v>
      </c>
      <c r="AH394" s="39">
        <v>-0.2424543451350904</v>
      </c>
      <c r="AI394" s="40">
        <v>-2021.8007432879454</v>
      </c>
      <c r="AJ394" s="39">
        <v>-63.655023969637718</v>
      </c>
      <c r="AK394" s="28">
        <v>-530812.40801899368</v>
      </c>
      <c r="AL394" s="41">
        <f t="shared" si="5"/>
        <v>-121.1758907354841</v>
      </c>
      <c r="AM394" s="28">
        <v>6222101</v>
      </c>
      <c r="AN394" s="42">
        <v>-8.5310799040226717E-2</v>
      </c>
      <c r="AP394" s="30"/>
      <c r="AR394" s="30"/>
    </row>
    <row r="395" spans="1:44" x14ac:dyDescent="0.2">
      <c r="A395" s="3" t="s">
        <v>922</v>
      </c>
      <c r="B395" s="3" t="s">
        <v>418</v>
      </c>
      <c r="C395" s="3" t="s">
        <v>1931</v>
      </c>
      <c r="D395" s="27"/>
      <c r="E395" s="3" t="s">
        <v>808</v>
      </c>
      <c r="F395" s="133" t="s">
        <v>1054</v>
      </c>
      <c r="G395" s="3" t="s">
        <v>880</v>
      </c>
      <c r="H395" s="29">
        <v>78.17</v>
      </c>
      <c r="I395" s="30">
        <v>1331.8219999999999</v>
      </c>
      <c r="J395" s="30">
        <v>1319.6579999999999</v>
      </c>
      <c r="K395" s="31">
        <v>1</v>
      </c>
      <c r="L395" s="31">
        <v>1</v>
      </c>
      <c r="M395" s="4">
        <v>1</v>
      </c>
      <c r="N395" s="4">
        <v>1</v>
      </c>
      <c r="O395" s="4">
        <v>0</v>
      </c>
      <c r="P395" s="4">
        <v>0</v>
      </c>
      <c r="Q395" s="32">
        <v>1331.8219999999999</v>
      </c>
      <c r="R395" s="32">
        <v>1319.6579999999999</v>
      </c>
      <c r="S395" s="32">
        <v>104108.52574</v>
      </c>
      <c r="T395" s="32">
        <v>103157.66585999999</v>
      </c>
      <c r="U395" s="33">
        <v>5.5055000671518752E-3</v>
      </c>
      <c r="V395" s="34">
        <v>5.4755231311113539E-3</v>
      </c>
      <c r="W395" s="34">
        <v>-2.997693604052127E-5</v>
      </c>
      <c r="X395" s="35">
        <v>-64.622181825797242</v>
      </c>
      <c r="Y395" s="36">
        <v>-826687.75522319612</v>
      </c>
      <c r="Z395" s="37">
        <v>1.0883033475020868E-2</v>
      </c>
      <c r="AA395" s="38">
        <v>1.0816317983608142E-2</v>
      </c>
      <c r="AB395" s="38">
        <v>-6.671549141272666E-5</v>
      </c>
      <c r="AC395" s="39">
        <v>-1.2764182837332094</v>
      </c>
      <c r="AD395" s="40">
        <v>-16328.748672549689</v>
      </c>
      <c r="AE395" s="37">
        <v>0</v>
      </c>
      <c r="AF395" s="38">
        <v>0</v>
      </c>
      <c r="AG395" s="38">
        <v>0</v>
      </c>
      <c r="AH395" s="39">
        <v>0</v>
      </c>
      <c r="AI395" s="40">
        <v>0</v>
      </c>
      <c r="AJ395" s="39">
        <v>-65.898600109530449</v>
      </c>
      <c r="AK395" s="28">
        <v>-843016.50389574585</v>
      </c>
      <c r="AL395" s="41">
        <f t="shared" si="5"/>
        <v>-191.74194729769263</v>
      </c>
      <c r="AM395" s="28">
        <v>9749055</v>
      </c>
      <c r="AN395" s="42">
        <v>-8.6471612263521527E-2</v>
      </c>
      <c r="AP395" s="30"/>
      <c r="AR395" s="30"/>
    </row>
    <row r="396" spans="1:44" x14ac:dyDescent="0.2">
      <c r="A396" s="3" t="s">
        <v>1196</v>
      </c>
      <c r="B396" s="3" t="s">
        <v>431</v>
      </c>
      <c r="C396" s="3" t="s">
        <v>1932</v>
      </c>
      <c r="D396" s="27"/>
      <c r="E396" s="3" t="s">
        <v>7</v>
      </c>
      <c r="F396" s="133" t="s">
        <v>1074</v>
      </c>
      <c r="G396" s="3" t="s">
        <v>880</v>
      </c>
      <c r="H396" s="29">
        <v>52.33</v>
      </c>
      <c r="I396" s="30">
        <v>181.09</v>
      </c>
      <c r="J396" s="30">
        <v>178.797</v>
      </c>
      <c r="K396" s="31">
        <v>1</v>
      </c>
      <c r="L396" s="31">
        <v>1</v>
      </c>
      <c r="M396" s="4">
        <v>0</v>
      </c>
      <c r="N396" s="4">
        <v>0</v>
      </c>
      <c r="O396" s="4">
        <v>1</v>
      </c>
      <c r="P396" s="4">
        <v>1</v>
      </c>
      <c r="Q396" s="32">
        <v>181.09</v>
      </c>
      <c r="R396" s="32">
        <v>178.797</v>
      </c>
      <c r="S396" s="32">
        <v>9476.439699999999</v>
      </c>
      <c r="T396" s="32">
        <v>9356.4470099999999</v>
      </c>
      <c r="U396" s="33">
        <v>5.0113608884450132E-4</v>
      </c>
      <c r="V396" s="34">
        <v>4.9663242766467017E-4</v>
      </c>
      <c r="W396" s="34">
        <v>-4.5036611798311482E-6</v>
      </c>
      <c r="X396" s="35">
        <v>-9.7086777398272144</v>
      </c>
      <c r="Y396" s="36">
        <v>-185527.95222295463</v>
      </c>
      <c r="Z396" s="37">
        <v>0</v>
      </c>
      <c r="AA396" s="38">
        <v>0</v>
      </c>
      <c r="AB396" s="38">
        <v>0</v>
      </c>
      <c r="AC396" s="39">
        <v>0</v>
      </c>
      <c r="AD396" s="40">
        <v>0</v>
      </c>
      <c r="AE396" s="37">
        <v>1.014197479918029E-3</v>
      </c>
      <c r="AF396" s="38">
        <v>1.0057930339865207E-3</v>
      </c>
      <c r="AG396" s="38">
        <v>-8.4044459315083496E-6</v>
      </c>
      <c r="AH396" s="39">
        <v>-0.11779396023783208</v>
      </c>
      <c r="AI396" s="40">
        <v>-2250.9833792820959</v>
      </c>
      <c r="AJ396" s="39">
        <v>-9.8264717000650457</v>
      </c>
      <c r="AK396" s="28">
        <v>-187778.93560223671</v>
      </c>
      <c r="AL396" s="41">
        <f t="shared" si="5"/>
        <v>-43.031350848759303</v>
      </c>
      <c r="AM396" s="28">
        <v>1955737.125</v>
      </c>
      <c r="AN396" s="42">
        <v>-9.6014404595523906E-2</v>
      </c>
      <c r="AP396" s="30"/>
      <c r="AR396" s="30"/>
    </row>
    <row r="397" spans="1:44" x14ac:dyDescent="0.2">
      <c r="A397" s="3" t="s">
        <v>272</v>
      </c>
      <c r="B397" s="3" t="s">
        <v>551</v>
      </c>
      <c r="C397" s="3" t="s">
        <v>1933</v>
      </c>
      <c r="D397" s="27"/>
      <c r="E397" s="3" t="s">
        <v>114</v>
      </c>
      <c r="F397" s="133" t="s">
        <v>1059</v>
      </c>
      <c r="G397" s="3" t="s">
        <v>880</v>
      </c>
      <c r="H397" s="29">
        <v>64.010000000000005</v>
      </c>
      <c r="I397" s="30">
        <v>120.651</v>
      </c>
      <c r="J397" s="30">
        <v>119.76900000000001</v>
      </c>
      <c r="K397" s="31">
        <v>0.93</v>
      </c>
      <c r="L397" s="31">
        <v>0.93</v>
      </c>
      <c r="M397" s="4">
        <v>0.53</v>
      </c>
      <c r="N397" s="4">
        <v>0.53</v>
      </c>
      <c r="O397" s="4">
        <v>0.47</v>
      </c>
      <c r="P397" s="4">
        <v>0.47</v>
      </c>
      <c r="Q397" s="32">
        <v>112.20543000000001</v>
      </c>
      <c r="R397" s="32">
        <v>111.38517000000002</v>
      </c>
      <c r="S397" s="32">
        <v>7182.2695743000013</v>
      </c>
      <c r="T397" s="32">
        <v>7129.7647317000019</v>
      </c>
      <c r="U397" s="33">
        <v>3.7981505686060182E-4</v>
      </c>
      <c r="V397" s="34">
        <v>3.7844198375704987E-4</v>
      </c>
      <c r="W397" s="34">
        <v>-1.3730731035519546E-6</v>
      </c>
      <c r="X397" s="35">
        <v>-2.9599749500050372</v>
      </c>
      <c r="Y397" s="36">
        <v>-46242.383221450349</v>
      </c>
      <c r="Z397" s="37">
        <v>3.9792501347524434E-4</v>
      </c>
      <c r="AA397" s="38">
        <v>3.9621326226256634E-4</v>
      </c>
      <c r="AB397" s="38">
        <v>-1.7117512126779981E-6</v>
      </c>
      <c r="AC397" s="39">
        <v>-3.2749673258764253E-2</v>
      </c>
      <c r="AD397" s="40">
        <v>-511.63370190226919</v>
      </c>
      <c r="AE397" s="37">
        <v>3.6127414603852629E-4</v>
      </c>
      <c r="AF397" s="38">
        <v>3.6022240236255229E-4</v>
      </c>
      <c r="AG397" s="38">
        <v>-1.0517436759740063E-6</v>
      </c>
      <c r="AH397" s="39">
        <v>-1.4740894730919997E-2</v>
      </c>
      <c r="AI397" s="40">
        <v>-230.29049728042486</v>
      </c>
      <c r="AJ397" s="39">
        <v>-3.0074655179947216</v>
      </c>
      <c r="AK397" s="28">
        <v>-46984.307420633042</v>
      </c>
      <c r="AL397" s="41">
        <f t="shared" si="5"/>
        <v>-10.725457768723281</v>
      </c>
      <c r="AM397" s="28">
        <v>482369.15625</v>
      </c>
      <c r="AN397" s="42">
        <v>-9.7403216627479056E-2</v>
      </c>
      <c r="AP397" s="30"/>
      <c r="AR397" s="30"/>
    </row>
    <row r="398" spans="1:44" x14ac:dyDescent="0.2">
      <c r="A398" s="3" t="s">
        <v>1104</v>
      </c>
      <c r="B398" s="3" t="s">
        <v>338</v>
      </c>
      <c r="C398" s="3" t="s">
        <v>1934</v>
      </c>
      <c r="D398" s="27"/>
      <c r="E398" s="3" t="s">
        <v>648</v>
      </c>
      <c r="F398" s="133" t="s">
        <v>1063</v>
      </c>
      <c r="G398" s="3" t="s">
        <v>878</v>
      </c>
      <c r="H398" s="29">
        <v>39.020000000000003</v>
      </c>
      <c r="I398" s="30">
        <v>324.07799999999997</v>
      </c>
      <c r="J398" s="30">
        <v>322.75299999999999</v>
      </c>
      <c r="K398" s="31">
        <v>0.87</v>
      </c>
      <c r="L398" s="31">
        <v>0.85</v>
      </c>
      <c r="M398" s="4">
        <v>0</v>
      </c>
      <c r="N398" s="4">
        <v>0</v>
      </c>
      <c r="O398" s="4">
        <v>1</v>
      </c>
      <c r="P398" s="4">
        <v>1</v>
      </c>
      <c r="Q398" s="32">
        <v>281.94785999999999</v>
      </c>
      <c r="R398" s="32">
        <v>274.34004999999996</v>
      </c>
      <c r="S398" s="32">
        <v>11001.6054972</v>
      </c>
      <c r="T398" s="32">
        <v>10704.748750999999</v>
      </c>
      <c r="U398" s="33">
        <v>5.8179039010578773E-4</v>
      </c>
      <c r="V398" s="34">
        <v>5.68199163001456E-4</v>
      </c>
      <c r="W398" s="34">
        <v>-1.3591227104331732E-5</v>
      </c>
      <c r="X398" s="35">
        <v>-29.299016683512804</v>
      </c>
      <c r="Y398" s="36">
        <v>-750871.77558976936</v>
      </c>
      <c r="Z398" s="37">
        <v>0</v>
      </c>
      <c r="AA398" s="38">
        <v>0</v>
      </c>
      <c r="AB398" s="38">
        <v>0</v>
      </c>
      <c r="AC398" s="39">
        <v>0</v>
      </c>
      <c r="AD398" s="40">
        <v>0</v>
      </c>
      <c r="AE398" s="37">
        <v>1.1774253753034038E-3</v>
      </c>
      <c r="AF398" s="38">
        <v>1.1507318657204375E-3</v>
      </c>
      <c r="AG398" s="38">
        <v>-2.6693509582966261E-5</v>
      </c>
      <c r="AH398" s="39">
        <v>-0.37412748348299529</v>
      </c>
      <c r="AI398" s="40">
        <v>-9588.0954249870647</v>
      </c>
      <c r="AJ398" s="39">
        <v>-29.673144166995797</v>
      </c>
      <c r="AK398" s="28">
        <v>-760459.87101475638</v>
      </c>
      <c r="AL398" s="41">
        <f t="shared" si="5"/>
        <v>-174.1571899581206</v>
      </c>
      <c r="AM398" s="28">
        <v>7808858.5</v>
      </c>
      <c r="AN398" s="42">
        <v>-9.7384255459969774E-2</v>
      </c>
      <c r="AP398" s="30"/>
      <c r="AR398" s="30"/>
    </row>
    <row r="399" spans="1:44" x14ac:dyDescent="0.2">
      <c r="A399" s="3" t="s">
        <v>728</v>
      </c>
      <c r="B399" s="3" t="s">
        <v>158</v>
      </c>
      <c r="C399" s="3" t="s">
        <v>1935</v>
      </c>
      <c r="D399" s="27"/>
      <c r="E399" s="3" t="s">
        <v>597</v>
      </c>
      <c r="F399" s="133" t="s">
        <v>1063</v>
      </c>
      <c r="G399" s="3" t="s">
        <v>880</v>
      </c>
      <c r="H399" s="29">
        <v>59.48</v>
      </c>
      <c r="I399" s="30">
        <v>193.82900000000001</v>
      </c>
      <c r="J399" s="30">
        <v>191.47499999999999</v>
      </c>
      <c r="K399" s="31">
        <v>1</v>
      </c>
      <c r="L399" s="31">
        <v>1</v>
      </c>
      <c r="M399" s="4">
        <v>0.57999999999999996</v>
      </c>
      <c r="N399" s="4">
        <v>0.57999999999999996</v>
      </c>
      <c r="O399" s="4">
        <v>0.42</v>
      </c>
      <c r="P399" s="4">
        <v>0.42</v>
      </c>
      <c r="Q399" s="32">
        <v>193.82900000000001</v>
      </c>
      <c r="R399" s="32">
        <v>191.47499999999999</v>
      </c>
      <c r="S399" s="32">
        <v>11528.948920000001</v>
      </c>
      <c r="T399" s="32">
        <v>11388.932999999999</v>
      </c>
      <c r="U399" s="33">
        <v>6.0967753219142405E-4</v>
      </c>
      <c r="V399" s="34">
        <v>6.04515094058153E-4</v>
      </c>
      <c r="W399" s="34">
        <v>-5.1624381332710531E-6</v>
      </c>
      <c r="X399" s="35">
        <v>-11.128823014524142</v>
      </c>
      <c r="Y399" s="36">
        <v>-187101.93366718464</v>
      </c>
      <c r="Z399" s="37">
        <v>6.9900676202137239E-4</v>
      </c>
      <c r="AA399" s="38">
        <v>6.9261034050276224E-4</v>
      </c>
      <c r="AB399" s="38">
        <v>-6.3964215186101481E-6</v>
      </c>
      <c r="AC399" s="39">
        <v>-0.12237801452004402</v>
      </c>
      <c r="AD399" s="40">
        <v>-2057.4649381312038</v>
      </c>
      <c r="AE399" s="37">
        <v>5.1822257626167633E-4</v>
      </c>
      <c r="AF399" s="38">
        <v>5.1419753403749216E-4</v>
      </c>
      <c r="AG399" s="38">
        <v>-4.0250422241841673E-6</v>
      </c>
      <c r="AH399" s="39">
        <v>-5.641367290300997E-2</v>
      </c>
      <c r="AI399" s="40">
        <v>-948.44776232363779</v>
      </c>
      <c r="AJ399" s="39">
        <v>-11.307614701947196</v>
      </c>
      <c r="AK399" s="28">
        <v>-190107.84636763946</v>
      </c>
      <c r="AL399" s="41">
        <f t="shared" si="5"/>
        <v>-43.396420084659162</v>
      </c>
      <c r="AM399" s="28">
        <v>1945631.375</v>
      </c>
      <c r="AN399" s="42">
        <v>-9.7710105218486956E-2</v>
      </c>
      <c r="AP399" s="30"/>
      <c r="AR399" s="30"/>
    </row>
    <row r="400" spans="1:44" x14ac:dyDescent="0.2">
      <c r="A400" s="3" t="s">
        <v>909</v>
      </c>
      <c r="B400" s="3" t="s">
        <v>991</v>
      </c>
      <c r="C400" s="3" t="s">
        <v>1936</v>
      </c>
      <c r="D400" s="27"/>
      <c r="E400" s="3" t="s">
        <v>1459</v>
      </c>
      <c r="F400" s="133" t="s">
        <v>1073</v>
      </c>
      <c r="G400" s="3" t="s">
        <v>880</v>
      </c>
      <c r="H400" s="29">
        <v>93.08</v>
      </c>
      <c r="I400" s="30">
        <v>1074.0219999999999</v>
      </c>
      <c r="J400" s="30">
        <v>1066.2149999999999</v>
      </c>
      <c r="K400" s="31">
        <v>1</v>
      </c>
      <c r="L400" s="31">
        <v>1</v>
      </c>
      <c r="M400" s="4">
        <v>0.46</v>
      </c>
      <c r="N400" s="4">
        <v>0.46</v>
      </c>
      <c r="O400" s="4">
        <v>0.54</v>
      </c>
      <c r="P400" s="4">
        <v>0.54</v>
      </c>
      <c r="Q400" s="32">
        <v>1074.0219999999999</v>
      </c>
      <c r="R400" s="32">
        <v>1066.2149999999999</v>
      </c>
      <c r="S400" s="32">
        <v>99969.967759999985</v>
      </c>
      <c r="T400" s="32">
        <v>99243.292199999996</v>
      </c>
      <c r="U400" s="33">
        <v>5.2866435318696002E-3</v>
      </c>
      <c r="V400" s="34">
        <v>5.2677514319316625E-3</v>
      </c>
      <c r="W400" s="34">
        <v>-1.8892099937937654E-5</v>
      </c>
      <c r="X400" s="35">
        <v>-40.726267541494565</v>
      </c>
      <c r="Y400" s="36">
        <v>-437540.47638047452</v>
      </c>
      <c r="Z400" s="37">
        <v>4.807187394422755E-3</v>
      </c>
      <c r="AA400" s="38">
        <v>4.7867079845602019E-3</v>
      </c>
      <c r="AB400" s="38">
        <v>-2.0479409862553082E-5</v>
      </c>
      <c r="AC400" s="39">
        <v>-0.39181744202280494</v>
      </c>
      <c r="AD400" s="40">
        <v>-4209.4697252127735</v>
      </c>
      <c r="AE400" s="37">
        <v>5.7775090638340102E-3</v>
      </c>
      <c r="AF400" s="38">
        <v>5.7609298062930364E-3</v>
      </c>
      <c r="AG400" s="38">
        <v>-1.6579257540973863E-5</v>
      </c>
      <c r="AH400" s="39">
        <v>-0.23236944106364885</v>
      </c>
      <c r="AI400" s="40">
        <v>-2496.4486577529956</v>
      </c>
      <c r="AJ400" s="39">
        <v>-41.350454424581017</v>
      </c>
      <c r="AK400" s="28">
        <v>-444246.3947634403</v>
      </c>
      <c r="AL400" s="41">
        <f t="shared" si="5"/>
        <v>-101.48313245561697</v>
      </c>
      <c r="AM400" s="28">
        <v>4527796</v>
      </c>
      <c r="AN400" s="42">
        <v>-9.8115373299380165E-2</v>
      </c>
      <c r="AP400" s="30"/>
      <c r="AR400" s="30"/>
    </row>
    <row r="401" spans="1:44" x14ac:dyDescent="0.2">
      <c r="A401" s="3" t="s">
        <v>276</v>
      </c>
      <c r="B401" s="3" t="s">
        <v>555</v>
      </c>
      <c r="C401" s="3" t="s">
        <v>1937</v>
      </c>
      <c r="D401" s="27"/>
      <c r="E401" s="3" t="s">
        <v>118</v>
      </c>
      <c r="F401" s="133" t="s">
        <v>1057</v>
      </c>
      <c r="G401" s="3" t="s">
        <v>880</v>
      </c>
      <c r="H401" s="29">
        <v>76.03</v>
      </c>
      <c r="I401" s="30">
        <v>300.53699999999998</v>
      </c>
      <c r="J401" s="30">
        <v>297.44600000000003</v>
      </c>
      <c r="K401" s="31">
        <v>1</v>
      </c>
      <c r="L401" s="31">
        <v>1</v>
      </c>
      <c r="M401" s="4">
        <v>0</v>
      </c>
      <c r="N401" s="4">
        <v>0</v>
      </c>
      <c r="O401" s="4">
        <v>1</v>
      </c>
      <c r="P401" s="4">
        <v>1</v>
      </c>
      <c r="Q401" s="32">
        <v>300.53699999999998</v>
      </c>
      <c r="R401" s="32">
        <v>297.44600000000003</v>
      </c>
      <c r="S401" s="32">
        <v>22849.828109999999</v>
      </c>
      <c r="T401" s="32">
        <v>22614.819380000001</v>
      </c>
      <c r="U401" s="33">
        <v>1.2083518549497597E-3</v>
      </c>
      <c r="V401" s="34">
        <v>1.2003758090954476E-3</v>
      </c>
      <c r="W401" s="34">
        <v>-7.9760458543121342E-6</v>
      </c>
      <c r="X401" s="35">
        <v>-17.194201727338786</v>
      </c>
      <c r="Y401" s="36">
        <v>-226150.22658606849</v>
      </c>
      <c r="Z401" s="37">
        <v>0</v>
      </c>
      <c r="AA401" s="38">
        <v>0</v>
      </c>
      <c r="AB401" s="38">
        <v>0</v>
      </c>
      <c r="AC401" s="39">
        <v>0</v>
      </c>
      <c r="AD401" s="40">
        <v>0</v>
      </c>
      <c r="AE401" s="37">
        <v>2.4454582965079321E-3</v>
      </c>
      <c r="AF401" s="38">
        <v>2.4310326102373095E-3</v>
      </c>
      <c r="AG401" s="38">
        <v>-1.4425686270622563E-5</v>
      </c>
      <c r="AH401" s="39">
        <v>-0.20218569181278406</v>
      </c>
      <c r="AI401" s="40">
        <v>-2659.2883310901493</v>
      </c>
      <c r="AJ401" s="39">
        <v>-17.396387419151569</v>
      </c>
      <c r="AK401" s="28">
        <v>-228809.51491715864</v>
      </c>
      <c r="AL401" s="41">
        <f t="shared" si="5"/>
        <v>-52.453280641274063</v>
      </c>
      <c r="AM401" s="28">
        <v>2330736.75</v>
      </c>
      <c r="AN401" s="42">
        <v>-9.8170466877976953E-2</v>
      </c>
      <c r="AP401" s="30"/>
      <c r="AR401" s="30"/>
    </row>
    <row r="402" spans="1:44" x14ac:dyDescent="0.2">
      <c r="A402" s="3" t="s">
        <v>305</v>
      </c>
      <c r="B402" s="3" t="s">
        <v>585</v>
      </c>
      <c r="C402" s="3" t="s">
        <v>1938</v>
      </c>
      <c r="D402" s="27"/>
      <c r="E402" s="3" t="s">
        <v>201</v>
      </c>
      <c r="F402" s="133" t="s">
        <v>1056</v>
      </c>
      <c r="G402" s="3" t="s">
        <v>880</v>
      </c>
      <c r="H402" s="29">
        <v>75.22</v>
      </c>
      <c r="I402" s="30">
        <v>190.238</v>
      </c>
      <c r="J402" s="30">
        <v>187.49600000000001</v>
      </c>
      <c r="K402" s="31">
        <v>1</v>
      </c>
      <c r="L402" s="31">
        <v>1</v>
      </c>
      <c r="M402" s="4">
        <v>1</v>
      </c>
      <c r="N402" s="4">
        <v>1</v>
      </c>
      <c r="O402" s="4">
        <v>0</v>
      </c>
      <c r="P402" s="4">
        <v>0</v>
      </c>
      <c r="Q402" s="32">
        <v>190.238</v>
      </c>
      <c r="R402" s="32">
        <v>187.49600000000001</v>
      </c>
      <c r="S402" s="32">
        <v>14309.702359999999</v>
      </c>
      <c r="T402" s="32">
        <v>14103.449120000001</v>
      </c>
      <c r="U402" s="33">
        <v>7.5673021727973755E-4</v>
      </c>
      <c r="V402" s="34">
        <v>7.4859935266290329E-4</v>
      </c>
      <c r="W402" s="34">
        <v>-8.1308646168342562E-6</v>
      </c>
      <c r="X402" s="35">
        <v>-17.527949185992519</v>
      </c>
      <c r="Y402" s="36">
        <v>-233022.45660718586</v>
      </c>
      <c r="Z402" s="37">
        <v>1.4958714350675917E-3</v>
      </c>
      <c r="AA402" s="38">
        <v>1.4787790037299555E-3</v>
      </c>
      <c r="AB402" s="38">
        <v>-1.70924313376362E-5</v>
      </c>
      <c r="AC402" s="39">
        <v>-0.32701688035009352</v>
      </c>
      <c r="AD402" s="40">
        <v>-4347.4724853774733</v>
      </c>
      <c r="AE402" s="37">
        <v>0</v>
      </c>
      <c r="AF402" s="38">
        <v>0</v>
      </c>
      <c r="AG402" s="38">
        <v>0</v>
      </c>
      <c r="AH402" s="39">
        <v>0</v>
      </c>
      <c r="AI402" s="40">
        <v>0</v>
      </c>
      <c r="AJ402" s="39">
        <v>-17.854966066342612</v>
      </c>
      <c r="AK402" s="28">
        <v>-237369.92909256334</v>
      </c>
      <c r="AL402" s="41">
        <f t="shared" si="5"/>
        <v>-54.047225583849077</v>
      </c>
      <c r="AM402" s="28">
        <v>2304230.25</v>
      </c>
      <c r="AN402" s="42">
        <v>-0.10301484805720407</v>
      </c>
      <c r="AP402" s="30"/>
      <c r="AR402" s="30"/>
    </row>
    <row r="403" spans="1:44" x14ac:dyDescent="0.2">
      <c r="A403" s="3" t="s">
        <v>1129</v>
      </c>
      <c r="B403" s="3" t="s">
        <v>364</v>
      </c>
      <c r="C403" s="3" t="s">
        <v>1939</v>
      </c>
      <c r="D403" s="27"/>
      <c r="E403" s="3" t="s">
        <v>666</v>
      </c>
      <c r="F403" s="133" t="s">
        <v>1068</v>
      </c>
      <c r="G403" s="3" t="s">
        <v>880</v>
      </c>
      <c r="H403" s="29">
        <v>125.49</v>
      </c>
      <c r="I403" s="30">
        <v>170.36</v>
      </c>
      <c r="J403" s="30">
        <v>168.64099999999999</v>
      </c>
      <c r="K403" s="31">
        <v>0.93</v>
      </c>
      <c r="L403" s="31">
        <v>0.93</v>
      </c>
      <c r="M403" s="4">
        <v>0</v>
      </c>
      <c r="N403" s="4">
        <v>0</v>
      </c>
      <c r="O403" s="4">
        <v>1</v>
      </c>
      <c r="P403" s="4">
        <v>1</v>
      </c>
      <c r="Q403" s="32">
        <v>158.43480000000002</v>
      </c>
      <c r="R403" s="32">
        <v>156.83613</v>
      </c>
      <c r="S403" s="32">
        <v>19881.983052000003</v>
      </c>
      <c r="T403" s="32">
        <v>19681.365953699998</v>
      </c>
      <c r="U403" s="33">
        <v>1.0514053315985269E-3</v>
      </c>
      <c r="V403" s="34">
        <v>1.04467054031259E-3</v>
      </c>
      <c r="W403" s="34">
        <v>-6.7347912859369412E-6</v>
      </c>
      <c r="X403" s="35">
        <v>-14.518391954745081</v>
      </c>
      <c r="Y403" s="36">
        <v>-115693.61666065089</v>
      </c>
      <c r="Z403" s="37">
        <v>0</v>
      </c>
      <c r="AA403" s="38">
        <v>0</v>
      </c>
      <c r="AB403" s="38">
        <v>0</v>
      </c>
      <c r="AC403" s="39">
        <v>0</v>
      </c>
      <c r="AD403" s="40">
        <v>0</v>
      </c>
      <c r="AE403" s="37">
        <v>2.1278304664473693E-3</v>
      </c>
      <c r="AF403" s="38">
        <v>2.1156942111053472E-3</v>
      </c>
      <c r="AG403" s="38">
        <v>-1.2136255342022097E-5</v>
      </c>
      <c r="AH403" s="39">
        <v>-0.17009777810989629</v>
      </c>
      <c r="AI403" s="40">
        <v>-1355.4687872332163</v>
      </c>
      <c r="AJ403" s="39">
        <v>-14.688489732854977</v>
      </c>
      <c r="AK403" s="28">
        <v>-117049.08544788411</v>
      </c>
      <c r="AL403" s="41">
        <f t="shared" si="5"/>
        <v>-26.833975957992436</v>
      </c>
      <c r="AM403" s="28">
        <v>1121409</v>
      </c>
      <c r="AN403" s="42">
        <v>-0.10437680226205079</v>
      </c>
      <c r="AP403" s="30"/>
      <c r="AR403" s="30"/>
    </row>
    <row r="404" spans="1:44" x14ac:dyDescent="0.2">
      <c r="A404" s="3" t="s">
        <v>208</v>
      </c>
      <c r="B404" s="3" t="s">
        <v>488</v>
      </c>
      <c r="C404" s="3" t="s">
        <v>1940</v>
      </c>
      <c r="D404" s="27"/>
      <c r="E404" s="3" t="s">
        <v>60</v>
      </c>
      <c r="F404" s="133" t="s">
        <v>1061</v>
      </c>
      <c r="G404" s="3" t="s">
        <v>880</v>
      </c>
      <c r="H404" s="29">
        <v>69.89</v>
      </c>
      <c r="I404" s="30">
        <v>228.16399999999999</v>
      </c>
      <c r="J404" s="30">
        <v>226.59100000000001</v>
      </c>
      <c r="K404" s="31">
        <v>0.94</v>
      </c>
      <c r="L404" s="31">
        <v>0.94</v>
      </c>
      <c r="M404" s="4">
        <v>0.62</v>
      </c>
      <c r="N404" s="4">
        <v>0.62</v>
      </c>
      <c r="O404" s="4">
        <v>0.38</v>
      </c>
      <c r="P404" s="4">
        <v>0.38</v>
      </c>
      <c r="Q404" s="32">
        <v>214.47415999999998</v>
      </c>
      <c r="R404" s="32">
        <v>212.99554000000001</v>
      </c>
      <c r="S404" s="32">
        <v>14989.599042399999</v>
      </c>
      <c r="T404" s="32">
        <v>14886.258290600001</v>
      </c>
      <c r="U404" s="33">
        <v>7.926847292085464E-4</v>
      </c>
      <c r="V404" s="34">
        <v>7.9015021255424199E-4</v>
      </c>
      <c r="W404" s="34">
        <v>-2.5345166543044081E-6</v>
      </c>
      <c r="X404" s="35">
        <v>-5.4637337135981259</v>
      </c>
      <c r="Y404" s="36">
        <v>-78176.187059638367</v>
      </c>
      <c r="Z404" s="37">
        <v>9.7150574688811809E-4</v>
      </c>
      <c r="AA404" s="38">
        <v>9.6773217179011307E-4</v>
      </c>
      <c r="AB404" s="38">
        <v>-3.7735750980050177E-6</v>
      </c>
      <c r="AC404" s="39">
        <v>-7.2197028728100104E-2</v>
      </c>
      <c r="AD404" s="40">
        <v>-1033.0094252124782</v>
      </c>
      <c r="AE404" s="37">
        <v>6.09608391011852E-4</v>
      </c>
      <c r="AF404" s="38">
        <v>6.0808852467467112E-4</v>
      </c>
      <c r="AG404" s="38">
        <v>-1.5198663371808778E-6</v>
      </c>
      <c r="AH404" s="39">
        <v>-2.1301948557669287E-2</v>
      </c>
      <c r="AI404" s="40">
        <v>-304.79251048317769</v>
      </c>
      <c r="AJ404" s="39">
        <v>-5.5572326908838949</v>
      </c>
      <c r="AK404" s="28">
        <v>-79513.988995334032</v>
      </c>
      <c r="AL404" s="41">
        <f t="shared" ref="AL404:AL467" si="6">+$AL$6*W404/H404*10^6</f>
        <v>-18.132183819605153</v>
      </c>
      <c r="AM404" s="28">
        <v>757097.4375</v>
      </c>
      <c r="AN404" s="42">
        <v>-0.1050247762796503</v>
      </c>
      <c r="AP404" s="30"/>
      <c r="AR404" s="30"/>
    </row>
    <row r="405" spans="1:44" x14ac:dyDescent="0.2">
      <c r="A405" s="3" t="s">
        <v>1187</v>
      </c>
      <c r="B405" s="3" t="s">
        <v>1365</v>
      </c>
      <c r="C405" s="3" t="s">
        <v>1941</v>
      </c>
      <c r="D405" s="27"/>
      <c r="E405" s="3" t="s">
        <v>0</v>
      </c>
      <c r="F405" s="133" t="s">
        <v>1074</v>
      </c>
      <c r="G405" s="3" t="s">
        <v>880</v>
      </c>
      <c r="H405" s="29">
        <v>28.93</v>
      </c>
      <c r="I405" s="30">
        <v>265.94400000000002</v>
      </c>
      <c r="J405" s="30">
        <v>262.44799999999998</v>
      </c>
      <c r="K405" s="31">
        <v>1</v>
      </c>
      <c r="L405" s="31">
        <v>1</v>
      </c>
      <c r="M405" s="4">
        <v>0.47</v>
      </c>
      <c r="N405" s="4">
        <v>0.47</v>
      </c>
      <c r="O405" s="4">
        <v>0.53</v>
      </c>
      <c r="P405" s="4">
        <v>0.53</v>
      </c>
      <c r="Q405" s="32">
        <v>265.94400000000002</v>
      </c>
      <c r="R405" s="32">
        <v>262.44799999999998</v>
      </c>
      <c r="S405" s="32">
        <v>7693.7599200000004</v>
      </c>
      <c r="T405" s="32">
        <v>7592.6206399999992</v>
      </c>
      <c r="U405" s="33">
        <v>4.0686385149661046E-4</v>
      </c>
      <c r="V405" s="34">
        <v>4.0300999051776613E-4</v>
      </c>
      <c r="W405" s="34">
        <v>-3.8538609788443226E-6</v>
      </c>
      <c r="X405" s="35">
        <v>-8.3078839201436985</v>
      </c>
      <c r="Y405" s="36">
        <v>-287171.9294899308</v>
      </c>
      <c r="Z405" s="37">
        <v>3.7800727362718414E-4</v>
      </c>
      <c r="AA405" s="38">
        <v>3.7416873761783647E-4</v>
      </c>
      <c r="AB405" s="38">
        <v>-3.8385360093476785E-6</v>
      </c>
      <c r="AC405" s="39">
        <v>-7.3439877925639357E-2</v>
      </c>
      <c r="AD405" s="40">
        <v>-2538.5370869560788</v>
      </c>
      <c r="AE405" s="37">
        <v>4.3640711591695337E-4</v>
      </c>
      <c r="AF405" s="38">
        <v>4.3257880035699236E-4</v>
      </c>
      <c r="AG405" s="38">
        <v>-3.8283155599610195E-6</v>
      </c>
      <c r="AH405" s="39">
        <v>-5.3656416439934136E-2</v>
      </c>
      <c r="AI405" s="40">
        <v>-1854.6981140661644</v>
      </c>
      <c r="AJ405" s="39">
        <v>-8.434980214509272</v>
      </c>
      <c r="AK405" s="28">
        <v>-291565.16469095304</v>
      </c>
      <c r="AL405" s="41">
        <f t="shared" si="6"/>
        <v>-66.606653626759808</v>
      </c>
      <c r="AM405" s="28">
        <v>2742472.25</v>
      </c>
      <c r="AN405" s="42">
        <v>-0.10631471829512698</v>
      </c>
      <c r="AP405" s="30"/>
      <c r="AR405" s="30"/>
    </row>
    <row r="406" spans="1:44" x14ac:dyDescent="0.2">
      <c r="A406" s="3" t="s">
        <v>723</v>
      </c>
      <c r="B406" s="3" t="s">
        <v>153</v>
      </c>
      <c r="C406" s="3" t="s">
        <v>1942</v>
      </c>
      <c r="D406" s="27"/>
      <c r="E406" s="3" t="s">
        <v>594</v>
      </c>
      <c r="F406" s="133" t="s">
        <v>1051</v>
      </c>
      <c r="G406" s="3" t="s">
        <v>880</v>
      </c>
      <c r="H406" s="29">
        <v>124.81</v>
      </c>
      <c r="I406" s="30">
        <v>66.980999999999995</v>
      </c>
      <c r="J406" s="30">
        <v>66.204999999999998</v>
      </c>
      <c r="K406" s="31">
        <v>1</v>
      </c>
      <c r="L406" s="31">
        <v>1</v>
      </c>
      <c r="M406" s="4">
        <v>0.67</v>
      </c>
      <c r="N406" s="4">
        <v>0.67</v>
      </c>
      <c r="O406" s="4">
        <v>0.33</v>
      </c>
      <c r="P406" s="4">
        <v>0.33</v>
      </c>
      <c r="Q406" s="32">
        <v>66.980999999999995</v>
      </c>
      <c r="R406" s="32">
        <v>66.204999999999998</v>
      </c>
      <c r="S406" s="32">
        <v>8359.8986100000002</v>
      </c>
      <c r="T406" s="32">
        <v>8263.0460500000008</v>
      </c>
      <c r="U406" s="33">
        <v>4.4209080890917122E-4</v>
      </c>
      <c r="V406" s="34">
        <v>4.3859561384043623E-4</v>
      </c>
      <c r="W406" s="34">
        <v>-3.4951950687349886E-6</v>
      </c>
      <c r="X406" s="35">
        <v>-7.5346970398544686</v>
      </c>
      <c r="Y406" s="36">
        <v>-60369.337712158231</v>
      </c>
      <c r="Z406" s="37">
        <v>5.8551696288457113E-4</v>
      </c>
      <c r="AA406" s="38">
        <v>5.8048755762433026E-4</v>
      </c>
      <c r="AB406" s="38">
        <v>-5.0294052602408747E-6</v>
      </c>
      <c r="AC406" s="39">
        <v>-9.6223900844277135E-2</v>
      </c>
      <c r="AD406" s="40">
        <v>-770.96307062156177</v>
      </c>
      <c r="AE406" s="37">
        <v>2.9525160951202354E-4</v>
      </c>
      <c r="AF406" s="38">
        <v>2.93124267015749E-4</v>
      </c>
      <c r="AG406" s="38">
        <v>-2.1273424962745479E-6</v>
      </c>
      <c r="AH406" s="39">
        <v>-2.9816135347954027E-2</v>
      </c>
      <c r="AI406" s="40">
        <v>-238.89219892599974</v>
      </c>
      <c r="AJ406" s="39">
        <v>-7.6607370760467006</v>
      </c>
      <c r="AK406" s="28">
        <v>-61379.19298170579</v>
      </c>
      <c r="AL406" s="41">
        <f t="shared" si="6"/>
        <v>-14.002063411325169</v>
      </c>
      <c r="AM406" s="28">
        <v>574051.3125</v>
      </c>
      <c r="AN406" s="42">
        <v>-0.10692283363032254</v>
      </c>
      <c r="AP406" s="30"/>
      <c r="AR406" s="30"/>
    </row>
    <row r="407" spans="1:44" x14ac:dyDescent="0.2">
      <c r="A407" s="3" t="s">
        <v>903</v>
      </c>
      <c r="B407" s="3" t="s">
        <v>362</v>
      </c>
      <c r="C407" s="3" t="s">
        <v>1943</v>
      </c>
      <c r="D407" s="27"/>
      <c r="E407" s="3" t="s">
        <v>1478</v>
      </c>
      <c r="F407" s="133" t="s">
        <v>1072</v>
      </c>
      <c r="G407" s="3" t="s">
        <v>880</v>
      </c>
      <c r="H407" s="29">
        <v>65.66</v>
      </c>
      <c r="I407" s="30">
        <v>2417.7510000000002</v>
      </c>
      <c r="J407" s="30">
        <v>2402.3809999999999</v>
      </c>
      <c r="K407" s="31">
        <v>1</v>
      </c>
      <c r="L407" s="31">
        <v>1</v>
      </c>
      <c r="M407" s="4">
        <v>0.63</v>
      </c>
      <c r="N407" s="4">
        <v>0.63</v>
      </c>
      <c r="O407" s="4">
        <v>0.37</v>
      </c>
      <c r="P407" s="4">
        <v>0.37</v>
      </c>
      <c r="Q407" s="32">
        <v>2417.7510000000002</v>
      </c>
      <c r="R407" s="32">
        <v>2402.3809999999999</v>
      </c>
      <c r="S407" s="32">
        <v>158749.53066000002</v>
      </c>
      <c r="T407" s="32">
        <v>157740.33645999999</v>
      </c>
      <c r="U407" s="33">
        <v>8.3950430139763006E-3</v>
      </c>
      <c r="V407" s="34">
        <v>8.3727259025829382E-3</v>
      </c>
      <c r="W407" s="34">
        <v>-2.2317111393362413E-5</v>
      </c>
      <c r="X407" s="35">
        <v>-48.109667657127211</v>
      </c>
      <c r="Y407" s="36">
        <v>-732708.91954199225</v>
      </c>
      <c r="Z407" s="37">
        <v>1.0454822597312848E-2</v>
      </c>
      <c r="AA407" s="38">
        <v>1.0419844836293383E-2</v>
      </c>
      <c r="AB407" s="38">
        <v>-3.4977761019464731E-5</v>
      </c>
      <c r="AC407" s="39">
        <v>-0.66920369982883465</v>
      </c>
      <c r="AD407" s="40">
        <v>-10191.954002875947</v>
      </c>
      <c r="AE407" s="37">
        <v>6.2862478147157428E-3</v>
      </c>
      <c r="AF407" s="38">
        <v>6.2739658147605388E-3</v>
      </c>
      <c r="AG407" s="38">
        <v>-1.228199995520398E-5</v>
      </c>
      <c r="AH407" s="39">
        <v>-0.17214048685119029</v>
      </c>
      <c r="AI407" s="40">
        <v>-2621.6948956928159</v>
      </c>
      <c r="AJ407" s="39">
        <v>-48.951011843807237</v>
      </c>
      <c r="AK407" s="28">
        <v>-745522.56844056107</v>
      </c>
      <c r="AL407" s="41">
        <f t="shared" si="6"/>
        <v>-169.94449736035952</v>
      </c>
      <c r="AM407" s="28">
        <v>6928208</v>
      </c>
      <c r="AN407" s="42">
        <v>-0.10760683981204967</v>
      </c>
      <c r="AP407" s="30"/>
      <c r="AR407" s="30"/>
    </row>
    <row r="408" spans="1:44" x14ac:dyDescent="0.2">
      <c r="A408" s="3" t="s">
        <v>948</v>
      </c>
      <c r="B408" s="3" t="s">
        <v>1026</v>
      </c>
      <c r="C408" s="3" t="s">
        <v>1944</v>
      </c>
      <c r="D408" s="27"/>
      <c r="E408" s="3" t="s">
        <v>831</v>
      </c>
      <c r="F408" s="133" t="s">
        <v>1071</v>
      </c>
      <c r="G408" s="3" t="s">
        <v>880</v>
      </c>
      <c r="H408" s="29">
        <v>94.01</v>
      </c>
      <c r="I408" s="30">
        <v>295.738</v>
      </c>
      <c r="J408" s="30">
        <v>293.55</v>
      </c>
      <c r="K408" s="31">
        <v>1</v>
      </c>
      <c r="L408" s="31">
        <v>1</v>
      </c>
      <c r="M408" s="4">
        <v>0</v>
      </c>
      <c r="N408" s="4">
        <v>0</v>
      </c>
      <c r="O408" s="4">
        <v>1</v>
      </c>
      <c r="P408" s="4">
        <v>1</v>
      </c>
      <c r="Q408" s="32">
        <v>295.738</v>
      </c>
      <c r="R408" s="32">
        <v>293.55</v>
      </c>
      <c r="S408" s="32">
        <v>27802.329380000003</v>
      </c>
      <c r="T408" s="32">
        <v>27596.635500000004</v>
      </c>
      <c r="U408" s="33">
        <v>1.4702515973651763E-3</v>
      </c>
      <c r="V408" s="34">
        <v>1.4648064665031455E-3</v>
      </c>
      <c r="W408" s="34">
        <v>-5.4451308620308194E-6</v>
      </c>
      <c r="X408" s="35">
        <v>-11.738232224793343</v>
      </c>
      <c r="Y408" s="36">
        <v>-124861.52776080568</v>
      </c>
      <c r="Z408" s="37">
        <v>0</v>
      </c>
      <c r="AA408" s="38">
        <v>0</v>
      </c>
      <c r="AB408" s="38">
        <v>0</v>
      </c>
      <c r="AC408" s="39">
        <v>0</v>
      </c>
      <c r="AD408" s="40">
        <v>0</v>
      </c>
      <c r="AE408" s="37">
        <v>2.9754900875955535E-3</v>
      </c>
      <c r="AF408" s="38">
        <v>2.9665645215218432E-3</v>
      </c>
      <c r="AG408" s="38">
        <v>-8.9255660737103809E-6</v>
      </c>
      <c r="AH408" s="39">
        <v>-0.12509780939218826</v>
      </c>
      <c r="AI408" s="40">
        <v>-1330.6861971299675</v>
      </c>
      <c r="AJ408" s="39">
        <v>-11.863330034185532</v>
      </c>
      <c r="AK408" s="28">
        <v>-126192.21395793564</v>
      </c>
      <c r="AL408" s="41">
        <f t="shared" si="6"/>
        <v>-28.96038114046814</v>
      </c>
      <c r="AM408" s="28">
        <v>1179408.75</v>
      </c>
      <c r="AN408" s="42">
        <v>-0.1069961656278501</v>
      </c>
      <c r="AP408" s="30"/>
      <c r="AR408" s="30"/>
    </row>
    <row r="409" spans="1:44" x14ac:dyDescent="0.2">
      <c r="A409" s="3" t="s">
        <v>926</v>
      </c>
      <c r="B409" s="3" t="s">
        <v>1006</v>
      </c>
      <c r="C409" s="3" t="s">
        <v>1945</v>
      </c>
      <c r="D409" s="27"/>
      <c r="E409" s="3" t="s">
        <v>811</v>
      </c>
      <c r="F409" s="133" t="s">
        <v>1063</v>
      </c>
      <c r="G409" s="3" t="s">
        <v>880</v>
      </c>
      <c r="H409" s="29">
        <v>135.24</v>
      </c>
      <c r="I409" s="30">
        <v>1244.0070000000001</v>
      </c>
      <c r="J409" s="30">
        <v>1235.5740000000001</v>
      </c>
      <c r="K409" s="31">
        <v>1</v>
      </c>
      <c r="L409" s="31">
        <v>1</v>
      </c>
      <c r="M409" s="4">
        <v>1</v>
      </c>
      <c r="N409" s="4">
        <v>1</v>
      </c>
      <c r="O409" s="4">
        <v>0</v>
      </c>
      <c r="P409" s="4">
        <v>0</v>
      </c>
      <c r="Q409" s="32">
        <v>1244.0070000000001</v>
      </c>
      <c r="R409" s="32">
        <v>1235.5740000000001</v>
      </c>
      <c r="S409" s="32">
        <v>168239.50668000002</v>
      </c>
      <c r="T409" s="32">
        <v>167099.02776000003</v>
      </c>
      <c r="U409" s="33">
        <v>8.8968949347869083E-3</v>
      </c>
      <c r="V409" s="34">
        <v>8.8694774552947452E-3</v>
      </c>
      <c r="W409" s="34">
        <v>-2.7417479492163055E-5</v>
      </c>
      <c r="X409" s="35">
        <v>-59.104684433146581</v>
      </c>
      <c r="Y409" s="36">
        <v>-437035.5252377002</v>
      </c>
      <c r="Z409" s="37">
        <v>1.7586995589506819E-2</v>
      </c>
      <c r="AA409" s="38">
        <v>1.7520716506486535E-2</v>
      </c>
      <c r="AB409" s="38">
        <v>-6.6279083020284041E-5</v>
      </c>
      <c r="AC409" s="39">
        <v>-1.2680688038823855</v>
      </c>
      <c r="AD409" s="40">
        <v>-9376.4330366931772</v>
      </c>
      <c r="AE409" s="37">
        <v>0</v>
      </c>
      <c r="AF409" s="38">
        <v>0</v>
      </c>
      <c r="AG409" s="38">
        <v>0</v>
      </c>
      <c r="AH409" s="39">
        <v>0</v>
      </c>
      <c r="AI409" s="40">
        <v>0</v>
      </c>
      <c r="AJ409" s="39">
        <v>-60.372753237028967</v>
      </c>
      <c r="AK409" s="28">
        <v>-446411.9582743934</v>
      </c>
      <c r="AL409" s="41">
        <f t="shared" si="6"/>
        <v>-101.3660140940663</v>
      </c>
      <c r="AM409" s="28">
        <v>4004125.5</v>
      </c>
      <c r="AN409" s="42">
        <v>-0.11148800362885564</v>
      </c>
      <c r="AP409" s="30"/>
      <c r="AR409" s="30"/>
    </row>
    <row r="410" spans="1:44" x14ac:dyDescent="0.2">
      <c r="A410" s="3" t="s">
        <v>223</v>
      </c>
      <c r="B410" s="3" t="s">
        <v>503</v>
      </c>
      <c r="C410" s="3" t="s">
        <v>1946</v>
      </c>
      <c r="D410" s="27"/>
      <c r="E410" s="3" t="s">
        <v>73</v>
      </c>
      <c r="F410" s="133" t="s">
        <v>1059</v>
      </c>
      <c r="G410" s="3" t="s">
        <v>880</v>
      </c>
      <c r="H410" s="29">
        <v>49.13</v>
      </c>
      <c r="I410" s="30">
        <v>289.85300000000001</v>
      </c>
      <c r="J410" s="30">
        <v>287.59300000000002</v>
      </c>
      <c r="K410" s="31">
        <v>0.93</v>
      </c>
      <c r="L410" s="31">
        <v>0.93</v>
      </c>
      <c r="M410" s="4">
        <v>0</v>
      </c>
      <c r="N410" s="4">
        <v>0</v>
      </c>
      <c r="O410" s="4">
        <v>1</v>
      </c>
      <c r="P410" s="4">
        <v>1</v>
      </c>
      <c r="Q410" s="32">
        <v>269.56328999999999</v>
      </c>
      <c r="R410" s="32">
        <v>267.46149000000003</v>
      </c>
      <c r="S410" s="32">
        <v>13243.644437700001</v>
      </c>
      <c r="T410" s="32">
        <v>13140.383003700003</v>
      </c>
      <c r="U410" s="33">
        <v>7.0035460422506715E-4</v>
      </c>
      <c r="V410" s="34">
        <v>6.9748060397245841E-4</v>
      </c>
      <c r="W410" s="34">
        <v>-2.8740002526087384E-6</v>
      </c>
      <c r="X410" s="35">
        <v>-6.1955687079031962</v>
      </c>
      <c r="Y410" s="36">
        <v>-126105.61180344384</v>
      </c>
      <c r="Z410" s="37">
        <v>0</v>
      </c>
      <c r="AA410" s="38">
        <v>0</v>
      </c>
      <c r="AB410" s="38">
        <v>0</v>
      </c>
      <c r="AC410" s="39">
        <v>0</v>
      </c>
      <c r="AD410" s="40">
        <v>0</v>
      </c>
      <c r="AE410" s="37">
        <v>1.4173752209541062E-3</v>
      </c>
      <c r="AF410" s="38">
        <v>1.4125560348827687E-3</v>
      </c>
      <c r="AG410" s="38">
        <v>-4.8191860713374651E-6</v>
      </c>
      <c r="AH410" s="39">
        <v>-6.7544132842551272E-2</v>
      </c>
      <c r="AI410" s="40">
        <v>-1374.80425081521</v>
      </c>
      <c r="AJ410" s="39">
        <v>-6.2631128407457473</v>
      </c>
      <c r="AK410" s="28">
        <v>-127480.41605425905</v>
      </c>
      <c r="AL410" s="41">
        <f t="shared" si="6"/>
        <v>-29.248933977292271</v>
      </c>
      <c r="AM410" s="28">
        <v>1140937</v>
      </c>
      <c r="AN410" s="42">
        <v>-0.11173308960464869</v>
      </c>
      <c r="AP410" s="30"/>
      <c r="AR410" s="30"/>
    </row>
    <row r="411" spans="1:44" x14ac:dyDescent="0.2">
      <c r="A411" s="3" t="s">
        <v>891</v>
      </c>
      <c r="B411" s="3" t="s">
        <v>977</v>
      </c>
      <c r="C411" s="3" t="s">
        <v>1947</v>
      </c>
      <c r="D411" s="27"/>
      <c r="E411" s="3" t="s">
        <v>779</v>
      </c>
      <c r="F411" s="133" t="s">
        <v>1059</v>
      </c>
      <c r="G411" s="3" t="s">
        <v>880</v>
      </c>
      <c r="H411" s="29">
        <v>68.739999999999995</v>
      </c>
      <c r="I411" s="30">
        <v>374.36700000000002</v>
      </c>
      <c r="J411" s="30">
        <v>371.46100000000001</v>
      </c>
      <c r="K411" s="31">
        <v>1</v>
      </c>
      <c r="L411" s="31">
        <v>1</v>
      </c>
      <c r="M411" s="4">
        <v>0</v>
      </c>
      <c r="N411" s="4">
        <v>0</v>
      </c>
      <c r="O411" s="4">
        <v>1</v>
      </c>
      <c r="P411" s="4">
        <v>1</v>
      </c>
      <c r="Q411" s="32">
        <v>374.36700000000002</v>
      </c>
      <c r="R411" s="32">
        <v>371.46100000000001</v>
      </c>
      <c r="S411" s="32">
        <v>25733.987580000001</v>
      </c>
      <c r="T411" s="32">
        <v>25534.229139999999</v>
      </c>
      <c r="U411" s="33">
        <v>1.3608728905027672E-3</v>
      </c>
      <c r="V411" s="34">
        <v>1.35533565174802E-3</v>
      </c>
      <c r="W411" s="34">
        <v>-5.5372387547472125E-6</v>
      </c>
      <c r="X411" s="35">
        <v>-11.936791976952932</v>
      </c>
      <c r="Y411" s="36">
        <v>-173651.32349364174</v>
      </c>
      <c r="Z411" s="37">
        <v>0</v>
      </c>
      <c r="AA411" s="38">
        <v>0</v>
      </c>
      <c r="AB411" s="38">
        <v>0</v>
      </c>
      <c r="AC411" s="39">
        <v>0</v>
      </c>
      <c r="AD411" s="40">
        <v>0</v>
      </c>
      <c r="AE411" s="37">
        <v>2.7541298396989602E-3</v>
      </c>
      <c r="AF411" s="38">
        <v>2.744861352795459E-3</v>
      </c>
      <c r="AG411" s="38">
        <v>-9.268486903501235E-6</v>
      </c>
      <c r="AH411" s="39">
        <v>-0.12990407537549009</v>
      </c>
      <c r="AI411" s="40">
        <v>-1889.7887020001469</v>
      </c>
      <c r="AJ411" s="39">
        <v>-12.066696052328423</v>
      </c>
      <c r="AK411" s="28">
        <v>-175541.11219564188</v>
      </c>
      <c r="AL411" s="41">
        <f t="shared" si="6"/>
        <v>-40.276685734268348</v>
      </c>
      <c r="AM411" s="28">
        <v>1507032</v>
      </c>
      <c r="AN411" s="42">
        <v>-0.11648134359167017</v>
      </c>
      <c r="AP411" s="30"/>
      <c r="AR411" s="30"/>
    </row>
    <row r="412" spans="1:44" x14ac:dyDescent="0.2">
      <c r="A412" s="3" t="s">
        <v>912</v>
      </c>
      <c r="B412" s="3" t="s">
        <v>994</v>
      </c>
      <c r="C412" s="3" t="s">
        <v>1948</v>
      </c>
      <c r="D412" s="27"/>
      <c r="E412" s="3" t="s">
        <v>798</v>
      </c>
      <c r="F412" s="133" t="s">
        <v>1072</v>
      </c>
      <c r="G412" s="3" t="s">
        <v>880</v>
      </c>
      <c r="H412" s="29">
        <v>94.87</v>
      </c>
      <c r="I412" s="30">
        <v>1622.441</v>
      </c>
      <c r="J412" s="30">
        <v>1607.1010000000001</v>
      </c>
      <c r="K412" s="31">
        <v>0.92</v>
      </c>
      <c r="L412" s="31">
        <v>0.92</v>
      </c>
      <c r="M412" s="4">
        <v>1</v>
      </c>
      <c r="N412" s="4">
        <v>1</v>
      </c>
      <c r="O412" s="4">
        <v>0</v>
      </c>
      <c r="P412" s="4">
        <v>0</v>
      </c>
      <c r="Q412" s="32">
        <v>1492.64572</v>
      </c>
      <c r="R412" s="32">
        <v>1478.5329200000001</v>
      </c>
      <c r="S412" s="32">
        <v>141607.29945640001</v>
      </c>
      <c r="T412" s="32">
        <v>140268.41812040002</v>
      </c>
      <c r="U412" s="33">
        <v>7.4885221082990044E-3</v>
      </c>
      <c r="V412" s="34">
        <v>7.4453310045323792E-3</v>
      </c>
      <c r="W412" s="34">
        <v>-4.3191103766625216E-5</v>
      </c>
      <c r="X412" s="35">
        <v>-93.108360277076414</v>
      </c>
      <c r="Y412" s="36">
        <v>-981431.01377755264</v>
      </c>
      <c r="Z412" s="37">
        <v>1.4802985339933464E-2</v>
      </c>
      <c r="AA412" s="38">
        <v>1.4707465516978584E-2</v>
      </c>
      <c r="AB412" s="38">
        <v>-9.5519822954880096E-5</v>
      </c>
      <c r="AC412" s="39">
        <v>-1.8275103112754705</v>
      </c>
      <c r="AD412" s="40">
        <v>-19263.31096527322</v>
      </c>
      <c r="AE412" s="37">
        <v>0</v>
      </c>
      <c r="AF412" s="38">
        <v>0</v>
      </c>
      <c r="AG412" s="38">
        <v>0</v>
      </c>
      <c r="AH412" s="39">
        <v>0</v>
      </c>
      <c r="AI412" s="40">
        <v>0</v>
      </c>
      <c r="AJ412" s="39">
        <v>-94.935870588351889</v>
      </c>
      <c r="AK412" s="28">
        <v>-1000694.3247428258</v>
      </c>
      <c r="AL412" s="41">
        <f t="shared" si="6"/>
        <v>-227.63309669350278</v>
      </c>
      <c r="AM412" s="28">
        <v>8281446</v>
      </c>
      <c r="AN412" s="42">
        <v>-0.12083570003871616</v>
      </c>
      <c r="AP412" s="30"/>
      <c r="AR412" s="30"/>
    </row>
    <row r="413" spans="1:44" x14ac:dyDescent="0.2">
      <c r="A413" s="3" t="s">
        <v>1103</v>
      </c>
      <c r="B413" s="3" t="s">
        <v>337</v>
      </c>
      <c r="C413" s="3" t="s">
        <v>1949</v>
      </c>
      <c r="D413" s="27"/>
      <c r="E413" s="3" t="s">
        <v>647</v>
      </c>
      <c r="F413" s="133" t="s">
        <v>1069</v>
      </c>
      <c r="G413" s="3" t="s">
        <v>880</v>
      </c>
      <c r="H413" s="29">
        <v>38.090000000000003</v>
      </c>
      <c r="I413" s="30">
        <v>820.86599999999999</v>
      </c>
      <c r="J413" s="30">
        <v>814.5</v>
      </c>
      <c r="K413" s="31">
        <v>1</v>
      </c>
      <c r="L413" s="31">
        <v>1</v>
      </c>
      <c r="M413" s="4">
        <v>0</v>
      </c>
      <c r="N413" s="4">
        <v>0</v>
      </c>
      <c r="O413" s="4">
        <v>1</v>
      </c>
      <c r="P413" s="4">
        <v>1</v>
      </c>
      <c r="Q413" s="32">
        <v>820.86599999999999</v>
      </c>
      <c r="R413" s="32">
        <v>814.5</v>
      </c>
      <c r="S413" s="32">
        <v>31266.785940000002</v>
      </c>
      <c r="T413" s="32">
        <v>31024.305000000004</v>
      </c>
      <c r="U413" s="33">
        <v>1.6534600876223428E-3</v>
      </c>
      <c r="V413" s="34">
        <v>1.646744313551044E-3</v>
      </c>
      <c r="W413" s="34">
        <v>-6.7157740712988322E-6</v>
      </c>
      <c r="X413" s="35">
        <v>-14.477395973684747</v>
      </c>
      <c r="Y413" s="36">
        <v>-380083.90584627842</v>
      </c>
      <c r="Z413" s="37">
        <v>0</v>
      </c>
      <c r="AA413" s="38">
        <v>0</v>
      </c>
      <c r="AB413" s="38">
        <v>0</v>
      </c>
      <c r="AC413" s="39">
        <v>0</v>
      </c>
      <c r="AD413" s="40">
        <v>0</v>
      </c>
      <c r="AE413" s="37">
        <v>3.3462667952695846E-3</v>
      </c>
      <c r="AF413" s="38">
        <v>3.3350298270190481E-3</v>
      </c>
      <c r="AG413" s="38">
        <v>-1.1236968250536578E-5</v>
      </c>
      <c r="AH413" s="39">
        <v>-0.1574936649107494</v>
      </c>
      <c r="AI413" s="40">
        <v>-4134.7772357770909</v>
      </c>
      <c r="AJ413" s="39">
        <v>-14.634889638595496</v>
      </c>
      <c r="AK413" s="28">
        <v>-384218.68308205553</v>
      </c>
      <c r="AL413" s="41">
        <f t="shared" si="6"/>
        <v>-88.156656226028247</v>
      </c>
      <c r="AM413" s="28">
        <v>3052151.75</v>
      </c>
      <c r="AN413" s="42">
        <v>-0.12588452821261445</v>
      </c>
      <c r="AP413" s="30"/>
      <c r="AR413" s="30"/>
    </row>
    <row r="414" spans="1:44" x14ac:dyDescent="0.2">
      <c r="A414" s="3" t="s">
        <v>1553</v>
      </c>
      <c r="B414" s="3" t="s">
        <v>1517</v>
      </c>
      <c r="C414" s="132" t="s">
        <v>2060</v>
      </c>
      <c r="D414" s="27"/>
      <c r="E414" s="3" t="s">
        <v>2114</v>
      </c>
      <c r="F414" s="133" t="s">
        <v>1054</v>
      </c>
      <c r="G414" s="3" t="s">
        <v>880</v>
      </c>
      <c r="H414" s="29">
        <v>408.07</v>
      </c>
      <c r="I414" s="30">
        <v>26.76</v>
      </c>
      <c r="J414" s="30">
        <v>26.489609999999999</v>
      </c>
      <c r="K414" s="31">
        <v>1</v>
      </c>
      <c r="L414" s="31">
        <v>1</v>
      </c>
      <c r="M414" s="4">
        <v>1</v>
      </c>
      <c r="N414" s="4">
        <v>1</v>
      </c>
      <c r="O414" s="4">
        <v>0</v>
      </c>
      <c r="P414" s="4">
        <v>0</v>
      </c>
      <c r="Q414" s="32">
        <v>26.76</v>
      </c>
      <c r="R414" s="32">
        <v>26.489609999999999</v>
      </c>
      <c r="S414" s="32">
        <v>10919.9532</v>
      </c>
      <c r="T414" s="32">
        <v>10809.6151527</v>
      </c>
      <c r="U414" s="33">
        <v>5.7747242743632894E-4</v>
      </c>
      <c r="V414" s="34">
        <v>5.737653844101882E-4</v>
      </c>
      <c r="W414" s="34">
        <v>-3.707043026140739E-6</v>
      </c>
      <c r="X414" s="35">
        <v>-7.9913840476391407</v>
      </c>
      <c r="Y414" s="36">
        <v>-19583.365715781951</v>
      </c>
      <c r="Z414" s="37">
        <v>1.1415224197685507E-3</v>
      </c>
      <c r="AA414" s="38">
        <v>1.1334129538245845E-3</v>
      </c>
      <c r="AB414" s="38">
        <v>-8.1094659439662035E-6</v>
      </c>
      <c r="AC414" s="39">
        <v>-0.15515242986302399</v>
      </c>
      <c r="AD414" s="40">
        <v>-380.21033122509368</v>
      </c>
      <c r="AE414" s="37">
        <v>0</v>
      </c>
      <c r="AF414" s="38">
        <v>0</v>
      </c>
      <c r="AG414" s="38">
        <v>0</v>
      </c>
      <c r="AH414" s="39">
        <v>0</v>
      </c>
      <c r="AI414" s="40">
        <v>0</v>
      </c>
      <c r="AJ414" s="39">
        <v>-8.1465364775021651</v>
      </c>
      <c r="AK414" s="28">
        <v>-19963.576047007045</v>
      </c>
      <c r="AL414" s="41">
        <f t="shared" si="6"/>
        <v>-4.5421655918601456</v>
      </c>
      <c r="AM414" s="28">
        <v>157083.09375</v>
      </c>
      <c r="AN414" s="42">
        <v>-0.12708927211975696</v>
      </c>
      <c r="AP414" s="30"/>
      <c r="AR414" s="30"/>
    </row>
    <row r="415" spans="1:44" x14ac:dyDescent="0.2">
      <c r="A415" s="3" t="s">
        <v>284</v>
      </c>
      <c r="B415" s="3" t="s">
        <v>563</v>
      </c>
      <c r="C415" s="3" t="s">
        <v>1950</v>
      </c>
      <c r="D415" s="27"/>
      <c r="E415" s="3" t="s">
        <v>126</v>
      </c>
      <c r="F415" s="133" t="s">
        <v>1064</v>
      </c>
      <c r="G415" s="3" t="s">
        <v>880</v>
      </c>
      <c r="H415" s="29">
        <v>55.63</v>
      </c>
      <c r="I415" s="30">
        <v>469.803</v>
      </c>
      <c r="J415" s="30">
        <v>461.34100000000001</v>
      </c>
      <c r="K415" s="31">
        <v>1</v>
      </c>
      <c r="L415" s="31">
        <v>1</v>
      </c>
      <c r="M415" s="4">
        <v>0</v>
      </c>
      <c r="N415" s="4">
        <v>0</v>
      </c>
      <c r="O415" s="4">
        <v>1</v>
      </c>
      <c r="P415" s="4">
        <v>1</v>
      </c>
      <c r="Q415" s="32">
        <v>469.803</v>
      </c>
      <c r="R415" s="32">
        <v>461.34100000000001</v>
      </c>
      <c r="S415" s="32">
        <v>26135.140890000002</v>
      </c>
      <c r="T415" s="32">
        <v>25664.399830000002</v>
      </c>
      <c r="U415" s="33">
        <v>1.3820868070330888E-3</v>
      </c>
      <c r="V415" s="34">
        <v>1.3622450037399025E-3</v>
      </c>
      <c r="W415" s="34">
        <v>-1.9841803293186352E-5</v>
      </c>
      <c r="X415" s="35">
        <v>-42.773571602873339</v>
      </c>
      <c r="Y415" s="36">
        <v>-768893.97093067307</v>
      </c>
      <c r="Z415" s="37">
        <v>0</v>
      </c>
      <c r="AA415" s="38">
        <v>0</v>
      </c>
      <c r="AB415" s="38">
        <v>0</v>
      </c>
      <c r="AC415" s="39">
        <v>0</v>
      </c>
      <c r="AD415" s="40">
        <v>0</v>
      </c>
      <c r="AE415" s="37">
        <v>2.7970624904562666E-3</v>
      </c>
      <c r="AF415" s="38">
        <v>2.7588543538877852E-3</v>
      </c>
      <c r="AG415" s="38">
        <v>-3.8208136568481429E-5</v>
      </c>
      <c r="AH415" s="39">
        <v>-0.53551272224100299</v>
      </c>
      <c r="AI415" s="40">
        <v>-9626.3297185152442</v>
      </c>
      <c r="AJ415" s="39">
        <v>-43.309084325114341</v>
      </c>
      <c r="AK415" s="28">
        <v>-778520.30064918834</v>
      </c>
      <c r="AL415" s="41">
        <f t="shared" si="6"/>
        <v>-178.3372577133413</v>
      </c>
      <c r="AM415" s="28">
        <v>6066819.5</v>
      </c>
      <c r="AN415" s="42">
        <v>-0.1283242893000506</v>
      </c>
      <c r="AP415" s="30"/>
      <c r="AR415" s="30"/>
    </row>
    <row r="416" spans="1:44" x14ac:dyDescent="0.2">
      <c r="A416" s="3" t="s">
        <v>1335</v>
      </c>
      <c r="B416" s="3" t="s">
        <v>1340</v>
      </c>
      <c r="C416" s="3" t="s">
        <v>1951</v>
      </c>
      <c r="D416" s="27"/>
      <c r="E416" s="3" t="s">
        <v>1348</v>
      </c>
      <c r="F416" s="133" t="s">
        <v>1052</v>
      </c>
      <c r="G416" s="3" t="s">
        <v>880</v>
      </c>
      <c r="H416" s="29">
        <v>79.67</v>
      </c>
      <c r="I416" s="30">
        <v>426.72699999999998</v>
      </c>
      <c r="J416" s="30">
        <v>415.72199999999998</v>
      </c>
      <c r="K416" s="31">
        <v>0.8</v>
      </c>
      <c r="L416" s="31">
        <v>0.81</v>
      </c>
      <c r="M416" s="4">
        <v>0.54</v>
      </c>
      <c r="N416" s="4">
        <v>0.54</v>
      </c>
      <c r="O416" s="4">
        <v>0.46</v>
      </c>
      <c r="P416" s="4">
        <v>0.46</v>
      </c>
      <c r="Q416" s="32">
        <v>341.38159999999999</v>
      </c>
      <c r="R416" s="32">
        <v>336.73482000000001</v>
      </c>
      <c r="S416" s="32">
        <v>27197.872071999998</v>
      </c>
      <c r="T416" s="32">
        <v>26827.6631094</v>
      </c>
      <c r="U416" s="33">
        <v>1.4382864943524279E-3</v>
      </c>
      <c r="V416" s="34">
        <v>1.4239900513893079E-3</v>
      </c>
      <c r="W416" s="34">
        <v>-1.4296442963119974E-5</v>
      </c>
      <c r="X416" s="35">
        <v>-30.819271701952545</v>
      </c>
      <c r="Y416" s="36">
        <v>-386836.59723801364</v>
      </c>
      <c r="Z416" s="37">
        <v>1.5352968362263549E-3</v>
      </c>
      <c r="AA416" s="38">
        <v>1.5189887010897065E-3</v>
      </c>
      <c r="AB416" s="38">
        <v>-1.6308135136648434E-5</v>
      </c>
      <c r="AC416" s="39">
        <v>-0.31201151968190671</v>
      </c>
      <c r="AD416" s="40">
        <v>-3916.2987282779809</v>
      </c>
      <c r="AE416" s="37">
        <v>1.3389676425309242E-3</v>
      </c>
      <c r="AF416" s="38">
        <v>1.3265949410686583E-3</v>
      </c>
      <c r="AG416" s="38">
        <v>-1.2372701462265955E-5</v>
      </c>
      <c r="AH416" s="39">
        <v>-0.17341172945343192</v>
      </c>
      <c r="AI416" s="40">
        <v>-2176.625197105961</v>
      </c>
      <c r="AJ416" s="39">
        <v>-31.304694951087882</v>
      </c>
      <c r="AK416" s="28">
        <v>-392929.52116339759</v>
      </c>
      <c r="AL416" s="41">
        <f t="shared" si="6"/>
        <v>-89.722875380444165</v>
      </c>
      <c r="AM416" s="28">
        <v>2995395.75</v>
      </c>
      <c r="AN416" s="42">
        <v>-0.13117783223248466</v>
      </c>
      <c r="AP416" s="30"/>
      <c r="AR416" s="30"/>
    </row>
    <row r="417" spans="1:44" x14ac:dyDescent="0.2">
      <c r="A417" s="3" t="s">
        <v>900</v>
      </c>
      <c r="B417" s="3" t="s">
        <v>985</v>
      </c>
      <c r="C417" s="3" t="s">
        <v>1952</v>
      </c>
      <c r="D417" s="27"/>
      <c r="E417" s="3" t="s">
        <v>789</v>
      </c>
      <c r="F417" s="133" t="s">
        <v>1069</v>
      </c>
      <c r="G417" s="3" t="s">
        <v>880</v>
      </c>
      <c r="H417" s="29">
        <v>47.26</v>
      </c>
      <c r="I417" s="30">
        <v>2934.9290000000001</v>
      </c>
      <c r="J417" s="30">
        <v>2905.3739999999998</v>
      </c>
      <c r="K417" s="31">
        <v>1</v>
      </c>
      <c r="L417" s="31">
        <v>1</v>
      </c>
      <c r="M417" s="4">
        <v>0</v>
      </c>
      <c r="N417" s="4">
        <v>0</v>
      </c>
      <c r="O417" s="4">
        <v>1</v>
      </c>
      <c r="P417" s="4">
        <v>1</v>
      </c>
      <c r="Q417" s="32">
        <v>2934.9290000000001</v>
      </c>
      <c r="R417" s="32">
        <v>2905.3739999999998</v>
      </c>
      <c r="S417" s="32">
        <v>138704.74453999999</v>
      </c>
      <c r="T417" s="32">
        <v>137307.97523999997</v>
      </c>
      <c r="U417" s="33">
        <v>7.3350282789169542E-3</v>
      </c>
      <c r="V417" s="34">
        <v>7.2881931579668732E-3</v>
      </c>
      <c r="W417" s="34">
        <v>-4.6835120950080959E-5</v>
      </c>
      <c r="X417" s="35">
        <v>-100.96387762172068</v>
      </c>
      <c r="Y417" s="36">
        <v>-2136349.5053262948</v>
      </c>
      <c r="Z417" s="37">
        <v>0</v>
      </c>
      <c r="AA417" s="38">
        <v>0</v>
      </c>
      <c r="AB417" s="38">
        <v>0</v>
      </c>
      <c r="AC417" s="39">
        <v>0</v>
      </c>
      <c r="AD417" s="40">
        <v>0</v>
      </c>
      <c r="AE417" s="37">
        <v>1.4844604811355681E-2</v>
      </c>
      <c r="AF417" s="38">
        <v>1.4760240170182468E-2</v>
      </c>
      <c r="AG417" s="38">
        <v>-8.4364641173213448E-5</v>
      </c>
      <c r="AH417" s="39">
        <v>-1.1824271663858466</v>
      </c>
      <c r="AI417" s="40">
        <v>-25019.618416966707</v>
      </c>
      <c r="AJ417" s="39">
        <v>-102.14630478810653</v>
      </c>
      <c r="AK417" s="28">
        <v>-2161369.1237432617</v>
      </c>
      <c r="AL417" s="41">
        <f t="shared" si="6"/>
        <v>-495.50487674651885</v>
      </c>
      <c r="AM417" s="28">
        <v>15837723</v>
      </c>
      <c r="AN417" s="42">
        <v>-0.13646968846110402</v>
      </c>
      <c r="AP417" s="30"/>
      <c r="AR417" s="30"/>
    </row>
    <row r="418" spans="1:44" x14ac:dyDescent="0.2">
      <c r="A418" s="3" t="s">
        <v>1076</v>
      </c>
      <c r="B418" s="3" t="s">
        <v>309</v>
      </c>
      <c r="C418" s="3" t="s">
        <v>1953</v>
      </c>
      <c r="D418" s="27"/>
      <c r="E418" s="3" t="s">
        <v>621</v>
      </c>
      <c r="F418" s="133" t="s">
        <v>1053</v>
      </c>
      <c r="G418" s="3" t="s">
        <v>878</v>
      </c>
      <c r="H418" s="29">
        <v>86.31</v>
      </c>
      <c r="I418" s="30">
        <v>238.55499999999998</v>
      </c>
      <c r="J418" s="30">
        <v>237.892</v>
      </c>
      <c r="K418" s="31">
        <v>0.85</v>
      </c>
      <c r="L418" s="31">
        <v>0.84</v>
      </c>
      <c r="M418" s="4">
        <v>1</v>
      </c>
      <c r="N418" s="4">
        <v>1</v>
      </c>
      <c r="O418" s="4">
        <v>0</v>
      </c>
      <c r="P418" s="4">
        <v>0</v>
      </c>
      <c r="Q418" s="32">
        <v>202.77174999999997</v>
      </c>
      <c r="R418" s="32">
        <v>199.82927999999998</v>
      </c>
      <c r="S418" s="32">
        <v>17501.229742499996</v>
      </c>
      <c r="T418" s="32">
        <v>17247.2651568</v>
      </c>
      <c r="U418" s="33">
        <v>9.2550558023658488E-4</v>
      </c>
      <c r="V418" s="34">
        <v>9.1547049390042581E-4</v>
      </c>
      <c r="W418" s="34">
        <v>-1.0035086336159069E-5</v>
      </c>
      <c r="X418" s="35">
        <v>-21.632937167969761</v>
      </c>
      <c r="Y418" s="36">
        <v>-250642.30295411611</v>
      </c>
      <c r="Z418" s="37">
        <v>1.8294992440612225E-3</v>
      </c>
      <c r="AA418" s="38">
        <v>1.8084153293729242E-3</v>
      </c>
      <c r="AB418" s="38">
        <v>-2.1083914688298276E-5</v>
      </c>
      <c r="AC418" s="39">
        <v>-0.40338298693369701</v>
      </c>
      <c r="AD418" s="40">
        <v>-4673.6529594913327</v>
      </c>
      <c r="AE418" s="37">
        <v>0</v>
      </c>
      <c r="AF418" s="38">
        <v>0</v>
      </c>
      <c r="AG418" s="38">
        <v>0</v>
      </c>
      <c r="AH418" s="39">
        <v>0</v>
      </c>
      <c r="AI418" s="40">
        <v>0</v>
      </c>
      <c r="AJ418" s="39">
        <v>-22.036320154903457</v>
      </c>
      <c r="AK418" s="28">
        <v>-255315.95591360744</v>
      </c>
      <c r="AL418" s="41">
        <f t="shared" si="6"/>
        <v>-58.133972518590355</v>
      </c>
      <c r="AM418" s="28">
        <v>1840808.625</v>
      </c>
      <c r="AN418" s="42">
        <v>-0.13869771819088877</v>
      </c>
      <c r="AP418" s="30"/>
      <c r="AR418" s="30"/>
    </row>
    <row r="419" spans="1:44" x14ac:dyDescent="0.2">
      <c r="A419" s="3" t="s">
        <v>1271</v>
      </c>
      <c r="B419" s="3" t="s">
        <v>1254</v>
      </c>
      <c r="C419" s="3" t="s">
        <v>1954</v>
      </c>
      <c r="D419" s="27"/>
      <c r="E419" s="3" t="s">
        <v>1262</v>
      </c>
      <c r="F419" s="133" t="s">
        <v>1057</v>
      </c>
      <c r="G419" s="3" t="s">
        <v>880</v>
      </c>
      <c r="H419" s="29">
        <v>83.69</v>
      </c>
      <c r="I419" s="30">
        <v>186.66399999999999</v>
      </c>
      <c r="J419" s="30">
        <v>184.65899999999999</v>
      </c>
      <c r="K419" s="31">
        <v>1</v>
      </c>
      <c r="L419" s="31">
        <v>1</v>
      </c>
      <c r="M419" s="4">
        <v>0.5</v>
      </c>
      <c r="N419" s="4">
        <v>0.5</v>
      </c>
      <c r="O419" s="4">
        <v>0.5</v>
      </c>
      <c r="P419" s="4">
        <v>0.5</v>
      </c>
      <c r="Q419" s="32">
        <v>186.66399999999999</v>
      </c>
      <c r="R419" s="32">
        <v>184.65899999999999</v>
      </c>
      <c r="S419" s="32">
        <v>15621.910159999998</v>
      </c>
      <c r="T419" s="32">
        <v>15454.111709999999</v>
      </c>
      <c r="U419" s="33">
        <v>8.2612280621197618E-4</v>
      </c>
      <c r="V419" s="34">
        <v>8.2029139990162853E-4</v>
      </c>
      <c r="W419" s="34">
        <v>-5.8314063103476503E-6</v>
      </c>
      <c r="X419" s="35">
        <v>-12.570937816259706</v>
      </c>
      <c r="Y419" s="36">
        <v>-150208.36200573196</v>
      </c>
      <c r="Z419" s="37">
        <v>8.1652184586515012E-4</v>
      </c>
      <c r="AA419" s="38">
        <v>8.1019953784345049E-4</v>
      </c>
      <c r="AB419" s="38">
        <v>-6.3223080216996295E-6</v>
      </c>
      <c r="AC419" s="39">
        <v>-0.12096005565434727</v>
      </c>
      <c r="AD419" s="40">
        <v>-1445.334635611749</v>
      </c>
      <c r="AE419" s="37">
        <v>8.3595223614296049E-4</v>
      </c>
      <c r="AF419" s="38">
        <v>8.3063784189419136E-4</v>
      </c>
      <c r="AG419" s="38">
        <v>-5.314394248769126E-6</v>
      </c>
      <c r="AH419" s="39">
        <v>-7.4484808389424034E-2</v>
      </c>
      <c r="AI419" s="40">
        <v>-890.00846444526269</v>
      </c>
      <c r="AJ419" s="39">
        <v>-12.766382680303478</v>
      </c>
      <c r="AK419" s="28">
        <v>-152543.70510578898</v>
      </c>
      <c r="AL419" s="41">
        <f t="shared" si="6"/>
        <v>-34.839325548737307</v>
      </c>
      <c r="AM419" s="28">
        <v>1075809.25</v>
      </c>
      <c r="AN419" s="42">
        <v>-0.14179437953874163</v>
      </c>
      <c r="AP419" s="30"/>
      <c r="AR419" s="30"/>
    </row>
    <row r="420" spans="1:44" x14ac:dyDescent="0.2">
      <c r="A420" s="3" t="s">
        <v>1142</v>
      </c>
      <c r="B420" s="3" t="s">
        <v>378</v>
      </c>
      <c r="C420" s="3" t="s">
        <v>1955</v>
      </c>
      <c r="D420" s="27"/>
      <c r="E420" s="3" t="s">
        <v>677</v>
      </c>
      <c r="F420" s="133" t="s">
        <v>1068</v>
      </c>
      <c r="G420" s="3" t="s">
        <v>878</v>
      </c>
      <c r="H420" s="29">
        <v>86.93</v>
      </c>
      <c r="I420" s="30">
        <v>314.25900000000001</v>
      </c>
      <c r="J420" s="30">
        <v>314.25900000000001</v>
      </c>
      <c r="K420" s="31">
        <v>0.95</v>
      </c>
      <c r="L420" s="31">
        <v>0.93</v>
      </c>
      <c r="M420" s="4">
        <v>0</v>
      </c>
      <c r="N420" s="4">
        <v>0</v>
      </c>
      <c r="O420" s="4">
        <v>1</v>
      </c>
      <c r="P420" s="4">
        <v>1</v>
      </c>
      <c r="Q420" s="32">
        <v>298.54604999999998</v>
      </c>
      <c r="R420" s="32">
        <v>292.26087000000001</v>
      </c>
      <c r="S420" s="32">
        <v>25952.608126499999</v>
      </c>
      <c r="T420" s="32">
        <v>25406.237429100001</v>
      </c>
      <c r="U420" s="33">
        <v>1.3724340515592825E-3</v>
      </c>
      <c r="V420" s="34">
        <v>1.3485419581550052E-3</v>
      </c>
      <c r="W420" s="34">
        <v>-2.3892093404277335E-5</v>
      </c>
      <c r="X420" s="35">
        <v>-51.504903706072461</v>
      </c>
      <c r="Y420" s="36">
        <v>-592487.10118569492</v>
      </c>
      <c r="Z420" s="37">
        <v>0</v>
      </c>
      <c r="AA420" s="38">
        <v>0</v>
      </c>
      <c r="AB420" s="38">
        <v>0</v>
      </c>
      <c r="AC420" s="39">
        <v>0</v>
      </c>
      <c r="AD420" s="40">
        <v>0</v>
      </c>
      <c r="AE420" s="37">
        <v>2.7775272773799702E-3</v>
      </c>
      <c r="AF420" s="38">
        <v>2.7311025861296886E-3</v>
      </c>
      <c r="AG420" s="38">
        <v>-4.6424691250281612E-5</v>
      </c>
      <c r="AH420" s="39">
        <v>-0.65067326029044481</v>
      </c>
      <c r="AI420" s="40">
        <v>-7485.0254260950733</v>
      </c>
      <c r="AJ420" s="39">
        <v>-52.155576966362908</v>
      </c>
      <c r="AK420" s="28">
        <v>-599972.12661179004</v>
      </c>
      <c r="AL420" s="41">
        <f t="shared" si="6"/>
        <v>-137.42145061703289</v>
      </c>
      <c r="AM420" s="28">
        <v>4224537</v>
      </c>
      <c r="AN420" s="42">
        <v>-0.14202080053075403</v>
      </c>
      <c r="AP420" s="30"/>
      <c r="AR420" s="30"/>
    </row>
    <row r="421" spans="1:44" x14ac:dyDescent="0.2">
      <c r="A421" s="3" t="s">
        <v>259</v>
      </c>
      <c r="B421" s="3" t="s">
        <v>538</v>
      </c>
      <c r="C421" s="3" t="s">
        <v>1956</v>
      </c>
      <c r="D421" s="27"/>
      <c r="E421" s="3" t="s">
        <v>102</v>
      </c>
      <c r="F421" s="133" t="s">
        <v>1069</v>
      </c>
      <c r="G421" s="3" t="s">
        <v>880</v>
      </c>
      <c r="H421" s="29">
        <v>43.58</v>
      </c>
      <c r="I421" s="30">
        <v>501.13</v>
      </c>
      <c r="J421" s="30">
        <v>495.73899999999998</v>
      </c>
      <c r="K421" s="31">
        <v>1</v>
      </c>
      <c r="L421" s="31">
        <v>1</v>
      </c>
      <c r="M421" s="4">
        <v>0</v>
      </c>
      <c r="N421" s="4">
        <v>0</v>
      </c>
      <c r="O421" s="4">
        <v>1</v>
      </c>
      <c r="P421" s="4">
        <v>1</v>
      </c>
      <c r="Q421" s="32">
        <v>501.13</v>
      </c>
      <c r="R421" s="32">
        <v>495.73899999999998</v>
      </c>
      <c r="S421" s="32">
        <v>21839.2454</v>
      </c>
      <c r="T421" s="32">
        <v>21604.305619999999</v>
      </c>
      <c r="U421" s="33">
        <v>1.1549098996610793E-3</v>
      </c>
      <c r="V421" s="34">
        <v>1.1467385789288062E-3</v>
      </c>
      <c r="W421" s="34">
        <v>-8.171320732273165E-6</v>
      </c>
      <c r="X421" s="35">
        <v>-17.615161649745474</v>
      </c>
      <c r="Y421" s="36">
        <v>-404202.88319746382</v>
      </c>
      <c r="Z421" s="37">
        <v>0</v>
      </c>
      <c r="AA421" s="38">
        <v>0</v>
      </c>
      <c r="AB421" s="38">
        <v>0</v>
      </c>
      <c r="AC421" s="39">
        <v>0</v>
      </c>
      <c r="AD421" s="40">
        <v>0</v>
      </c>
      <c r="AE421" s="37">
        <v>2.3373026525976216E-3</v>
      </c>
      <c r="AF421" s="38">
        <v>2.3224050831996152E-3</v>
      </c>
      <c r="AG421" s="38">
        <v>-1.4897569398006436E-5</v>
      </c>
      <c r="AH421" s="39">
        <v>-0.20879945110125439</v>
      </c>
      <c r="AI421" s="40">
        <v>-4791.1760234340154</v>
      </c>
      <c r="AJ421" s="39">
        <v>-17.823961100846727</v>
      </c>
      <c r="AK421" s="28">
        <v>-408994.05922089785</v>
      </c>
      <c r="AL421" s="41">
        <f t="shared" si="6"/>
        <v>-93.75081152217949</v>
      </c>
      <c r="AM421" s="28">
        <v>2841929</v>
      </c>
      <c r="AN421" s="42">
        <v>-0.14391424248139129</v>
      </c>
      <c r="AP421" s="30"/>
      <c r="AR421" s="30"/>
    </row>
    <row r="422" spans="1:44" x14ac:dyDescent="0.2">
      <c r="A422" s="3" t="s">
        <v>944</v>
      </c>
      <c r="B422" s="3" t="s">
        <v>1023</v>
      </c>
      <c r="C422" s="3" t="s">
        <v>1957</v>
      </c>
      <c r="D422" s="27"/>
      <c r="E422" s="3" t="s">
        <v>827</v>
      </c>
      <c r="F422" s="133" t="s">
        <v>1061</v>
      </c>
      <c r="G422" s="3" t="s">
        <v>880</v>
      </c>
      <c r="H422" s="29">
        <v>31.41</v>
      </c>
      <c r="I422" s="30">
        <v>1937.0239999999999</v>
      </c>
      <c r="J422" s="30">
        <v>1911.809</v>
      </c>
      <c r="K422" s="31">
        <v>0.78</v>
      </c>
      <c r="L422" s="31">
        <v>0.78</v>
      </c>
      <c r="M422" s="4">
        <v>0.47</v>
      </c>
      <c r="N422" s="4">
        <v>0.47</v>
      </c>
      <c r="O422" s="4">
        <v>0.53</v>
      </c>
      <c r="P422" s="4">
        <v>0.53</v>
      </c>
      <c r="Q422" s="32">
        <v>1510.8787199999999</v>
      </c>
      <c r="R422" s="32">
        <v>1491.21102</v>
      </c>
      <c r="S422" s="32">
        <v>47456.700595199996</v>
      </c>
      <c r="T422" s="32">
        <v>46838.938138199999</v>
      </c>
      <c r="U422" s="33">
        <v>2.5096202876427362E-3</v>
      </c>
      <c r="V422" s="34">
        <v>2.486171891097962E-3</v>
      </c>
      <c r="W422" s="34">
        <v>-2.3448396544774146E-5</v>
      </c>
      <c r="X422" s="35">
        <v>-50.548413053005312</v>
      </c>
      <c r="Y422" s="36">
        <v>-1609309.552785906</v>
      </c>
      <c r="Z422" s="37">
        <v>2.331626954033304E-3</v>
      </c>
      <c r="AA422" s="38">
        <v>2.3082499686867312E-3</v>
      </c>
      <c r="AB422" s="38">
        <v>-2.3376985346572864E-5</v>
      </c>
      <c r="AC422" s="39">
        <v>-0.44725461632793828</v>
      </c>
      <c r="AD422" s="40">
        <v>-14239.242799361295</v>
      </c>
      <c r="AE422" s="37">
        <v>2.6918492457567605E-3</v>
      </c>
      <c r="AF422" s="38">
        <v>2.6685821181522819E-3</v>
      </c>
      <c r="AG422" s="38">
        <v>-2.3267127604478625E-5</v>
      </c>
      <c r="AH422" s="39">
        <v>-0.3261044364168621</v>
      </c>
      <c r="AI422" s="40">
        <v>-10382.185177232159</v>
      </c>
      <c r="AJ422" s="39">
        <v>-51.321772105750114</v>
      </c>
      <c r="AK422" s="28">
        <v>-1633930.9807624994</v>
      </c>
      <c r="AL422" s="41">
        <f t="shared" si="6"/>
        <v>-373.26323694323696</v>
      </c>
      <c r="AM422" s="28">
        <v>10950333</v>
      </c>
      <c r="AN422" s="42">
        <v>-0.14921290345805002</v>
      </c>
      <c r="AP422" s="30"/>
      <c r="AR422" s="30"/>
    </row>
    <row r="423" spans="1:44" x14ac:dyDescent="0.2">
      <c r="A423" s="3" t="s">
        <v>1198</v>
      </c>
      <c r="B423" s="3" t="s">
        <v>433</v>
      </c>
      <c r="C423" s="3" t="s">
        <v>1958</v>
      </c>
      <c r="D423" s="27"/>
      <c r="E423" s="3" t="s">
        <v>9</v>
      </c>
      <c r="F423" s="133" t="s">
        <v>1065</v>
      </c>
      <c r="G423" s="3" t="s">
        <v>880</v>
      </c>
      <c r="H423" s="29">
        <v>24.55</v>
      </c>
      <c r="I423" s="30">
        <v>224.40600000000001</v>
      </c>
      <c r="J423" s="30">
        <v>221.08199999999999</v>
      </c>
      <c r="K423" s="31">
        <v>1</v>
      </c>
      <c r="L423" s="31">
        <v>1</v>
      </c>
      <c r="M423" s="4">
        <v>0.66</v>
      </c>
      <c r="N423" s="4">
        <v>0.66</v>
      </c>
      <c r="O423" s="4">
        <v>0.34</v>
      </c>
      <c r="P423" s="4">
        <v>0.34</v>
      </c>
      <c r="Q423" s="32">
        <v>224.40600000000001</v>
      </c>
      <c r="R423" s="32">
        <v>221.08199999999999</v>
      </c>
      <c r="S423" s="32">
        <v>5509.1673000000001</v>
      </c>
      <c r="T423" s="32">
        <v>5427.5631000000003</v>
      </c>
      <c r="U423" s="33">
        <v>2.9133753191211903E-4</v>
      </c>
      <c r="V423" s="34">
        <v>2.8809053647984944E-4</v>
      </c>
      <c r="W423" s="34">
        <v>-3.2469954322695877E-6</v>
      </c>
      <c r="X423" s="35">
        <v>-6.9996456251574175</v>
      </c>
      <c r="Y423" s="36">
        <v>-285117.94807158527</v>
      </c>
      <c r="Z423" s="37">
        <v>3.8009623260618102E-4</v>
      </c>
      <c r="AA423" s="38">
        <v>3.756010142178362E-4</v>
      </c>
      <c r="AB423" s="38">
        <v>-4.4952183883448195E-6</v>
      </c>
      <c r="AC423" s="39">
        <v>-8.6003697473515398E-2</v>
      </c>
      <c r="AD423" s="40">
        <v>-3503.2055997358611</v>
      </c>
      <c r="AE423" s="37">
        <v>2.004666817345249E-4</v>
      </c>
      <c r="AF423" s="38">
        <v>1.9837249669314139E-4</v>
      </c>
      <c r="AG423" s="38">
        <v>-2.0941850413835124E-6</v>
      </c>
      <c r="AH423" s="39">
        <v>-2.9351411325115158E-2</v>
      </c>
      <c r="AI423" s="40">
        <v>-1195.5768360535706</v>
      </c>
      <c r="AJ423" s="39">
        <v>-7.1150007339560482</v>
      </c>
      <c r="AK423" s="28">
        <v>-289816.73050737468</v>
      </c>
      <c r="AL423" s="41">
        <f t="shared" si="6"/>
        <v>-66.130253203046593</v>
      </c>
      <c r="AM423" s="28">
        <v>1933302.5</v>
      </c>
      <c r="AN423" s="42">
        <v>-0.14990759620254704</v>
      </c>
      <c r="AP423" s="30"/>
      <c r="AR423" s="30"/>
    </row>
    <row r="424" spans="1:44" x14ac:dyDescent="0.2">
      <c r="A424" s="3" t="s">
        <v>934</v>
      </c>
      <c r="B424" s="3" t="s">
        <v>1013</v>
      </c>
      <c r="C424" s="3" t="s">
        <v>1959</v>
      </c>
      <c r="D424" s="27"/>
      <c r="E424" s="3" t="s">
        <v>818</v>
      </c>
      <c r="F424" s="133" t="s">
        <v>1068</v>
      </c>
      <c r="G424" s="3" t="s">
        <v>878</v>
      </c>
      <c r="H424" s="29">
        <v>244.3</v>
      </c>
      <c r="I424" s="30">
        <v>304.45299999999997</v>
      </c>
      <c r="J424" s="30">
        <v>302.90600000000001</v>
      </c>
      <c r="K424" s="31">
        <v>0.86</v>
      </c>
      <c r="L424" s="31">
        <v>0.83</v>
      </c>
      <c r="M424" s="4">
        <v>0.59</v>
      </c>
      <c r="N424" s="4">
        <v>0.59</v>
      </c>
      <c r="O424" s="4">
        <v>0.41</v>
      </c>
      <c r="P424" s="4">
        <v>0.41</v>
      </c>
      <c r="Q424" s="32">
        <v>261.82957999999996</v>
      </c>
      <c r="R424" s="32">
        <v>251.41198</v>
      </c>
      <c r="S424" s="32">
        <v>63964.966393999995</v>
      </c>
      <c r="T424" s="32">
        <v>61419.946714000005</v>
      </c>
      <c r="U424" s="33">
        <v>3.3826156337763776E-3</v>
      </c>
      <c r="V424" s="34">
        <v>3.2601197025972899E-3</v>
      </c>
      <c r="W424" s="34">
        <v>-1.2249593117908764E-4</v>
      </c>
      <c r="X424" s="35">
        <v>-264.06815983044334</v>
      </c>
      <c r="Y424" s="36">
        <v>-1080917.559682535</v>
      </c>
      <c r="Z424" s="37">
        <v>3.9450985466595971E-3</v>
      </c>
      <c r="AA424" s="38">
        <v>3.7996131892605268E-3</v>
      </c>
      <c r="AB424" s="38">
        <v>-1.4548535739907029E-4</v>
      </c>
      <c r="AC424" s="39">
        <v>-2.7834640241323276</v>
      </c>
      <c r="AD424" s="40">
        <v>-11393.630880607154</v>
      </c>
      <c r="AE424" s="37">
        <v>2.8067475768492303E-3</v>
      </c>
      <c r="AF424" s="38">
        <v>2.7070168130662502E-3</v>
      </c>
      <c r="AG424" s="38">
        <v>-9.9730763782980136E-5</v>
      </c>
      <c r="AH424" s="39">
        <v>-1.3977937057693253</v>
      </c>
      <c r="AI424" s="40">
        <v>-5721.6279401118509</v>
      </c>
      <c r="AJ424" s="39">
        <v>-268.24941756034502</v>
      </c>
      <c r="AK424" s="28">
        <v>-1098032.8185032539</v>
      </c>
      <c r="AL424" s="41">
        <f t="shared" si="6"/>
        <v>-250.70800486919288</v>
      </c>
      <c r="AM424" s="28">
        <v>6933639</v>
      </c>
      <c r="AN424" s="42">
        <v>-0.15836313637085142</v>
      </c>
      <c r="AP424" s="30"/>
      <c r="AR424" s="30"/>
    </row>
    <row r="425" spans="1:44" x14ac:dyDescent="0.2">
      <c r="A425" s="3" t="s">
        <v>1136</v>
      </c>
      <c r="B425" s="3" t="s">
        <v>1518</v>
      </c>
      <c r="C425" s="3" t="s">
        <v>1960</v>
      </c>
      <c r="D425" s="27"/>
      <c r="E425" s="3" t="s">
        <v>2115</v>
      </c>
      <c r="F425" s="133" t="s">
        <v>1071</v>
      </c>
      <c r="G425" s="3" t="s">
        <v>880</v>
      </c>
      <c r="H425" s="29">
        <v>28.38</v>
      </c>
      <c r="I425" s="30">
        <v>955.86699999999996</v>
      </c>
      <c r="J425" s="30">
        <v>945.99099999999999</v>
      </c>
      <c r="K425" s="31">
        <v>1</v>
      </c>
      <c r="L425" s="31">
        <v>1</v>
      </c>
      <c r="M425" s="4">
        <v>0</v>
      </c>
      <c r="N425" s="4">
        <v>0</v>
      </c>
      <c r="O425" s="4">
        <v>1</v>
      </c>
      <c r="P425" s="4">
        <v>1</v>
      </c>
      <c r="Q425" s="32">
        <v>955.86699999999996</v>
      </c>
      <c r="R425" s="32">
        <v>945.99099999999999</v>
      </c>
      <c r="S425" s="32">
        <v>27127.505459999997</v>
      </c>
      <c r="T425" s="32">
        <v>26847.224579999998</v>
      </c>
      <c r="U425" s="33">
        <v>1.4345653448659896E-3</v>
      </c>
      <c r="V425" s="34">
        <v>1.4250283579839357E-3</v>
      </c>
      <c r="W425" s="34">
        <v>-9.5369868820538179E-6</v>
      </c>
      <c r="X425" s="35">
        <v>-20.559169206927663</v>
      </c>
      <c r="Y425" s="36">
        <v>-724424.56684029824</v>
      </c>
      <c r="Z425" s="37">
        <v>0</v>
      </c>
      <c r="AA425" s="38">
        <v>0</v>
      </c>
      <c r="AB425" s="38">
        <v>0</v>
      </c>
      <c r="AC425" s="39">
        <v>0</v>
      </c>
      <c r="AD425" s="40">
        <v>0</v>
      </c>
      <c r="AE425" s="37">
        <v>2.9032683734582904E-3</v>
      </c>
      <c r="AF425" s="38">
        <v>2.8860048515826197E-3</v>
      </c>
      <c r="AG425" s="38">
        <v>-1.7263521875670717E-5</v>
      </c>
      <c r="AH425" s="39">
        <v>-0.24195986576151848</v>
      </c>
      <c r="AI425" s="40">
        <v>-8525.7176096377189</v>
      </c>
      <c r="AJ425" s="39">
        <v>-20.801129072689182</v>
      </c>
      <c r="AK425" s="28">
        <v>-732950.28444993601</v>
      </c>
      <c r="AL425" s="41">
        <f t="shared" si="6"/>
        <v>-168.02302470144147</v>
      </c>
      <c r="AM425" s="28">
        <v>4615359</v>
      </c>
      <c r="AN425" s="42">
        <v>-0.15880677634176149</v>
      </c>
      <c r="AP425" s="30"/>
      <c r="AR425" s="30"/>
    </row>
    <row r="426" spans="1:44" x14ac:dyDescent="0.2">
      <c r="A426" s="3" t="s">
        <v>715</v>
      </c>
      <c r="B426" s="3" t="s">
        <v>146</v>
      </c>
      <c r="C426" s="3" t="s">
        <v>1961</v>
      </c>
      <c r="D426" s="27"/>
      <c r="E426" s="3" t="s">
        <v>588</v>
      </c>
      <c r="F426" s="133" t="s">
        <v>1074</v>
      </c>
      <c r="G426" s="3" t="s">
        <v>880</v>
      </c>
      <c r="H426" s="29">
        <v>34</v>
      </c>
      <c r="I426" s="30">
        <v>217.62</v>
      </c>
      <c r="J426" s="30">
        <v>214.26599999999999</v>
      </c>
      <c r="K426" s="31">
        <v>1</v>
      </c>
      <c r="L426" s="31">
        <v>1</v>
      </c>
      <c r="M426" s="4">
        <v>0</v>
      </c>
      <c r="N426" s="4">
        <v>0</v>
      </c>
      <c r="O426" s="4">
        <v>1</v>
      </c>
      <c r="P426" s="4">
        <v>1</v>
      </c>
      <c r="Q426" s="32">
        <v>217.62</v>
      </c>
      <c r="R426" s="32">
        <v>214.26599999999999</v>
      </c>
      <c r="S426" s="32">
        <v>7399.08</v>
      </c>
      <c r="T426" s="32">
        <v>7285.0439999999999</v>
      </c>
      <c r="U426" s="33">
        <v>3.9128049453504918E-4</v>
      </c>
      <c r="V426" s="34">
        <v>3.8668407820800982E-4</v>
      </c>
      <c r="W426" s="34">
        <v>-4.5964163270393525E-6</v>
      </c>
      <c r="X426" s="35">
        <v>-9.9086327979447191</v>
      </c>
      <c r="Y426" s="36">
        <v>-291430.37641013879</v>
      </c>
      <c r="Z426" s="37">
        <v>0</v>
      </c>
      <c r="AA426" s="38">
        <v>0</v>
      </c>
      <c r="AB426" s="38">
        <v>0</v>
      </c>
      <c r="AC426" s="39">
        <v>0</v>
      </c>
      <c r="AD426" s="40">
        <v>0</v>
      </c>
      <c r="AE426" s="37">
        <v>7.9187210885876163E-4</v>
      </c>
      <c r="AF426" s="38">
        <v>7.831227494426113E-4</v>
      </c>
      <c r="AG426" s="38">
        <v>-8.749359416150332E-6</v>
      </c>
      <c r="AH426" s="39">
        <v>-0.12262815461858147</v>
      </c>
      <c r="AI426" s="40">
        <v>-3606.7104299582784</v>
      </c>
      <c r="AJ426" s="39">
        <v>-10.031260952563301</v>
      </c>
      <c r="AK426" s="28">
        <v>-295037.08684009709</v>
      </c>
      <c r="AL426" s="41">
        <f t="shared" si="6"/>
        <v>-67.594357750578723</v>
      </c>
      <c r="AM426" s="28">
        <v>1767226.25</v>
      </c>
      <c r="AN426" s="42">
        <v>-0.1669492442408532</v>
      </c>
      <c r="AP426" s="30"/>
      <c r="AR426" s="30"/>
    </row>
    <row r="427" spans="1:44" x14ac:dyDescent="0.2">
      <c r="A427" s="3" t="s">
        <v>747</v>
      </c>
      <c r="B427" s="3" t="s">
        <v>173</v>
      </c>
      <c r="C427" s="3" t="s">
        <v>1962</v>
      </c>
      <c r="D427" s="27"/>
      <c r="E427" s="3" t="s">
        <v>617</v>
      </c>
      <c r="F427" s="133" t="s">
        <v>1068</v>
      </c>
      <c r="G427" s="3" t="s">
        <v>880</v>
      </c>
      <c r="H427" s="29">
        <v>82.89</v>
      </c>
      <c r="I427" s="30">
        <v>88.501999999999995</v>
      </c>
      <c r="J427" s="30">
        <v>86.161000000000001</v>
      </c>
      <c r="K427" s="31">
        <v>1</v>
      </c>
      <c r="L427" s="31">
        <v>1</v>
      </c>
      <c r="M427" s="4">
        <v>0.41</v>
      </c>
      <c r="N427" s="4">
        <v>0.41</v>
      </c>
      <c r="O427" s="4">
        <v>0.59</v>
      </c>
      <c r="P427" s="4">
        <v>0.59</v>
      </c>
      <c r="Q427" s="32">
        <v>88.501999999999995</v>
      </c>
      <c r="R427" s="32">
        <v>86.161000000000001</v>
      </c>
      <c r="S427" s="32">
        <v>7335.9307799999997</v>
      </c>
      <c r="T427" s="32">
        <v>7141.8852900000002</v>
      </c>
      <c r="U427" s="33">
        <v>3.8794101746072334E-4</v>
      </c>
      <c r="V427" s="34">
        <v>3.7908533291370581E-4</v>
      </c>
      <c r="W427" s="34">
        <v>-8.8556845470175367E-6</v>
      </c>
      <c r="X427" s="35">
        <v>-19.090465290238477</v>
      </c>
      <c r="Y427" s="36">
        <v>-230310.83713642752</v>
      </c>
      <c r="Z427" s="37">
        <v>3.1441463289865368E-4</v>
      </c>
      <c r="AA427" s="38">
        <v>3.0702565513271603E-4</v>
      </c>
      <c r="AB427" s="38">
        <v>-7.3889777659376507E-6</v>
      </c>
      <c r="AC427" s="39">
        <v>-0.14136786102937765</v>
      </c>
      <c r="AD427" s="40">
        <v>-1705.4875259908029</v>
      </c>
      <c r="AE427" s="37">
        <v>4.6321707516992587E-4</v>
      </c>
      <c r="AF427" s="38">
        <v>4.5296280684921586E-4</v>
      </c>
      <c r="AG427" s="38">
        <v>-1.0254268320710011E-5</v>
      </c>
      <c r="AH427" s="39">
        <v>-0.143720464701829</v>
      </c>
      <c r="AI427" s="40">
        <v>-1733.8697635641092</v>
      </c>
      <c r="AJ427" s="39">
        <v>-19.375553615969682</v>
      </c>
      <c r="AK427" s="28">
        <v>-233750.19442598245</v>
      </c>
      <c r="AL427" s="41">
        <f t="shared" si="6"/>
        <v>-53.418292598730467</v>
      </c>
      <c r="AM427" s="28">
        <v>1386494.25</v>
      </c>
      <c r="AN427" s="42">
        <v>-0.16859081415302116</v>
      </c>
      <c r="AP427" s="30"/>
      <c r="AR427" s="30"/>
    </row>
    <row r="428" spans="1:44" x14ac:dyDescent="0.2">
      <c r="A428" s="3" t="s">
        <v>233</v>
      </c>
      <c r="B428" s="3" t="s">
        <v>513</v>
      </c>
      <c r="C428" s="3" t="s">
        <v>1963</v>
      </c>
      <c r="D428" s="27"/>
      <c r="E428" s="3" t="s">
        <v>81</v>
      </c>
      <c r="F428" s="133" t="s">
        <v>1059</v>
      </c>
      <c r="G428" s="3" t="s">
        <v>880</v>
      </c>
      <c r="H428" s="29">
        <v>78.61</v>
      </c>
      <c r="I428" s="30">
        <v>442</v>
      </c>
      <c r="J428" s="30">
        <v>437</v>
      </c>
      <c r="K428" s="31">
        <v>1</v>
      </c>
      <c r="L428" s="31">
        <v>1</v>
      </c>
      <c r="M428" s="4">
        <v>0</v>
      </c>
      <c r="N428" s="4">
        <v>0</v>
      </c>
      <c r="O428" s="4">
        <v>1</v>
      </c>
      <c r="P428" s="4">
        <v>1</v>
      </c>
      <c r="Q428" s="32">
        <v>442</v>
      </c>
      <c r="R428" s="32">
        <v>437</v>
      </c>
      <c r="S428" s="32">
        <v>34745.620000000003</v>
      </c>
      <c r="T428" s="32">
        <v>34352.57</v>
      </c>
      <c r="U428" s="33">
        <v>1.8374288933930836E-3</v>
      </c>
      <c r="V428" s="34">
        <v>1.8234058523910262E-3</v>
      </c>
      <c r="W428" s="34">
        <v>-1.4023041002057379E-5</v>
      </c>
      <c r="X428" s="35">
        <v>-30.229890878794563</v>
      </c>
      <c r="Y428" s="36">
        <v>-384555.28404521773</v>
      </c>
      <c r="Z428" s="37">
        <v>0</v>
      </c>
      <c r="AA428" s="38">
        <v>0</v>
      </c>
      <c r="AB428" s="38">
        <v>0</v>
      </c>
      <c r="AC428" s="39">
        <v>0</v>
      </c>
      <c r="AD428" s="40">
        <v>0</v>
      </c>
      <c r="AE428" s="37">
        <v>3.7185822268451171E-3</v>
      </c>
      <c r="AF428" s="38">
        <v>3.6928094145786579E-3</v>
      </c>
      <c r="AG428" s="38">
        <v>-2.577281226645925E-5</v>
      </c>
      <c r="AH428" s="39">
        <v>-0.36122329158557159</v>
      </c>
      <c r="AI428" s="40">
        <v>-4595.1315555981628</v>
      </c>
      <c r="AJ428" s="39">
        <v>-30.591114170380134</v>
      </c>
      <c r="AK428" s="28">
        <v>-389150.4156008159</v>
      </c>
      <c r="AL428" s="41">
        <f t="shared" si="6"/>
        <v>-89.193747627893273</v>
      </c>
      <c r="AM428" s="28">
        <v>2276552.75</v>
      </c>
      <c r="AN428" s="42">
        <v>-0.17093845754323764</v>
      </c>
      <c r="AP428" s="30"/>
      <c r="AR428" s="30"/>
    </row>
    <row r="429" spans="1:44" x14ac:dyDescent="0.2">
      <c r="A429" s="3" t="s">
        <v>766</v>
      </c>
      <c r="B429" s="3" t="s">
        <v>1040</v>
      </c>
      <c r="C429" s="3" t="s">
        <v>1964</v>
      </c>
      <c r="D429" s="27"/>
      <c r="E429" s="3" t="s">
        <v>965</v>
      </c>
      <c r="F429" s="133" t="s">
        <v>1069</v>
      </c>
      <c r="G429" s="3" t="s">
        <v>880</v>
      </c>
      <c r="H429" s="29">
        <v>43.84</v>
      </c>
      <c r="I429" s="30">
        <v>1726.403</v>
      </c>
      <c r="J429" s="30">
        <v>1711.5340000000001</v>
      </c>
      <c r="K429" s="31">
        <v>0.94</v>
      </c>
      <c r="L429" s="31">
        <v>0.94</v>
      </c>
      <c r="M429" s="4">
        <v>0</v>
      </c>
      <c r="N429" s="4">
        <v>0</v>
      </c>
      <c r="O429" s="4">
        <v>1</v>
      </c>
      <c r="P429" s="4">
        <v>1</v>
      </c>
      <c r="Q429" s="32">
        <v>1622.81882</v>
      </c>
      <c r="R429" s="32">
        <v>1608.84196</v>
      </c>
      <c r="S429" s="32">
        <v>71144.377068800008</v>
      </c>
      <c r="T429" s="32">
        <v>70531.6315264</v>
      </c>
      <c r="U429" s="33">
        <v>3.7622795054071696E-3</v>
      </c>
      <c r="V429" s="34">
        <v>3.7437603563263292E-3</v>
      </c>
      <c r="W429" s="34">
        <v>-1.8519149080840382E-5</v>
      </c>
      <c r="X429" s="35">
        <v>-39.922286171722533</v>
      </c>
      <c r="Y429" s="36">
        <v>-910636.08968345192</v>
      </c>
      <c r="Z429" s="37">
        <v>0</v>
      </c>
      <c r="AA429" s="38">
        <v>0</v>
      </c>
      <c r="AB429" s="38">
        <v>0</v>
      </c>
      <c r="AC429" s="39">
        <v>0</v>
      </c>
      <c r="AD429" s="40">
        <v>0</v>
      </c>
      <c r="AE429" s="37">
        <v>7.6140882248757393E-3</v>
      </c>
      <c r="AF429" s="38">
        <v>7.5819617841192902E-3</v>
      </c>
      <c r="AG429" s="38">
        <v>-3.2126440756449076E-5</v>
      </c>
      <c r="AH429" s="39">
        <v>-0.45027366656745926</v>
      </c>
      <c r="AI429" s="40">
        <v>-10270.840934476717</v>
      </c>
      <c r="AJ429" s="39">
        <v>-40.372559838289995</v>
      </c>
      <c r="AK429" s="28">
        <v>-920906.93061792862</v>
      </c>
      <c r="AL429" s="41">
        <f t="shared" si="6"/>
        <v>-211.21292291104447</v>
      </c>
      <c r="AM429" s="28">
        <v>5380809.5</v>
      </c>
      <c r="AN429" s="42">
        <v>-0.17114654042629249</v>
      </c>
      <c r="AP429" s="30"/>
      <c r="AR429" s="30"/>
    </row>
    <row r="430" spans="1:44" x14ac:dyDescent="0.2">
      <c r="A430" s="3" t="s">
        <v>762</v>
      </c>
      <c r="B430" s="3" t="s">
        <v>1037</v>
      </c>
      <c r="C430" s="3" t="s">
        <v>1965</v>
      </c>
      <c r="D430" s="27"/>
      <c r="E430" s="3" t="s">
        <v>961</v>
      </c>
      <c r="F430" s="133" t="s">
        <v>1072</v>
      </c>
      <c r="G430" s="3" t="s">
        <v>880</v>
      </c>
      <c r="H430" s="29">
        <v>79.14</v>
      </c>
      <c r="I430" s="30">
        <v>786.39400000000001</v>
      </c>
      <c r="J430" s="30">
        <v>777.84199999999998</v>
      </c>
      <c r="K430" s="31">
        <v>1</v>
      </c>
      <c r="L430" s="31">
        <v>1</v>
      </c>
      <c r="M430" s="4">
        <v>0</v>
      </c>
      <c r="N430" s="4">
        <v>0</v>
      </c>
      <c r="O430" s="4">
        <v>1</v>
      </c>
      <c r="P430" s="4">
        <v>1</v>
      </c>
      <c r="Q430" s="32">
        <v>786.39400000000001</v>
      </c>
      <c r="R430" s="32">
        <v>777.84199999999998</v>
      </c>
      <c r="S430" s="32">
        <v>62235.221160000001</v>
      </c>
      <c r="T430" s="32">
        <v>61558.41588</v>
      </c>
      <c r="U430" s="33">
        <v>3.291142697873649E-3</v>
      </c>
      <c r="V430" s="34">
        <v>3.2674695307952995E-3</v>
      </c>
      <c r="W430" s="34">
        <v>-2.3673167078349516E-5</v>
      </c>
      <c r="X430" s="35">
        <v>-51.032957646560661</v>
      </c>
      <c r="Y430" s="36">
        <v>-644844.04405560601</v>
      </c>
      <c r="Z430" s="37">
        <v>0</v>
      </c>
      <c r="AA430" s="38">
        <v>0</v>
      </c>
      <c r="AB430" s="38">
        <v>0</v>
      </c>
      <c r="AC430" s="39">
        <v>0</v>
      </c>
      <c r="AD430" s="40">
        <v>0</v>
      </c>
      <c r="AE430" s="37">
        <v>6.6606031865124619E-3</v>
      </c>
      <c r="AF430" s="38">
        <v>6.6173650969407055E-3</v>
      </c>
      <c r="AG430" s="38">
        <v>-4.3238089571756393E-5</v>
      </c>
      <c r="AH430" s="39">
        <v>-0.60601089533825081</v>
      </c>
      <c r="AI430" s="40">
        <v>-7657.4538202963204</v>
      </c>
      <c r="AJ430" s="39">
        <v>-51.638968541898912</v>
      </c>
      <c r="AK430" s="28">
        <v>-652501.49787590234</v>
      </c>
      <c r="AL430" s="41">
        <f t="shared" si="6"/>
        <v>-149.56511927185693</v>
      </c>
      <c r="AM430" s="28">
        <v>3636583.25</v>
      </c>
      <c r="AN430" s="42">
        <v>-0.17942707564192359</v>
      </c>
      <c r="AP430" s="30"/>
      <c r="AR430" s="30"/>
    </row>
    <row r="431" spans="1:44" x14ac:dyDescent="0.2">
      <c r="A431" s="3" t="s">
        <v>1451</v>
      </c>
      <c r="B431" s="3" t="s">
        <v>1438</v>
      </c>
      <c r="C431" s="3" t="s">
        <v>1966</v>
      </c>
      <c r="D431" s="27"/>
      <c r="E431" s="3" t="s">
        <v>1471</v>
      </c>
      <c r="F431" s="133" t="s">
        <v>1072</v>
      </c>
      <c r="G431" s="3" t="s">
        <v>880</v>
      </c>
      <c r="H431" s="29">
        <v>20.43</v>
      </c>
      <c r="I431" s="30">
        <v>217.58799999999999</v>
      </c>
      <c r="J431" s="30">
        <v>214.32400000000001</v>
      </c>
      <c r="K431" s="31">
        <v>1</v>
      </c>
      <c r="L431" s="31">
        <v>1</v>
      </c>
      <c r="M431" s="4">
        <v>0.51</v>
      </c>
      <c r="N431" s="4">
        <v>0.51</v>
      </c>
      <c r="O431" s="4">
        <v>0.49</v>
      </c>
      <c r="P431" s="4">
        <v>0.49</v>
      </c>
      <c r="Q431" s="32">
        <v>217.58799999999999</v>
      </c>
      <c r="R431" s="32">
        <v>214.32400000000001</v>
      </c>
      <c r="S431" s="32">
        <v>4445.3228399999998</v>
      </c>
      <c r="T431" s="32">
        <v>4378.6393200000002</v>
      </c>
      <c r="U431" s="33">
        <v>2.3507897187260434E-4</v>
      </c>
      <c r="V431" s="34">
        <v>2.3241453438847411E-4</v>
      </c>
      <c r="W431" s="34">
        <v>-2.664437484130235E-6</v>
      </c>
      <c r="X431" s="35">
        <v>-5.7438079505586366</v>
      </c>
      <c r="Y431" s="36">
        <v>-281145.76361031021</v>
      </c>
      <c r="Z431" s="37">
        <v>2.3699389108501815E-4</v>
      </c>
      <c r="AA431" s="38">
        <v>2.3414629403608109E-4</v>
      </c>
      <c r="AB431" s="38">
        <v>-2.8475970489370589E-6</v>
      </c>
      <c r="AC431" s="39">
        <v>-5.4480973773875736E-2</v>
      </c>
      <c r="AD431" s="40">
        <v>-2666.7143305861841</v>
      </c>
      <c r="AE431" s="37">
        <v>2.3311848421908148E-4</v>
      </c>
      <c r="AF431" s="38">
        <v>2.3063908892204408E-4</v>
      </c>
      <c r="AG431" s="38">
        <v>-2.4793952970374004E-6</v>
      </c>
      <c r="AH431" s="39">
        <v>-3.4750392044068469E-2</v>
      </c>
      <c r="AI431" s="40">
        <v>-1700.9491945212174</v>
      </c>
      <c r="AJ431" s="39">
        <v>-5.8330393163765804</v>
      </c>
      <c r="AK431" s="28">
        <v>-285513.42713541765</v>
      </c>
      <c r="AL431" s="41">
        <f t="shared" si="6"/>
        <v>-65.208944790265178</v>
      </c>
      <c r="AM431" s="28">
        <v>1581697.5</v>
      </c>
      <c r="AN431" s="42">
        <v>-0.1805107658926044</v>
      </c>
      <c r="AP431" s="30"/>
      <c r="AR431" s="30"/>
    </row>
    <row r="432" spans="1:44" x14ac:dyDescent="0.2">
      <c r="A432" s="3" t="s">
        <v>1079</v>
      </c>
      <c r="B432" s="3" t="s">
        <v>311</v>
      </c>
      <c r="C432" s="3" t="s">
        <v>1967</v>
      </c>
      <c r="D432" s="27"/>
      <c r="E432" s="3" t="s">
        <v>624</v>
      </c>
      <c r="F432" s="133" t="s">
        <v>1057</v>
      </c>
      <c r="G432" s="3" t="s">
        <v>880</v>
      </c>
      <c r="H432" s="29">
        <v>42.84</v>
      </c>
      <c r="I432" s="30">
        <v>587.58199999999999</v>
      </c>
      <c r="J432" s="30">
        <v>581.76300000000003</v>
      </c>
      <c r="K432" s="31">
        <v>1</v>
      </c>
      <c r="L432" s="31">
        <v>1</v>
      </c>
      <c r="M432" s="4">
        <v>0</v>
      </c>
      <c r="N432" s="4">
        <v>0</v>
      </c>
      <c r="O432" s="4">
        <v>1</v>
      </c>
      <c r="P432" s="4">
        <v>1</v>
      </c>
      <c r="Q432" s="32">
        <v>587.58199999999999</v>
      </c>
      <c r="R432" s="32">
        <v>581.76300000000003</v>
      </c>
      <c r="S432" s="32">
        <v>25172.012880000002</v>
      </c>
      <c r="T432" s="32">
        <v>24922.726920000005</v>
      </c>
      <c r="U432" s="33">
        <v>1.3311543662359413E-3</v>
      </c>
      <c r="V432" s="34">
        <v>1.3228776223575525E-3</v>
      </c>
      <c r="W432" s="34">
        <v>-8.276743878388778E-6</v>
      </c>
      <c r="X432" s="35">
        <v>-17.842425493779491</v>
      </c>
      <c r="Y432" s="36">
        <v>-416489.85746450722</v>
      </c>
      <c r="Z432" s="37">
        <v>0</v>
      </c>
      <c r="AA432" s="38">
        <v>0</v>
      </c>
      <c r="AB432" s="38">
        <v>0</v>
      </c>
      <c r="AC432" s="39">
        <v>0</v>
      </c>
      <c r="AD432" s="40">
        <v>0</v>
      </c>
      <c r="AE432" s="37">
        <v>2.6939855932772063E-3</v>
      </c>
      <c r="AF432" s="38">
        <v>2.6791264993317522E-3</v>
      </c>
      <c r="AG432" s="38">
        <v>-1.485909394545416E-5</v>
      </c>
      <c r="AH432" s="39">
        <v>-0.20826019176577765</v>
      </c>
      <c r="AI432" s="40">
        <v>-4861.3490141404673</v>
      </c>
      <c r="AJ432" s="39">
        <v>-18.050685685545268</v>
      </c>
      <c r="AK432" s="28">
        <v>-421351.20647864771</v>
      </c>
      <c r="AL432" s="41">
        <f t="shared" si="6"/>
        <v>-96.600652175405898</v>
      </c>
      <c r="AM432" s="28">
        <v>2319821</v>
      </c>
      <c r="AN432" s="42">
        <v>-0.18163091310866128</v>
      </c>
      <c r="AP432" s="30"/>
      <c r="AR432" s="30"/>
    </row>
    <row r="433" spans="1:44" x14ac:dyDescent="0.2">
      <c r="A433" s="3" t="s">
        <v>1175</v>
      </c>
      <c r="B433" s="3" t="s">
        <v>411</v>
      </c>
      <c r="C433" s="3" t="s">
        <v>1968</v>
      </c>
      <c r="D433" s="27"/>
      <c r="E433" s="3" t="s">
        <v>704</v>
      </c>
      <c r="F433" s="133" t="s">
        <v>1055</v>
      </c>
      <c r="G433" s="3" t="s">
        <v>880</v>
      </c>
      <c r="H433" s="29">
        <v>103.28</v>
      </c>
      <c r="I433" s="30">
        <v>222.33</v>
      </c>
      <c r="J433" s="30">
        <v>219.815</v>
      </c>
      <c r="K433" s="31">
        <v>1</v>
      </c>
      <c r="L433" s="31">
        <v>1</v>
      </c>
      <c r="M433" s="4">
        <v>1</v>
      </c>
      <c r="N433" s="4">
        <v>1</v>
      </c>
      <c r="O433" s="4">
        <v>0</v>
      </c>
      <c r="P433" s="4">
        <v>0</v>
      </c>
      <c r="Q433" s="32">
        <v>222.33</v>
      </c>
      <c r="R433" s="32">
        <v>219.815</v>
      </c>
      <c r="S433" s="32">
        <v>22962.242400000003</v>
      </c>
      <c r="T433" s="32">
        <v>22702.493200000001</v>
      </c>
      <c r="U433" s="33">
        <v>1.2142965830759603E-3</v>
      </c>
      <c r="V433" s="34">
        <v>1.2050294625626985E-3</v>
      </c>
      <c r="W433" s="34">
        <v>-9.2671205132617823E-6</v>
      </c>
      <c r="X433" s="35">
        <v>-19.977410166271444</v>
      </c>
      <c r="Y433" s="36">
        <v>-193429.61044027345</v>
      </c>
      <c r="Z433" s="37">
        <v>2.4003687587012754E-3</v>
      </c>
      <c r="AA433" s="38">
        <v>2.3804085079354043E-3</v>
      </c>
      <c r="AB433" s="38">
        <v>-1.9960250765871032E-5</v>
      </c>
      <c r="AC433" s="39">
        <v>-0.38188475398979771</v>
      </c>
      <c r="AD433" s="40">
        <v>-3697.5673314271662</v>
      </c>
      <c r="AE433" s="37">
        <v>0</v>
      </c>
      <c r="AF433" s="38">
        <v>0</v>
      </c>
      <c r="AG433" s="38">
        <v>0</v>
      </c>
      <c r="AH433" s="39">
        <v>0</v>
      </c>
      <c r="AI433" s="40">
        <v>0</v>
      </c>
      <c r="AJ433" s="39">
        <v>-20.359294920261242</v>
      </c>
      <c r="AK433" s="28">
        <v>-197127.1777717006</v>
      </c>
      <c r="AL433" s="41">
        <f t="shared" si="6"/>
        <v>-44.864061353900958</v>
      </c>
      <c r="AM433" s="28">
        <v>1064408.25</v>
      </c>
      <c r="AN433" s="42">
        <v>-0.18519884430781197</v>
      </c>
      <c r="AP433" s="30"/>
      <c r="AR433" s="30"/>
    </row>
    <row r="434" spans="1:44" x14ac:dyDescent="0.2">
      <c r="A434" s="3" t="s">
        <v>1145</v>
      </c>
      <c r="B434" s="3" t="s">
        <v>381</v>
      </c>
      <c r="C434" s="3" t="s">
        <v>1969</v>
      </c>
      <c r="D434" s="27"/>
      <c r="E434" s="3" t="s">
        <v>1355</v>
      </c>
      <c r="F434" s="133" t="s">
        <v>1070</v>
      </c>
      <c r="G434" s="3" t="s">
        <v>878</v>
      </c>
      <c r="H434" s="29">
        <v>31.84</v>
      </c>
      <c r="I434" s="30">
        <v>370.92500000000001</v>
      </c>
      <c r="J434" s="30">
        <v>372.286</v>
      </c>
      <c r="K434" s="31">
        <v>0.89</v>
      </c>
      <c r="L434" s="31">
        <v>0.87</v>
      </c>
      <c r="M434" s="4">
        <v>1</v>
      </c>
      <c r="N434" s="4">
        <v>1</v>
      </c>
      <c r="O434" s="4">
        <v>0</v>
      </c>
      <c r="P434" s="4">
        <v>0</v>
      </c>
      <c r="Q434" s="32">
        <v>330.12325000000004</v>
      </c>
      <c r="R434" s="32">
        <v>323.88882000000001</v>
      </c>
      <c r="S434" s="32">
        <v>10511.124280000002</v>
      </c>
      <c r="T434" s="32">
        <v>10312.6200288</v>
      </c>
      <c r="U434" s="33">
        <v>5.5585260686433495E-4</v>
      </c>
      <c r="V434" s="34">
        <v>5.4738529647123445E-4</v>
      </c>
      <c r="W434" s="34">
        <v>-8.4673103931005031E-6</v>
      </c>
      <c r="X434" s="35">
        <v>-18.253235456043914</v>
      </c>
      <c r="Y434" s="36">
        <v>-573280.00804158021</v>
      </c>
      <c r="Z434" s="37">
        <v>1.0987852972294393E-3</v>
      </c>
      <c r="AA434" s="38">
        <v>1.0813018746179195E-3</v>
      </c>
      <c r="AB434" s="38">
        <v>-1.7483422611519776E-5</v>
      </c>
      <c r="AC434" s="39">
        <v>-0.33449742797399862</v>
      </c>
      <c r="AD434" s="40">
        <v>-10505.57248662056</v>
      </c>
      <c r="AE434" s="37">
        <v>0</v>
      </c>
      <c r="AF434" s="38">
        <v>0</v>
      </c>
      <c r="AG434" s="38">
        <v>0</v>
      </c>
      <c r="AH434" s="39">
        <v>0</v>
      </c>
      <c r="AI434" s="40">
        <v>0</v>
      </c>
      <c r="AJ434" s="39">
        <v>-18.587732884017914</v>
      </c>
      <c r="AK434" s="28">
        <v>-583785.58052820072</v>
      </c>
      <c r="AL434" s="41">
        <f t="shared" si="6"/>
        <v>-132.96655768059833</v>
      </c>
      <c r="AM434" s="28">
        <v>3148090.5</v>
      </c>
      <c r="AN434" s="42">
        <v>-0.18544116839341204</v>
      </c>
      <c r="AP434" s="30"/>
      <c r="AR434" s="30"/>
    </row>
    <row r="435" spans="1:44" x14ac:dyDescent="0.2">
      <c r="A435" s="3" t="s">
        <v>899</v>
      </c>
      <c r="B435" s="3" t="s">
        <v>983</v>
      </c>
      <c r="C435" s="3" t="s">
        <v>1970</v>
      </c>
      <c r="D435" s="27"/>
      <c r="E435" s="3" t="s">
        <v>787</v>
      </c>
      <c r="F435" s="133" t="s">
        <v>1061</v>
      </c>
      <c r="G435" s="3" t="s">
        <v>880</v>
      </c>
      <c r="H435" s="29">
        <v>41.26</v>
      </c>
      <c r="I435" s="30">
        <v>1077.0830000000001</v>
      </c>
      <c r="J435" s="30">
        <v>1067.674</v>
      </c>
      <c r="K435" s="31">
        <v>1</v>
      </c>
      <c r="L435" s="31">
        <v>1</v>
      </c>
      <c r="M435" s="4">
        <v>0</v>
      </c>
      <c r="N435" s="4">
        <v>0</v>
      </c>
      <c r="O435" s="4">
        <v>1</v>
      </c>
      <c r="P435" s="4">
        <v>1</v>
      </c>
      <c r="Q435" s="32">
        <v>1077.0830000000001</v>
      </c>
      <c r="R435" s="32">
        <v>1067.674</v>
      </c>
      <c r="S435" s="32">
        <v>44440.444580000003</v>
      </c>
      <c r="T435" s="32">
        <v>44052.229240000001</v>
      </c>
      <c r="U435" s="33">
        <v>2.3501136807035266E-3</v>
      </c>
      <c r="V435" s="34">
        <v>2.3382556998526485E-3</v>
      </c>
      <c r="W435" s="34">
        <v>-1.1857980850878049E-5</v>
      </c>
      <c r="X435" s="35">
        <v>-25.562605651105702</v>
      </c>
      <c r="Y435" s="36">
        <v>-619549.33715719113</v>
      </c>
      <c r="Z435" s="37">
        <v>0</v>
      </c>
      <c r="AA435" s="38">
        <v>0</v>
      </c>
      <c r="AB435" s="38">
        <v>0</v>
      </c>
      <c r="AC435" s="39">
        <v>0</v>
      </c>
      <c r="AD435" s="40">
        <v>0</v>
      </c>
      <c r="AE435" s="37">
        <v>4.7561519226965417E-3</v>
      </c>
      <c r="AF435" s="38">
        <v>4.7354968455241989E-3</v>
      </c>
      <c r="AG435" s="38">
        <v>-2.0655077172342801E-5</v>
      </c>
      <c r="AH435" s="39">
        <v>-0.28949479346720497</v>
      </c>
      <c r="AI435" s="40">
        <v>-7016.3546647407902</v>
      </c>
      <c r="AJ435" s="39">
        <v>-25.852100444572908</v>
      </c>
      <c r="AK435" s="28">
        <v>-626565.69182193186</v>
      </c>
      <c r="AL435" s="41">
        <f t="shared" si="6"/>
        <v>-143.69826527966615</v>
      </c>
      <c r="AM435" s="28">
        <v>3365217.5</v>
      </c>
      <c r="AN435" s="42">
        <v>-0.18618876545778448</v>
      </c>
      <c r="AP435" s="30"/>
      <c r="AR435" s="30"/>
    </row>
    <row r="436" spans="1:44" x14ac:dyDescent="0.2">
      <c r="A436" s="3" t="s">
        <v>280</v>
      </c>
      <c r="B436" s="3" t="s">
        <v>559</v>
      </c>
      <c r="C436" s="3" t="s">
        <v>1971</v>
      </c>
      <c r="D436" s="27"/>
      <c r="E436" s="3" t="s">
        <v>122</v>
      </c>
      <c r="F436" s="133" t="s">
        <v>1059</v>
      </c>
      <c r="G436" s="3" t="s">
        <v>880</v>
      </c>
      <c r="H436" s="29">
        <v>35.11</v>
      </c>
      <c r="I436" s="30">
        <v>237.76</v>
      </c>
      <c r="J436" s="30">
        <v>234.643</v>
      </c>
      <c r="K436" s="31">
        <v>1</v>
      </c>
      <c r="L436" s="31">
        <v>1</v>
      </c>
      <c r="M436" s="4">
        <v>0</v>
      </c>
      <c r="N436" s="4">
        <v>0</v>
      </c>
      <c r="O436" s="4">
        <v>1</v>
      </c>
      <c r="P436" s="4">
        <v>1</v>
      </c>
      <c r="Q436" s="32">
        <v>237.76</v>
      </c>
      <c r="R436" s="32">
        <v>234.643</v>
      </c>
      <c r="S436" s="32">
        <v>8347.7536</v>
      </c>
      <c r="T436" s="32">
        <v>8238.3157300000003</v>
      </c>
      <c r="U436" s="33">
        <v>4.41448552639617E-4</v>
      </c>
      <c r="V436" s="34">
        <v>4.372829490174112E-4</v>
      </c>
      <c r="W436" s="34">
        <v>-4.1656036222058063E-6</v>
      </c>
      <c r="X436" s="35">
        <v>-8.9799169042661866</v>
      </c>
      <c r="Y436" s="36">
        <v>-255765.22085634258</v>
      </c>
      <c r="Z436" s="37">
        <v>0</v>
      </c>
      <c r="AA436" s="38">
        <v>0</v>
      </c>
      <c r="AB436" s="38">
        <v>0</v>
      </c>
      <c r="AC436" s="39">
        <v>0</v>
      </c>
      <c r="AD436" s="40">
        <v>0</v>
      </c>
      <c r="AE436" s="37">
        <v>8.9340205099354506E-4</v>
      </c>
      <c r="AF436" s="38">
        <v>8.8559691132324158E-4</v>
      </c>
      <c r="AG436" s="38">
        <v>-7.8051396703034777E-6</v>
      </c>
      <c r="AH436" s="39">
        <v>-0.10939428005927439</v>
      </c>
      <c r="AI436" s="40">
        <v>-3115.7584750576584</v>
      </c>
      <c r="AJ436" s="39">
        <v>-9.0893111843254601</v>
      </c>
      <c r="AK436" s="28">
        <v>-258880.97933140025</v>
      </c>
      <c r="AL436" s="41">
        <f t="shared" si="6"/>
        <v>-59.322182030843159</v>
      </c>
      <c r="AM436" s="28">
        <v>1377966.375</v>
      </c>
      <c r="AN436" s="42">
        <v>-0.18787176815646189</v>
      </c>
      <c r="AP436" s="30"/>
      <c r="AR436" s="30"/>
    </row>
    <row r="437" spans="1:44" x14ac:dyDescent="0.2">
      <c r="A437" s="3" t="s">
        <v>1554</v>
      </c>
      <c r="B437" s="3" t="s">
        <v>1519</v>
      </c>
      <c r="C437" s="3" t="s">
        <v>1972</v>
      </c>
      <c r="D437" s="27"/>
      <c r="E437" s="3" t="s">
        <v>2116</v>
      </c>
      <c r="F437" s="133" t="s">
        <v>1069</v>
      </c>
      <c r="G437" s="3" t="s">
        <v>880</v>
      </c>
      <c r="H437" s="29">
        <v>24.46</v>
      </c>
      <c r="I437" s="30">
        <v>528.98</v>
      </c>
      <c r="J437" s="30">
        <v>519.471</v>
      </c>
      <c r="K437" s="31">
        <v>1</v>
      </c>
      <c r="L437" s="31">
        <v>1</v>
      </c>
      <c r="M437" s="4">
        <v>0.21</v>
      </c>
      <c r="N437" s="4">
        <v>0.21</v>
      </c>
      <c r="O437" s="4">
        <v>0.79</v>
      </c>
      <c r="P437" s="4">
        <v>0.79</v>
      </c>
      <c r="Q437" s="32">
        <v>528.98</v>
      </c>
      <c r="R437" s="32">
        <v>519.471</v>
      </c>
      <c r="S437" s="32">
        <v>12938.8508</v>
      </c>
      <c r="T437" s="32">
        <v>12706.26066</v>
      </c>
      <c r="U437" s="33">
        <v>6.8423641043740798E-4</v>
      </c>
      <c r="V437" s="34">
        <v>6.7443775092954799E-4</v>
      </c>
      <c r="W437" s="34">
        <v>-9.7986595078599888E-6</v>
      </c>
      <c r="X437" s="35">
        <v>-21.123264749608289</v>
      </c>
      <c r="Y437" s="36">
        <v>-863584.00448112388</v>
      </c>
      <c r="Z437" s="37">
        <v>2.8403945335502467E-4</v>
      </c>
      <c r="AA437" s="38">
        <v>2.7977892338330813E-4</v>
      </c>
      <c r="AB437" s="38">
        <v>-4.2605299717165396E-6</v>
      </c>
      <c r="AC437" s="39">
        <v>-8.1513577118835848E-2</v>
      </c>
      <c r="AD437" s="40">
        <v>-3332.5256385460279</v>
      </c>
      <c r="AE437" s="37">
        <v>1.0939566682171096E-3</v>
      </c>
      <c r="AF437" s="38">
        <v>1.079052344601215E-3</v>
      </c>
      <c r="AG437" s="38">
        <v>-1.4904323615894544E-5</v>
      </c>
      <c r="AH437" s="39">
        <v>-0.20889411600597663</v>
      </c>
      <c r="AI437" s="40">
        <v>-8540.233687897653</v>
      </c>
      <c r="AJ437" s="39">
        <v>-21.413672442733102</v>
      </c>
      <c r="AK437" s="28">
        <v>-875456.76380756753</v>
      </c>
      <c r="AL437" s="41">
        <f t="shared" si="6"/>
        <v>-200.29966287530638</v>
      </c>
      <c r="AM437" s="28">
        <v>4599506.5</v>
      </c>
      <c r="AN437" s="42">
        <v>-0.19033710764569362</v>
      </c>
      <c r="AP437" s="30"/>
      <c r="AR437" s="30"/>
    </row>
    <row r="438" spans="1:44" x14ac:dyDescent="0.2">
      <c r="A438" s="3" t="s">
        <v>304</v>
      </c>
      <c r="B438" s="3" t="s">
        <v>584</v>
      </c>
      <c r="C438" s="3" t="s">
        <v>1973</v>
      </c>
      <c r="D438" s="27"/>
      <c r="E438" s="3" t="s">
        <v>200</v>
      </c>
      <c r="F438" s="133" t="s">
        <v>1054</v>
      </c>
      <c r="G438" s="3" t="s">
        <v>878</v>
      </c>
      <c r="H438" s="29">
        <v>399.38</v>
      </c>
      <c r="I438" s="30">
        <v>102.628</v>
      </c>
      <c r="J438" s="30">
        <v>103.383</v>
      </c>
      <c r="K438" s="31">
        <v>0.76</v>
      </c>
      <c r="L438" s="31">
        <v>0.74</v>
      </c>
      <c r="M438" s="4">
        <v>1</v>
      </c>
      <c r="N438" s="4">
        <v>1</v>
      </c>
      <c r="O438" s="4">
        <v>0</v>
      </c>
      <c r="P438" s="4">
        <v>0</v>
      </c>
      <c r="Q438" s="32">
        <v>77.997280000000003</v>
      </c>
      <c r="R438" s="32">
        <v>76.503419999999991</v>
      </c>
      <c r="S438" s="32">
        <v>31150.553686400002</v>
      </c>
      <c r="T438" s="32">
        <v>30553.935879599998</v>
      </c>
      <c r="U438" s="33">
        <v>1.6473134567345118E-3</v>
      </c>
      <c r="V438" s="34">
        <v>1.6217775117390867E-3</v>
      </c>
      <c r="W438" s="34">
        <v>-2.5535944995425152E-5</v>
      </c>
      <c r="X438" s="35">
        <v>-55.048603978648188</v>
      </c>
      <c r="Y438" s="36">
        <v>-137835.15443599626</v>
      </c>
      <c r="Z438" s="37">
        <v>3.2563377122558986E-3</v>
      </c>
      <c r="AA438" s="38">
        <v>3.2036502897713737E-3</v>
      </c>
      <c r="AB438" s="38">
        <v>-5.2687422484524842E-5</v>
      </c>
      <c r="AC438" s="39">
        <v>-1.0080295888998707</v>
      </c>
      <c r="AD438" s="40">
        <v>-2523.9861507833912</v>
      </c>
      <c r="AE438" s="37">
        <v>0</v>
      </c>
      <c r="AF438" s="38">
        <v>0</v>
      </c>
      <c r="AG438" s="38">
        <v>0</v>
      </c>
      <c r="AH438" s="39">
        <v>0</v>
      </c>
      <c r="AI438" s="40">
        <v>0</v>
      </c>
      <c r="AJ438" s="39">
        <v>-56.056633567548062</v>
      </c>
      <c r="AK438" s="28">
        <v>-140359.14058677966</v>
      </c>
      <c r="AL438" s="41">
        <f t="shared" si="6"/>
        <v>-31.96948394439525</v>
      </c>
      <c r="AM438" s="28">
        <v>733361.625</v>
      </c>
      <c r="AN438" s="42">
        <v>-0.19139144427795721</v>
      </c>
      <c r="AP438" s="30"/>
      <c r="AR438" s="30"/>
    </row>
    <row r="439" spans="1:44" x14ac:dyDescent="0.2">
      <c r="A439" s="3" t="s">
        <v>206</v>
      </c>
      <c r="B439" s="3" t="s">
        <v>486</v>
      </c>
      <c r="C439" s="3" t="s">
        <v>1974</v>
      </c>
      <c r="D439" s="27"/>
      <c r="E439" s="3" t="s">
        <v>58</v>
      </c>
      <c r="F439" s="133" t="s">
        <v>1068</v>
      </c>
      <c r="G439" s="3" t="s">
        <v>880</v>
      </c>
      <c r="H439" s="29">
        <v>213.1</v>
      </c>
      <c r="I439" s="30">
        <v>180.452</v>
      </c>
      <c r="J439" s="30">
        <v>178.57499999999999</v>
      </c>
      <c r="K439" s="31">
        <v>1</v>
      </c>
      <c r="L439" s="31">
        <v>1</v>
      </c>
      <c r="M439" s="4">
        <v>1</v>
      </c>
      <c r="N439" s="4">
        <v>1</v>
      </c>
      <c r="O439" s="4">
        <v>0</v>
      </c>
      <c r="P439" s="4">
        <v>0</v>
      </c>
      <c r="Q439" s="32">
        <v>180.452</v>
      </c>
      <c r="R439" s="32">
        <v>178.57499999999999</v>
      </c>
      <c r="S439" s="32">
        <v>38454.321199999998</v>
      </c>
      <c r="T439" s="32">
        <v>38054.332499999997</v>
      </c>
      <c r="U439" s="33">
        <v>2.033553606143686E-3</v>
      </c>
      <c r="V439" s="34">
        <v>2.0198923279781985E-3</v>
      </c>
      <c r="W439" s="34">
        <v>-1.3661278165487487E-5</v>
      </c>
      <c r="X439" s="35">
        <v>-29.450027861072051</v>
      </c>
      <c r="Y439" s="36">
        <v>-138198.15983609599</v>
      </c>
      <c r="Z439" s="37">
        <v>4.01984046843544E-3</v>
      </c>
      <c r="AA439" s="38">
        <v>3.9900840867470337E-3</v>
      </c>
      <c r="AB439" s="38">
        <v>-2.9756381688406282E-5</v>
      </c>
      <c r="AC439" s="39">
        <v>-0.56930690069953493</v>
      </c>
      <c r="AD439" s="40">
        <v>-2671.5481027664709</v>
      </c>
      <c r="AE439" s="37">
        <v>0</v>
      </c>
      <c r="AF439" s="38">
        <v>0</v>
      </c>
      <c r="AG439" s="38">
        <v>0</v>
      </c>
      <c r="AH439" s="39">
        <v>0</v>
      </c>
      <c r="AI439" s="40">
        <v>0</v>
      </c>
      <c r="AJ439" s="39">
        <v>-30.019334761771585</v>
      </c>
      <c r="AK439" s="28">
        <v>-140869.70793886247</v>
      </c>
      <c r="AL439" s="41">
        <f t="shared" si="6"/>
        <v>-32.053679412218415</v>
      </c>
      <c r="AM439" s="28">
        <v>728811.8125</v>
      </c>
      <c r="AN439" s="42">
        <v>-0.19328680672126519</v>
      </c>
      <c r="AP439" s="30"/>
      <c r="AR439" s="30"/>
    </row>
    <row r="440" spans="1:44" x14ac:dyDescent="0.2">
      <c r="A440" s="3" t="s">
        <v>281</v>
      </c>
      <c r="B440" s="3" t="s">
        <v>560</v>
      </c>
      <c r="C440" s="3" t="s">
        <v>1975</v>
      </c>
      <c r="D440" s="27"/>
      <c r="E440" s="3" t="s">
        <v>123</v>
      </c>
      <c r="F440" s="133" t="s">
        <v>1071</v>
      </c>
      <c r="G440" s="3" t="s">
        <v>880</v>
      </c>
      <c r="H440" s="29">
        <v>96.06</v>
      </c>
      <c r="I440" s="30">
        <v>841.03399999999999</v>
      </c>
      <c r="J440" s="30">
        <v>832.91399999999999</v>
      </c>
      <c r="K440" s="31">
        <v>1</v>
      </c>
      <c r="L440" s="31">
        <v>1</v>
      </c>
      <c r="M440" s="4">
        <v>0.4</v>
      </c>
      <c r="N440" s="4">
        <v>0.4</v>
      </c>
      <c r="O440" s="4">
        <v>0.6</v>
      </c>
      <c r="P440" s="4">
        <v>0.6</v>
      </c>
      <c r="Q440" s="32">
        <v>841.03399999999999</v>
      </c>
      <c r="R440" s="32">
        <v>832.91399999999999</v>
      </c>
      <c r="S440" s="32">
        <v>80789.726039999994</v>
      </c>
      <c r="T440" s="32">
        <v>80009.718840000001</v>
      </c>
      <c r="U440" s="33">
        <v>4.2723479078861613E-3</v>
      </c>
      <c r="V440" s="34">
        <v>4.2468493501655498E-3</v>
      </c>
      <c r="W440" s="34">
        <v>-2.5498557720611548E-5</v>
      </c>
      <c r="X440" s="35">
        <v>-54.968007106849484</v>
      </c>
      <c r="Y440" s="36">
        <v>-572225.76625910343</v>
      </c>
      <c r="Z440" s="37">
        <v>3.3781567328189316E-3</v>
      </c>
      <c r="AA440" s="38">
        <v>3.3556810481811857E-3</v>
      </c>
      <c r="AB440" s="38">
        <v>-2.24756846377459E-5</v>
      </c>
      <c r="AC440" s="39">
        <v>-0.43001069472101477</v>
      </c>
      <c r="AD440" s="40">
        <v>-4476.4802698419189</v>
      </c>
      <c r="AE440" s="37">
        <v>5.1878177341034074E-3</v>
      </c>
      <c r="AF440" s="38">
        <v>5.1604984952824794E-3</v>
      </c>
      <c r="AG440" s="38">
        <v>-2.7319238820927919E-5</v>
      </c>
      <c r="AH440" s="39">
        <v>-0.38289749944559143</v>
      </c>
      <c r="AI440" s="40">
        <v>-3986.0243540036581</v>
      </c>
      <c r="AJ440" s="39">
        <v>-55.780915301016087</v>
      </c>
      <c r="AK440" s="28">
        <v>-580688.270882949</v>
      </c>
      <c r="AL440" s="41">
        <f t="shared" si="6"/>
        <v>-132.72203685515069</v>
      </c>
      <c r="AM440" s="28">
        <v>2960139.25</v>
      </c>
      <c r="AN440" s="42">
        <v>-0.19616924132300498</v>
      </c>
      <c r="AP440" s="30"/>
      <c r="AR440" s="30"/>
    </row>
    <row r="441" spans="1:44" x14ac:dyDescent="0.2">
      <c r="A441" s="3" t="s">
        <v>295</v>
      </c>
      <c r="B441" s="3" t="s">
        <v>573</v>
      </c>
      <c r="C441" s="3" t="s">
        <v>1976</v>
      </c>
      <c r="D441" s="27"/>
      <c r="E441" s="3" t="s">
        <v>137</v>
      </c>
      <c r="F441" s="133" t="s">
        <v>1065</v>
      </c>
      <c r="G441" s="3" t="s">
        <v>880</v>
      </c>
      <c r="H441" s="29">
        <v>71.44</v>
      </c>
      <c r="I441" s="30">
        <v>111.952</v>
      </c>
      <c r="J441" s="30">
        <v>109.875</v>
      </c>
      <c r="K441" s="31">
        <v>1</v>
      </c>
      <c r="L441" s="31">
        <v>1</v>
      </c>
      <c r="M441" s="4">
        <v>1</v>
      </c>
      <c r="N441" s="4">
        <v>1</v>
      </c>
      <c r="O441" s="4">
        <v>0</v>
      </c>
      <c r="P441" s="4">
        <v>0</v>
      </c>
      <c r="Q441" s="32">
        <v>111.952</v>
      </c>
      <c r="R441" s="32">
        <v>109.875</v>
      </c>
      <c r="S441" s="32">
        <v>7997.85088</v>
      </c>
      <c r="T441" s="32">
        <v>7849.4699999999993</v>
      </c>
      <c r="U441" s="33">
        <v>4.22944886059345E-4</v>
      </c>
      <c r="V441" s="34">
        <v>4.1664334098344863E-4</v>
      </c>
      <c r="W441" s="34">
        <v>-6.3015450758963716E-6</v>
      </c>
      <c r="X441" s="35">
        <v>-13.584430080765236</v>
      </c>
      <c r="Y441" s="36">
        <v>-190151.59687521326</v>
      </c>
      <c r="Z441" s="37">
        <v>8.3605908581051733E-4</v>
      </c>
      <c r="AA441" s="38">
        <v>8.2303494185315801E-4</v>
      </c>
      <c r="AB441" s="38">
        <v>-1.3024143957359314E-5</v>
      </c>
      <c r="AC441" s="39">
        <v>-0.24918133892326516</v>
      </c>
      <c r="AD441" s="40">
        <v>-3487.9806680188294</v>
      </c>
      <c r="AE441" s="37">
        <v>0</v>
      </c>
      <c r="AF441" s="38">
        <v>0</v>
      </c>
      <c r="AG441" s="38">
        <v>0</v>
      </c>
      <c r="AH441" s="39">
        <v>0</v>
      </c>
      <c r="AI441" s="40">
        <v>0</v>
      </c>
      <c r="AJ441" s="39">
        <v>-13.8336114196885</v>
      </c>
      <c r="AK441" s="28">
        <v>-193639.5775432321</v>
      </c>
      <c r="AL441" s="41">
        <f t="shared" si="6"/>
        <v>-44.103758929845824</v>
      </c>
      <c r="AM441" s="28">
        <v>970468.625</v>
      </c>
      <c r="AN441" s="42">
        <v>-0.19953203282922422</v>
      </c>
      <c r="AP441" s="30"/>
      <c r="AR441" s="30"/>
    </row>
    <row r="442" spans="1:44" x14ac:dyDescent="0.2">
      <c r="A442" s="3" t="s">
        <v>1241</v>
      </c>
      <c r="B442" s="3" t="s">
        <v>474</v>
      </c>
      <c r="C442" s="3" t="s">
        <v>1977</v>
      </c>
      <c r="D442" s="27"/>
      <c r="E442" s="3" t="s">
        <v>48</v>
      </c>
      <c r="F442" s="133" t="s">
        <v>1061</v>
      </c>
      <c r="G442" s="3" t="s">
        <v>880</v>
      </c>
      <c r="H442" s="29">
        <v>107.16</v>
      </c>
      <c r="I442" s="30">
        <v>194.3</v>
      </c>
      <c r="J442" s="30">
        <v>192.3</v>
      </c>
      <c r="K442" s="31">
        <v>0.87</v>
      </c>
      <c r="L442" s="31">
        <v>0.87</v>
      </c>
      <c r="M442" s="4">
        <v>1</v>
      </c>
      <c r="N442" s="4">
        <v>1</v>
      </c>
      <c r="O442" s="4">
        <v>0</v>
      </c>
      <c r="P442" s="4">
        <v>0</v>
      </c>
      <c r="Q442" s="32">
        <v>169.041</v>
      </c>
      <c r="R442" s="32">
        <v>167.30100000000002</v>
      </c>
      <c r="S442" s="32">
        <v>18114.433559999998</v>
      </c>
      <c r="T442" s="32">
        <v>17927.975160000002</v>
      </c>
      <c r="U442" s="33">
        <v>9.579332189379072E-4</v>
      </c>
      <c r="V442" s="34">
        <v>9.5160201487879792E-4</v>
      </c>
      <c r="W442" s="34">
        <v>-6.3312040591092817E-6</v>
      </c>
      <c r="X442" s="35">
        <v>-13.648366842126107</v>
      </c>
      <c r="Y442" s="36">
        <v>-127364.3788925542</v>
      </c>
      <c r="Z442" s="37">
        <v>1.8936007921854319E-3</v>
      </c>
      <c r="AA442" s="38">
        <v>1.8797893352488083E-3</v>
      </c>
      <c r="AB442" s="38">
        <v>-1.3811456936623596E-5</v>
      </c>
      <c r="AC442" s="39">
        <v>-0.26424441738485455</v>
      </c>
      <c r="AD442" s="40">
        <v>-2465.8866870553807</v>
      </c>
      <c r="AE442" s="37">
        <v>0</v>
      </c>
      <c r="AF442" s="38">
        <v>0</v>
      </c>
      <c r="AG442" s="38">
        <v>0</v>
      </c>
      <c r="AH442" s="39">
        <v>0</v>
      </c>
      <c r="AI442" s="40">
        <v>0</v>
      </c>
      <c r="AJ442" s="39">
        <v>-13.912611259510962</v>
      </c>
      <c r="AK442" s="28">
        <v>-129830.26557960958</v>
      </c>
      <c r="AL442" s="41">
        <f t="shared" si="6"/>
        <v>-29.540892399726026</v>
      </c>
      <c r="AM442" s="28">
        <v>635665.0625</v>
      </c>
      <c r="AN442" s="42">
        <v>-0.2042431985627802</v>
      </c>
      <c r="AP442" s="30"/>
      <c r="AR442" s="30"/>
    </row>
    <row r="443" spans="1:44" x14ac:dyDescent="0.2">
      <c r="A443" s="3" t="s">
        <v>1275</v>
      </c>
      <c r="B443" s="3" t="s">
        <v>194</v>
      </c>
      <c r="C443" s="3" t="s">
        <v>1978</v>
      </c>
      <c r="D443" s="27"/>
      <c r="E443" s="3" t="s">
        <v>2117</v>
      </c>
      <c r="F443" s="133" t="s">
        <v>1055</v>
      </c>
      <c r="G443" s="3" t="s">
        <v>880</v>
      </c>
      <c r="H443" s="29">
        <v>80.87</v>
      </c>
      <c r="I443" s="30">
        <v>1904.7909999999999</v>
      </c>
      <c r="J443" s="30">
        <v>1886.434</v>
      </c>
      <c r="K443" s="31">
        <v>1</v>
      </c>
      <c r="L443" s="31">
        <v>1</v>
      </c>
      <c r="M443" s="4">
        <v>1</v>
      </c>
      <c r="N443" s="4">
        <v>1</v>
      </c>
      <c r="O443" s="4">
        <v>0</v>
      </c>
      <c r="P443" s="4">
        <v>0</v>
      </c>
      <c r="Q443" s="32">
        <v>1904.7909999999999</v>
      </c>
      <c r="R443" s="32">
        <v>1886.434</v>
      </c>
      <c r="S443" s="32">
        <v>154040.44817000002</v>
      </c>
      <c r="T443" s="32">
        <v>152555.91758000001</v>
      </c>
      <c r="U443" s="33">
        <v>8.1460158206639495E-3</v>
      </c>
      <c r="V443" s="34">
        <v>8.0975412591330152E-3</v>
      </c>
      <c r="W443" s="34">
        <v>-4.8474561530934338E-5</v>
      </c>
      <c r="X443" s="35">
        <v>-104.49806894685437</v>
      </c>
      <c r="Y443" s="36">
        <v>-1292173.4752918803</v>
      </c>
      <c r="Z443" s="37">
        <v>1.6102690361095177E-2</v>
      </c>
      <c r="AA443" s="38">
        <v>1.599583803171558E-2</v>
      </c>
      <c r="AB443" s="38">
        <v>-1.0685232937959754E-4</v>
      </c>
      <c r="AC443" s="39">
        <v>-2.0443267971430101</v>
      </c>
      <c r="AD443" s="40">
        <v>-25279.173947607393</v>
      </c>
      <c r="AE443" s="37">
        <v>0</v>
      </c>
      <c r="AF443" s="38">
        <v>0</v>
      </c>
      <c r="AG443" s="38">
        <v>0</v>
      </c>
      <c r="AH443" s="39">
        <v>0</v>
      </c>
      <c r="AI443" s="40">
        <v>0</v>
      </c>
      <c r="AJ443" s="39">
        <v>-106.54239574399739</v>
      </c>
      <c r="AK443" s="28">
        <v>-1317452.6492394877</v>
      </c>
      <c r="AL443" s="41">
        <f t="shared" si="6"/>
        <v>-299.70669921438315</v>
      </c>
      <c r="AM443" s="28">
        <v>6442214</v>
      </c>
      <c r="AN443" s="42">
        <v>-0.20450308686415691</v>
      </c>
      <c r="AP443" s="30"/>
      <c r="AR443" s="30"/>
    </row>
    <row r="444" spans="1:44" x14ac:dyDescent="0.2">
      <c r="A444" s="3" t="s">
        <v>218</v>
      </c>
      <c r="B444" s="3" t="s">
        <v>498</v>
      </c>
      <c r="C444" s="3" t="s">
        <v>1979</v>
      </c>
      <c r="D444" s="27"/>
      <c r="E444" s="3" t="s">
        <v>68</v>
      </c>
      <c r="F444" s="133" t="s">
        <v>1067</v>
      </c>
      <c r="G444" s="3" t="s">
        <v>880</v>
      </c>
      <c r="H444" s="29">
        <v>18.690000000000001</v>
      </c>
      <c r="I444" s="30">
        <v>188.62</v>
      </c>
      <c r="J444" s="30">
        <v>185.59</v>
      </c>
      <c r="K444" s="31">
        <v>1</v>
      </c>
      <c r="L444" s="31">
        <v>1</v>
      </c>
      <c r="M444" s="4">
        <v>0</v>
      </c>
      <c r="N444" s="4">
        <v>0</v>
      </c>
      <c r="O444" s="4">
        <v>1</v>
      </c>
      <c r="P444" s="4">
        <v>1</v>
      </c>
      <c r="Q444" s="32">
        <v>188.62</v>
      </c>
      <c r="R444" s="32">
        <v>185.59</v>
      </c>
      <c r="S444" s="32">
        <v>3525.3078000000005</v>
      </c>
      <c r="T444" s="32">
        <v>3468.6771000000003</v>
      </c>
      <c r="U444" s="33">
        <v>1.864264448245277E-4</v>
      </c>
      <c r="V444" s="34">
        <v>1.8411449635921662E-4</v>
      </c>
      <c r="W444" s="34">
        <v>-2.3119484653110769E-6</v>
      </c>
      <c r="X444" s="35">
        <v>-4.9839367804384631</v>
      </c>
      <c r="Y444" s="36">
        <v>-266663.28413260903</v>
      </c>
      <c r="Z444" s="37">
        <v>0</v>
      </c>
      <c r="AA444" s="38">
        <v>0</v>
      </c>
      <c r="AB444" s="38">
        <v>0</v>
      </c>
      <c r="AC444" s="39">
        <v>0</v>
      </c>
      <c r="AD444" s="40">
        <v>0</v>
      </c>
      <c r="AE444" s="37">
        <v>3.7728919297564588E-4</v>
      </c>
      <c r="AF444" s="38">
        <v>3.7287351284091401E-4</v>
      </c>
      <c r="AG444" s="38">
        <v>-4.4156801347318636E-6</v>
      </c>
      <c r="AH444" s="39">
        <v>-6.1888725854440739E-2</v>
      </c>
      <c r="AI444" s="40">
        <v>-3311.3282961177492</v>
      </c>
      <c r="AJ444" s="39">
        <v>-5.0458255062929043</v>
      </c>
      <c r="AK444" s="28">
        <v>-269974.6124287268</v>
      </c>
      <c r="AL444" s="41">
        <f t="shared" si="6"/>
        <v>-61.849878686759673</v>
      </c>
      <c r="AM444" s="28">
        <v>1313810.5</v>
      </c>
      <c r="AN444" s="42">
        <v>-0.20548976616393827</v>
      </c>
      <c r="AP444" s="30"/>
      <c r="AR444" s="30"/>
    </row>
    <row r="445" spans="1:44" x14ac:dyDescent="0.2">
      <c r="A445" s="3" t="s">
        <v>1085</v>
      </c>
      <c r="B445" s="3" t="s">
        <v>317</v>
      </c>
      <c r="C445" s="3" t="s">
        <v>1980</v>
      </c>
      <c r="D445" s="27"/>
      <c r="E445" s="3" t="s">
        <v>630</v>
      </c>
      <c r="F445" s="133" t="s">
        <v>1059</v>
      </c>
      <c r="G445" s="3" t="s">
        <v>880</v>
      </c>
      <c r="H445" s="29">
        <v>73.7</v>
      </c>
      <c r="I445" s="30">
        <v>413.98700000000002</v>
      </c>
      <c r="J445" s="30">
        <v>409.57499999999999</v>
      </c>
      <c r="K445" s="31">
        <v>1</v>
      </c>
      <c r="L445" s="31">
        <v>1</v>
      </c>
      <c r="M445" s="4">
        <v>0</v>
      </c>
      <c r="N445" s="4">
        <v>0</v>
      </c>
      <c r="O445" s="4">
        <v>1</v>
      </c>
      <c r="P445" s="4">
        <v>1</v>
      </c>
      <c r="Q445" s="32">
        <v>413.98700000000002</v>
      </c>
      <c r="R445" s="32">
        <v>409.57499999999999</v>
      </c>
      <c r="S445" s="32">
        <v>30510.841900000003</v>
      </c>
      <c r="T445" s="32">
        <v>30185.677500000002</v>
      </c>
      <c r="U445" s="33">
        <v>1.6134840152171217E-3</v>
      </c>
      <c r="V445" s="34">
        <v>1.6022306631465455E-3</v>
      </c>
      <c r="W445" s="34">
        <v>-1.1253352070576166E-5</v>
      </c>
      <c r="X445" s="35">
        <v>-24.259189220388361</v>
      </c>
      <c r="Y445" s="36">
        <v>-329161.31913688412</v>
      </c>
      <c r="Z445" s="37">
        <v>0</v>
      </c>
      <c r="AA445" s="38">
        <v>0</v>
      </c>
      <c r="AB445" s="38">
        <v>0</v>
      </c>
      <c r="AC445" s="39">
        <v>0</v>
      </c>
      <c r="AD445" s="40">
        <v>0</v>
      </c>
      <c r="AE445" s="37">
        <v>3.2653633584728463E-3</v>
      </c>
      <c r="AF445" s="38">
        <v>3.244879613299243E-3</v>
      </c>
      <c r="AG445" s="38">
        <v>-2.0483745173603338E-5</v>
      </c>
      <c r="AH445" s="39">
        <v>-0.28709346031431709</v>
      </c>
      <c r="AI445" s="40">
        <v>-3895.4336541969756</v>
      </c>
      <c r="AJ445" s="39">
        <v>-24.546282680702678</v>
      </c>
      <c r="AK445" s="28">
        <v>-333056.75279108109</v>
      </c>
      <c r="AL445" s="41">
        <f t="shared" si="6"/>
        <v>-76.345672120598138</v>
      </c>
      <c r="AM445" s="28">
        <v>1610596.375</v>
      </c>
      <c r="AN445" s="42">
        <v>-0.20679094896825476</v>
      </c>
      <c r="AP445" s="30"/>
      <c r="AR445" s="30"/>
    </row>
    <row r="446" spans="1:44" x14ac:dyDescent="0.2">
      <c r="A446" s="3" t="s">
        <v>267</v>
      </c>
      <c r="B446" s="3" t="s">
        <v>546</v>
      </c>
      <c r="C446" s="3" t="s">
        <v>1981</v>
      </c>
      <c r="D446" s="27"/>
      <c r="E446" s="3" t="s">
        <v>109</v>
      </c>
      <c r="F446" s="133" t="s">
        <v>1073</v>
      </c>
      <c r="G446" s="3" t="s">
        <v>880</v>
      </c>
      <c r="H446" s="29">
        <v>52.42</v>
      </c>
      <c r="I446" s="30">
        <v>563.51599999999996</v>
      </c>
      <c r="J446" s="30">
        <v>555.13300000000004</v>
      </c>
      <c r="K446" s="31">
        <v>0.93</v>
      </c>
      <c r="L446" s="31">
        <v>0.93</v>
      </c>
      <c r="M446" s="4">
        <v>0</v>
      </c>
      <c r="N446" s="4">
        <v>0</v>
      </c>
      <c r="O446" s="4">
        <v>1</v>
      </c>
      <c r="P446" s="4">
        <v>1</v>
      </c>
      <c r="Q446" s="32">
        <v>524.06988000000001</v>
      </c>
      <c r="R446" s="32">
        <v>516.2736900000001</v>
      </c>
      <c r="S446" s="32">
        <v>27471.7431096</v>
      </c>
      <c r="T446" s="32">
        <v>27063.066829800006</v>
      </c>
      <c r="U446" s="33">
        <v>1.4527694293971843E-3</v>
      </c>
      <c r="V446" s="34">
        <v>1.436485085136477E-3</v>
      </c>
      <c r="W446" s="34">
        <v>-1.6284344260707271E-5</v>
      </c>
      <c r="X446" s="35">
        <v>-35.104650265351275</v>
      </c>
      <c r="Y446" s="36">
        <v>-669680.47053321777</v>
      </c>
      <c r="Z446" s="37">
        <v>0</v>
      </c>
      <c r="AA446" s="38">
        <v>0</v>
      </c>
      <c r="AB446" s="38">
        <v>0</v>
      </c>
      <c r="AC446" s="39">
        <v>0</v>
      </c>
      <c r="AD446" s="40">
        <v>0</v>
      </c>
      <c r="AE446" s="37">
        <v>2.940109736646327E-3</v>
      </c>
      <c r="AF446" s="38">
        <v>2.9092073162635826E-3</v>
      </c>
      <c r="AG446" s="38">
        <v>-3.0902420382744426E-5</v>
      </c>
      <c r="AH446" s="39">
        <v>-0.43311819809214652</v>
      </c>
      <c r="AI446" s="40">
        <v>-8262.4608563934853</v>
      </c>
      <c r="AJ446" s="39">
        <v>-35.53776846344342</v>
      </c>
      <c r="AK446" s="28">
        <v>-677942.93138961121</v>
      </c>
      <c r="AL446" s="41">
        <f t="shared" si="6"/>
        <v>-155.32567970914985</v>
      </c>
      <c r="AM446" s="28">
        <v>3208863.5</v>
      </c>
      <c r="AN446" s="42">
        <v>-0.21127197569781675</v>
      </c>
      <c r="AP446" s="30"/>
      <c r="AR446" s="30"/>
    </row>
    <row r="447" spans="1:44" x14ac:dyDescent="0.2">
      <c r="A447" s="3" t="s">
        <v>1155</v>
      </c>
      <c r="B447" s="3" t="s">
        <v>391</v>
      </c>
      <c r="C447" s="3" t="s">
        <v>1982</v>
      </c>
      <c r="D447" s="27"/>
      <c r="E447" s="3" t="s">
        <v>687</v>
      </c>
      <c r="F447" s="133" t="s">
        <v>1055</v>
      </c>
      <c r="G447" s="3" t="s">
        <v>880</v>
      </c>
      <c r="H447" s="29">
        <v>31.4</v>
      </c>
      <c r="I447" s="30">
        <v>1148.904</v>
      </c>
      <c r="J447" s="30">
        <v>1129.019</v>
      </c>
      <c r="K447" s="31">
        <v>0.92</v>
      </c>
      <c r="L447" s="31">
        <v>0.92</v>
      </c>
      <c r="M447" s="4">
        <v>1</v>
      </c>
      <c r="N447" s="4">
        <v>1</v>
      </c>
      <c r="O447" s="4">
        <v>0</v>
      </c>
      <c r="P447" s="4">
        <v>0</v>
      </c>
      <c r="Q447" s="32">
        <v>1056.9916800000001</v>
      </c>
      <c r="R447" s="32">
        <v>1038.69748</v>
      </c>
      <c r="S447" s="32">
        <v>33189.538752</v>
      </c>
      <c r="T447" s="32">
        <v>32615.100871999999</v>
      </c>
      <c r="U447" s="33">
        <v>1.7551397114604437E-3</v>
      </c>
      <c r="V447" s="34">
        <v>1.7311824357341666E-3</v>
      </c>
      <c r="W447" s="34">
        <v>-2.3957275726277111E-5</v>
      </c>
      <c r="X447" s="35">
        <v>-51.645419196328149</v>
      </c>
      <c r="Y447" s="36">
        <v>-1644758.5731314698</v>
      </c>
      <c r="Z447" s="37">
        <v>3.4694839706075962E-3</v>
      </c>
      <c r="AA447" s="38">
        <v>3.4197681690256035E-3</v>
      </c>
      <c r="AB447" s="38">
        <v>-4.9715801581992711E-5</v>
      </c>
      <c r="AC447" s="39">
        <v>-0.95117575822281397</v>
      </c>
      <c r="AD447" s="40">
        <v>-30292.221599452678</v>
      </c>
      <c r="AE447" s="37">
        <v>0</v>
      </c>
      <c r="AF447" s="38">
        <v>0</v>
      </c>
      <c r="AG447" s="38">
        <v>0</v>
      </c>
      <c r="AH447" s="39">
        <v>0</v>
      </c>
      <c r="AI447" s="40">
        <v>0</v>
      </c>
      <c r="AJ447" s="39">
        <v>-52.596594954550966</v>
      </c>
      <c r="AK447" s="28">
        <v>-1675050.7947309224</v>
      </c>
      <c r="AL447" s="41">
        <f t="shared" si="6"/>
        <v>-381.48528226555914</v>
      </c>
      <c r="AM447" s="28">
        <v>7845074</v>
      </c>
      <c r="AN447" s="42">
        <v>-0.2135162516925809</v>
      </c>
      <c r="AP447" s="30"/>
      <c r="AR447" s="30"/>
    </row>
    <row r="448" spans="1:44" x14ac:dyDescent="0.2">
      <c r="A448" s="3" t="s">
        <v>1212</v>
      </c>
      <c r="B448" s="3" t="s">
        <v>448</v>
      </c>
      <c r="C448" s="3" t="s">
        <v>1983</v>
      </c>
      <c r="D448" s="27"/>
      <c r="E448" s="3" t="s">
        <v>22</v>
      </c>
      <c r="F448" s="133" t="s">
        <v>1061</v>
      </c>
      <c r="G448" s="3" t="s">
        <v>880</v>
      </c>
      <c r="H448" s="29">
        <v>30.96</v>
      </c>
      <c r="I448" s="30">
        <v>417.27</v>
      </c>
      <c r="J448" s="30">
        <v>409.916</v>
      </c>
      <c r="K448" s="31">
        <v>1</v>
      </c>
      <c r="L448" s="31">
        <v>1</v>
      </c>
      <c r="M448" s="4">
        <v>0</v>
      </c>
      <c r="N448" s="4">
        <v>0</v>
      </c>
      <c r="O448" s="4">
        <v>1</v>
      </c>
      <c r="P448" s="4">
        <v>1</v>
      </c>
      <c r="Q448" s="32">
        <v>417.27</v>
      </c>
      <c r="R448" s="32">
        <v>409.916</v>
      </c>
      <c r="S448" s="32">
        <v>12918.6792</v>
      </c>
      <c r="T448" s="32">
        <v>12690.99936</v>
      </c>
      <c r="U448" s="33">
        <v>6.8316968949053852E-4</v>
      </c>
      <c r="V448" s="34">
        <v>6.7362769381489561E-4</v>
      </c>
      <c r="W448" s="34">
        <v>-9.541995675642909E-6</v>
      </c>
      <c r="X448" s="35">
        <v>-20.569966813781299</v>
      </c>
      <c r="Y448" s="36">
        <v>-664404.6128482332</v>
      </c>
      <c r="Z448" s="37">
        <v>0</v>
      </c>
      <c r="AA448" s="38">
        <v>0</v>
      </c>
      <c r="AB448" s="38">
        <v>0</v>
      </c>
      <c r="AC448" s="39">
        <v>0</v>
      </c>
      <c r="AD448" s="40">
        <v>0</v>
      </c>
      <c r="AE448" s="37">
        <v>1.382596450068633E-3</v>
      </c>
      <c r="AF448" s="38">
        <v>1.3642484948584552E-3</v>
      </c>
      <c r="AG448" s="38">
        <v>-1.834795521017782E-5</v>
      </c>
      <c r="AH448" s="39">
        <v>-0.25715892803481033</v>
      </c>
      <c r="AI448" s="40">
        <v>-8306.1669261889638</v>
      </c>
      <c r="AJ448" s="39">
        <v>-20.827125741816111</v>
      </c>
      <c r="AK448" s="28">
        <v>-672710.77977442218</v>
      </c>
      <c r="AL448" s="41">
        <f t="shared" si="6"/>
        <v>-154.10199734565421</v>
      </c>
      <c r="AM448" s="28">
        <v>3155813.5</v>
      </c>
      <c r="AN448" s="42">
        <v>-0.21316556880640194</v>
      </c>
      <c r="AP448" s="30"/>
      <c r="AR448" s="30"/>
    </row>
    <row r="449" spans="1:44" x14ac:dyDescent="0.2">
      <c r="A449" s="3" t="s">
        <v>287</v>
      </c>
      <c r="B449" s="3" t="s">
        <v>566</v>
      </c>
      <c r="C449" s="3" t="s">
        <v>1984</v>
      </c>
      <c r="D449" s="27"/>
      <c r="E449" s="3" t="s">
        <v>129</v>
      </c>
      <c r="F449" s="133" t="s">
        <v>1055</v>
      </c>
      <c r="G449" s="3" t="s">
        <v>878</v>
      </c>
      <c r="H449" s="29">
        <v>74.540000000000006</v>
      </c>
      <c r="I449" s="30">
        <v>108.476</v>
      </c>
      <c r="J449" s="30">
        <v>106.767</v>
      </c>
      <c r="K449" s="31">
        <v>0.88</v>
      </c>
      <c r="L449" s="31">
        <v>0.87</v>
      </c>
      <c r="M449" s="4">
        <v>1</v>
      </c>
      <c r="N449" s="4">
        <v>1</v>
      </c>
      <c r="O449" s="4">
        <v>0</v>
      </c>
      <c r="P449" s="4">
        <v>0</v>
      </c>
      <c r="Q449" s="32">
        <v>95.458879999999994</v>
      </c>
      <c r="R449" s="32">
        <v>92.887289999999993</v>
      </c>
      <c r="S449" s="32">
        <v>7115.5049152000001</v>
      </c>
      <c r="T449" s="32">
        <v>6923.8185966000001</v>
      </c>
      <c r="U449" s="33">
        <v>3.7628438698946749E-4</v>
      </c>
      <c r="V449" s="34">
        <v>3.6751053414443992E-4</v>
      </c>
      <c r="W449" s="34">
        <v>-8.7738528450275691E-6</v>
      </c>
      <c r="X449" s="35">
        <v>-18.914058231226115</v>
      </c>
      <c r="Y449" s="36">
        <v>-253743.73800947293</v>
      </c>
      <c r="Z449" s="37">
        <v>7.4382263732358496E-4</v>
      </c>
      <c r="AA449" s="38">
        <v>7.2597826809383257E-4</v>
      </c>
      <c r="AB449" s="38">
        <v>-1.7844369229752391E-5</v>
      </c>
      <c r="AC449" s="39">
        <v>-0.34140315336412735</v>
      </c>
      <c r="AD449" s="40">
        <v>-4580.1335305088187</v>
      </c>
      <c r="AE449" s="37">
        <v>0</v>
      </c>
      <c r="AF449" s="38">
        <v>0</v>
      </c>
      <c r="AG449" s="38">
        <v>0</v>
      </c>
      <c r="AH449" s="39">
        <v>0</v>
      </c>
      <c r="AI449" s="40">
        <v>0</v>
      </c>
      <c r="AJ449" s="39">
        <v>-19.255461384590241</v>
      </c>
      <c r="AK449" s="28">
        <v>-258323.87153998174</v>
      </c>
      <c r="AL449" s="41">
        <f t="shared" si="6"/>
        <v>-58.853319325379452</v>
      </c>
      <c r="AM449" s="28">
        <v>1202078.375</v>
      </c>
      <c r="AN449" s="42">
        <v>-0.21489769461993835</v>
      </c>
      <c r="AP449" s="30"/>
      <c r="AR449" s="30"/>
    </row>
    <row r="450" spans="1:44" x14ac:dyDescent="0.2">
      <c r="A450" s="3" t="s">
        <v>1236</v>
      </c>
      <c r="B450" s="3" t="s">
        <v>1399</v>
      </c>
      <c r="C450" s="3" t="s">
        <v>1985</v>
      </c>
      <c r="D450" s="27"/>
      <c r="E450" s="3" t="s">
        <v>43</v>
      </c>
      <c r="F450" s="133" t="s">
        <v>1065</v>
      </c>
      <c r="G450" s="3" t="s">
        <v>878</v>
      </c>
      <c r="H450" s="29">
        <v>73.08</v>
      </c>
      <c r="I450" s="30">
        <v>254.232</v>
      </c>
      <c r="J450" s="30">
        <v>254.40100000000001</v>
      </c>
      <c r="K450" s="31">
        <v>0.75</v>
      </c>
      <c r="L450" s="31">
        <v>0.73</v>
      </c>
      <c r="M450" s="4">
        <v>0.66</v>
      </c>
      <c r="N450" s="4">
        <v>0.66</v>
      </c>
      <c r="O450" s="4">
        <v>0.34</v>
      </c>
      <c r="P450" s="4">
        <v>0.34</v>
      </c>
      <c r="Q450" s="32">
        <v>190.67400000000001</v>
      </c>
      <c r="R450" s="32">
        <v>185.71272999999999</v>
      </c>
      <c r="S450" s="32">
        <v>13934.45592</v>
      </c>
      <c r="T450" s="32">
        <v>13571.886308399999</v>
      </c>
      <c r="U450" s="33">
        <v>7.3688631606286779E-4</v>
      </c>
      <c r="V450" s="34">
        <v>7.2038444060290683E-4</v>
      </c>
      <c r="W450" s="34">
        <v>-1.6501875459960964E-5</v>
      </c>
      <c r="X450" s="35">
        <v>-35.573588808368278</v>
      </c>
      <c r="Y450" s="36">
        <v>-486775.9825994565</v>
      </c>
      <c r="Z450" s="37">
        <v>9.6138561604562211E-4</v>
      </c>
      <c r="AA450" s="38">
        <v>9.3920865927550514E-4</v>
      </c>
      <c r="AB450" s="38">
        <v>-2.2176956770116963E-5</v>
      </c>
      <c r="AC450" s="39">
        <v>-0.42429535478979341</v>
      </c>
      <c r="AD450" s="40">
        <v>-5805.9025012287002</v>
      </c>
      <c r="AE450" s="37">
        <v>5.0704471074211274E-4</v>
      </c>
      <c r="AF450" s="38">
        <v>4.9604010533433858E-4</v>
      </c>
      <c r="AG450" s="38">
        <v>-1.1004605407774156E-5</v>
      </c>
      <c r="AH450" s="39">
        <v>-0.1542369434464001</v>
      </c>
      <c r="AI450" s="40">
        <v>-2110.5219409742763</v>
      </c>
      <c r="AJ450" s="39">
        <v>-36.152121106604469</v>
      </c>
      <c r="AK450" s="28">
        <v>-494692.40704165946</v>
      </c>
      <c r="AL450" s="41">
        <f t="shared" si="6"/>
        <v>-112.90281513383255</v>
      </c>
      <c r="AM450" s="28">
        <v>2294913</v>
      </c>
      <c r="AN450" s="42">
        <v>-0.2155604186484017</v>
      </c>
      <c r="AP450" s="30"/>
      <c r="AR450" s="30"/>
    </row>
    <row r="451" spans="1:44" x14ac:dyDescent="0.2">
      <c r="A451" s="3" t="s">
        <v>938</v>
      </c>
      <c r="B451" s="3" t="s">
        <v>1017</v>
      </c>
      <c r="C451" s="3" t="s">
        <v>1986</v>
      </c>
      <c r="D451" s="27"/>
      <c r="E451" s="3" t="s">
        <v>1466</v>
      </c>
      <c r="F451" s="133" t="s">
        <v>1053</v>
      </c>
      <c r="G451" s="3" t="s">
        <v>880</v>
      </c>
      <c r="H451" s="29">
        <v>87.46</v>
      </c>
      <c r="I451" s="30">
        <v>1406.1559999999999</v>
      </c>
      <c r="J451" s="30">
        <v>1393.5250000000001</v>
      </c>
      <c r="K451" s="31">
        <v>1</v>
      </c>
      <c r="L451" s="31">
        <v>1</v>
      </c>
      <c r="M451" s="4">
        <v>0.56000000000000005</v>
      </c>
      <c r="N451" s="4">
        <v>0.56000000000000005</v>
      </c>
      <c r="O451" s="4">
        <v>0.44</v>
      </c>
      <c r="P451" s="4">
        <v>0.44</v>
      </c>
      <c r="Q451" s="32">
        <v>1406.1559999999999</v>
      </c>
      <c r="R451" s="32">
        <v>1393.5250000000001</v>
      </c>
      <c r="S451" s="32">
        <v>122982.40375999999</v>
      </c>
      <c r="T451" s="32">
        <v>121877.69650000001</v>
      </c>
      <c r="U451" s="33">
        <v>6.503594468815297E-3</v>
      </c>
      <c r="V451" s="34">
        <v>6.4691667922963936E-3</v>
      </c>
      <c r="W451" s="34">
        <v>-3.4427676518903466E-5</v>
      </c>
      <c r="X451" s="35">
        <v>-74.216776819250384</v>
      </c>
      <c r="Y451" s="36">
        <v>-848579.65720615583</v>
      </c>
      <c r="Z451" s="37">
        <v>7.1993729636385386E-3</v>
      </c>
      <c r="AA451" s="38">
        <v>7.156327445950063E-3</v>
      </c>
      <c r="AB451" s="38">
        <v>-4.3045517688475657E-5</v>
      </c>
      <c r="AC451" s="39">
        <v>-0.82355813690147628</v>
      </c>
      <c r="AD451" s="40">
        <v>-9416.397632077249</v>
      </c>
      <c r="AE451" s="37">
        <v>5.7912588570333597E-3</v>
      </c>
      <c r="AF451" s="38">
        <v>5.7646716454529765E-3</v>
      </c>
      <c r="AG451" s="38">
        <v>-2.6587211580383213E-5</v>
      </c>
      <c r="AH451" s="39">
        <v>-0.37263764551013306</v>
      </c>
      <c r="AI451" s="40">
        <v>-4260.6636806555352</v>
      </c>
      <c r="AJ451" s="39">
        <v>-75.412972601662005</v>
      </c>
      <c r="AK451" s="28">
        <v>-862256.71851888858</v>
      </c>
      <c r="AL451" s="41">
        <f t="shared" si="6"/>
        <v>-196.81955476162514</v>
      </c>
      <c r="AM451" s="28">
        <v>3891011</v>
      </c>
      <c r="AN451" s="42">
        <v>-0.22160223101885052</v>
      </c>
      <c r="AP451" s="30"/>
      <c r="AR451" s="30"/>
    </row>
    <row r="452" spans="1:44" x14ac:dyDescent="0.2">
      <c r="A452" s="3" t="s">
        <v>945</v>
      </c>
      <c r="B452" s="3" t="s">
        <v>478</v>
      </c>
      <c r="C452" s="3" t="s">
        <v>1987</v>
      </c>
      <c r="D452" s="27"/>
      <c r="E452" s="3" t="s">
        <v>828</v>
      </c>
      <c r="F452" s="133" t="s">
        <v>1055</v>
      </c>
      <c r="G452" s="3" t="s">
        <v>880</v>
      </c>
      <c r="H452" s="29">
        <v>58.1</v>
      </c>
      <c r="I452" s="30">
        <v>7860.4669999999996</v>
      </c>
      <c r="J452" s="30">
        <v>7792.5159999999996</v>
      </c>
      <c r="K452" s="31">
        <v>1</v>
      </c>
      <c r="L452" s="31">
        <v>1</v>
      </c>
      <c r="M452" s="4">
        <v>1</v>
      </c>
      <c r="N452" s="4">
        <v>1</v>
      </c>
      <c r="O452" s="4">
        <v>0</v>
      </c>
      <c r="P452" s="4">
        <v>0</v>
      </c>
      <c r="Q452" s="32">
        <v>7860.4669999999996</v>
      </c>
      <c r="R452" s="32">
        <v>7792.5159999999996</v>
      </c>
      <c r="S452" s="32">
        <v>456693.13270000002</v>
      </c>
      <c r="T452" s="32">
        <v>452745.17959999997</v>
      </c>
      <c r="U452" s="33">
        <v>2.4150991043969908E-2</v>
      </c>
      <c r="V452" s="34">
        <v>2.4031337688110853E-2</v>
      </c>
      <c r="W452" s="34">
        <v>-1.1965335585905484E-4</v>
      </c>
      <c r="X452" s="35">
        <v>-257.94033479400946</v>
      </c>
      <c r="Y452" s="36">
        <v>-4439592.6814803695</v>
      </c>
      <c r="Z452" s="37">
        <v>4.77406304205941E-2</v>
      </c>
      <c r="AA452" s="38">
        <v>4.7471371005479809E-2</v>
      </c>
      <c r="AB452" s="38">
        <v>-2.6925941511429102E-4</v>
      </c>
      <c r="AC452" s="39">
        <v>-5.1515417670089922</v>
      </c>
      <c r="AD452" s="40">
        <v>-88666.811824595396</v>
      </c>
      <c r="AE452" s="37">
        <v>0</v>
      </c>
      <c r="AF452" s="38">
        <v>0</v>
      </c>
      <c r="AG452" s="38">
        <v>0</v>
      </c>
      <c r="AH452" s="39">
        <v>0</v>
      </c>
      <c r="AI452" s="40">
        <v>0</v>
      </c>
      <c r="AJ452" s="39">
        <v>-263.09187656101847</v>
      </c>
      <c r="AK452" s="28">
        <v>-4528259.4933049651</v>
      </c>
      <c r="AL452" s="41">
        <f t="shared" si="6"/>
        <v>-1029.7190693550331</v>
      </c>
      <c r="AM452" s="28">
        <v>20164256</v>
      </c>
      <c r="AN452" s="42">
        <v>-0.2245686373603353</v>
      </c>
      <c r="AP452" s="30"/>
      <c r="AR452" s="30"/>
    </row>
    <row r="453" spans="1:44" x14ac:dyDescent="0.2">
      <c r="A453" s="3" t="s">
        <v>1144</v>
      </c>
      <c r="B453" s="3" t="s">
        <v>380</v>
      </c>
      <c r="C453" s="3" t="s">
        <v>1988</v>
      </c>
      <c r="D453" s="27"/>
      <c r="E453" s="3" t="s">
        <v>22</v>
      </c>
      <c r="F453" s="133" t="s">
        <v>1053</v>
      </c>
      <c r="G453" s="3" t="s">
        <v>880</v>
      </c>
      <c r="H453" s="29">
        <v>84.33</v>
      </c>
      <c r="I453" s="30">
        <v>141.45699999999999</v>
      </c>
      <c r="J453" s="30">
        <v>139.017</v>
      </c>
      <c r="K453" s="31">
        <v>1</v>
      </c>
      <c r="L453" s="31">
        <v>1</v>
      </c>
      <c r="M453" s="4">
        <v>0</v>
      </c>
      <c r="N453" s="4">
        <v>0</v>
      </c>
      <c r="O453" s="4">
        <v>1</v>
      </c>
      <c r="P453" s="4">
        <v>1</v>
      </c>
      <c r="Q453" s="32">
        <v>141.45699999999999</v>
      </c>
      <c r="R453" s="32">
        <v>139.017</v>
      </c>
      <c r="S453" s="32">
        <v>11929.068809999999</v>
      </c>
      <c r="T453" s="32">
        <v>11723.303609999999</v>
      </c>
      <c r="U453" s="33">
        <v>6.3083679907764614E-4</v>
      </c>
      <c r="V453" s="34">
        <v>6.2226320801706664E-4</v>
      </c>
      <c r="W453" s="34">
        <v>-8.5735910605794956E-6</v>
      </c>
      <c r="X453" s="35">
        <v>-18.482347884649378</v>
      </c>
      <c r="Y453" s="36">
        <v>-219166.93803687158</v>
      </c>
      <c r="Z453" s="37">
        <v>0</v>
      </c>
      <c r="AA453" s="38">
        <v>0</v>
      </c>
      <c r="AB453" s="38">
        <v>0</v>
      </c>
      <c r="AC453" s="39">
        <v>0</v>
      </c>
      <c r="AD453" s="40">
        <v>0</v>
      </c>
      <c r="AE453" s="37">
        <v>1.2766853278104815E-3</v>
      </c>
      <c r="AF453" s="38">
        <v>1.2602237893983468E-3</v>
      </c>
      <c r="AG453" s="38">
        <v>-1.6461538412134704E-5</v>
      </c>
      <c r="AH453" s="39">
        <v>-0.23071952832761397</v>
      </c>
      <c r="AI453" s="40">
        <v>-2735.9128225733903</v>
      </c>
      <c r="AJ453" s="39">
        <v>-18.713067412976994</v>
      </c>
      <c r="AK453" s="28">
        <v>-221902.85085944497</v>
      </c>
      <c r="AL453" s="41">
        <f t="shared" si="6"/>
        <v>-50.833576785126851</v>
      </c>
      <c r="AM453" s="28">
        <v>983154.75</v>
      </c>
      <c r="AN453" s="42">
        <v>-0.22570490643456176</v>
      </c>
      <c r="AP453" s="30"/>
      <c r="AR453" s="30"/>
    </row>
    <row r="454" spans="1:44" x14ac:dyDescent="0.2">
      <c r="A454" s="3" t="s">
        <v>897</v>
      </c>
      <c r="B454" s="3" t="s">
        <v>981</v>
      </c>
      <c r="C454" s="3" t="s">
        <v>1989</v>
      </c>
      <c r="D454" s="27"/>
      <c r="E454" s="3" t="s">
        <v>785</v>
      </c>
      <c r="F454" s="133" t="s">
        <v>1053</v>
      </c>
      <c r="G454" s="3" t="s">
        <v>880</v>
      </c>
      <c r="H454" s="29">
        <v>47.41</v>
      </c>
      <c r="I454" s="30">
        <v>552.26300000000003</v>
      </c>
      <c r="J454" s="30">
        <v>543.88800000000003</v>
      </c>
      <c r="K454" s="31">
        <v>1</v>
      </c>
      <c r="L454" s="31">
        <v>1</v>
      </c>
      <c r="M454" s="4">
        <v>0</v>
      </c>
      <c r="N454" s="4">
        <v>0</v>
      </c>
      <c r="O454" s="4">
        <v>1</v>
      </c>
      <c r="P454" s="4">
        <v>1</v>
      </c>
      <c r="Q454" s="32">
        <v>552.26300000000003</v>
      </c>
      <c r="R454" s="32">
        <v>543.88800000000003</v>
      </c>
      <c r="S454" s="32">
        <v>26182.788830000001</v>
      </c>
      <c r="T454" s="32">
        <v>25785.730080000001</v>
      </c>
      <c r="U454" s="33">
        <v>1.384606540503571E-3</v>
      </c>
      <c r="V454" s="34">
        <v>1.3686851125271654E-3</v>
      </c>
      <c r="W454" s="34">
        <v>-1.5921427976405521E-5</v>
      </c>
      <c r="X454" s="35">
        <v>-34.32230072569223</v>
      </c>
      <c r="Y454" s="36">
        <v>-723946.44011162687</v>
      </c>
      <c r="Z454" s="37">
        <v>0</v>
      </c>
      <c r="AA454" s="38">
        <v>0</v>
      </c>
      <c r="AB454" s="38">
        <v>0</v>
      </c>
      <c r="AC454" s="39">
        <v>0</v>
      </c>
      <c r="AD454" s="40">
        <v>0</v>
      </c>
      <c r="AE454" s="37">
        <v>2.8021619183217009E-3</v>
      </c>
      <c r="AF454" s="38">
        <v>2.7718970313198718E-3</v>
      </c>
      <c r="AG454" s="38">
        <v>-3.026488700182909E-5</v>
      </c>
      <c r="AH454" s="39">
        <v>-0.42418273912985011</v>
      </c>
      <c r="AI454" s="40">
        <v>-8947.1153581491271</v>
      </c>
      <c r="AJ454" s="39">
        <v>-34.746483464822077</v>
      </c>
      <c r="AK454" s="28">
        <v>-732893.55546977604</v>
      </c>
      <c r="AL454" s="41">
        <f t="shared" si="6"/>
        <v>-167.91212799415231</v>
      </c>
      <c r="AM454" s="28">
        <v>3220310.75</v>
      </c>
      <c r="AN454" s="42">
        <v>-0.22758473090516995</v>
      </c>
      <c r="AP454" s="30"/>
      <c r="AR454" s="30"/>
    </row>
    <row r="455" spans="1:44" x14ac:dyDescent="0.2">
      <c r="A455" s="3" t="s">
        <v>761</v>
      </c>
      <c r="B455" s="3" t="s">
        <v>1036</v>
      </c>
      <c r="C455" s="3" t="s">
        <v>1990</v>
      </c>
      <c r="D455" s="27"/>
      <c r="E455" s="3" t="s">
        <v>960</v>
      </c>
      <c r="F455" s="133" t="s">
        <v>1063</v>
      </c>
      <c r="G455" s="3" t="s">
        <v>880</v>
      </c>
      <c r="H455" s="29">
        <v>71.05</v>
      </c>
      <c r="I455" s="30">
        <v>589.27499999999998</v>
      </c>
      <c r="J455" s="30">
        <v>574.86500000000001</v>
      </c>
      <c r="K455" s="31">
        <v>1</v>
      </c>
      <c r="L455" s="31">
        <v>1</v>
      </c>
      <c r="M455" s="4">
        <v>0</v>
      </c>
      <c r="N455" s="4">
        <v>0</v>
      </c>
      <c r="O455" s="4">
        <v>1</v>
      </c>
      <c r="P455" s="4">
        <v>1</v>
      </c>
      <c r="Q455" s="32">
        <v>589.27499999999998</v>
      </c>
      <c r="R455" s="32">
        <v>574.86500000000001</v>
      </c>
      <c r="S455" s="32">
        <v>41867.988749999997</v>
      </c>
      <c r="T455" s="32">
        <v>40844.15825</v>
      </c>
      <c r="U455" s="33">
        <v>2.2140762558707128E-3</v>
      </c>
      <c r="V455" s="34">
        <v>2.167973959125481E-3</v>
      </c>
      <c r="W455" s="34">
        <v>-4.6102296745231808E-5</v>
      </c>
      <c r="X455" s="35">
        <v>-99.384106462050042</v>
      </c>
      <c r="Y455" s="36">
        <v>-1398791.0832097121</v>
      </c>
      <c r="Z455" s="37">
        <v>0</v>
      </c>
      <c r="AA455" s="38">
        <v>0</v>
      </c>
      <c r="AB455" s="38">
        <v>0</v>
      </c>
      <c r="AC455" s="39">
        <v>0</v>
      </c>
      <c r="AD455" s="40">
        <v>0</v>
      </c>
      <c r="AE455" s="37">
        <v>4.4808398537571435E-3</v>
      </c>
      <c r="AF455" s="38">
        <v>4.3906377926350359E-3</v>
      </c>
      <c r="AG455" s="38">
        <v>-9.0202061122107539E-5</v>
      </c>
      <c r="AH455" s="39">
        <v>-1.2642425316050685</v>
      </c>
      <c r="AI455" s="40">
        <v>-17793.702063407018</v>
      </c>
      <c r="AJ455" s="39">
        <v>-100.64834899365511</v>
      </c>
      <c r="AK455" s="28">
        <v>-1416584.7852731191</v>
      </c>
      <c r="AL455" s="41">
        <f t="shared" si="6"/>
        <v>-324.43558582147648</v>
      </c>
      <c r="AM455" s="28">
        <v>6188731.5</v>
      </c>
      <c r="AN455" s="42">
        <v>-0.22889743807323346</v>
      </c>
      <c r="AP455" s="30"/>
      <c r="AR455" s="30"/>
    </row>
    <row r="456" spans="1:44" x14ac:dyDescent="0.2">
      <c r="A456" s="3" t="s">
        <v>1195</v>
      </c>
      <c r="B456" s="3" t="s">
        <v>430</v>
      </c>
      <c r="C456" s="3" t="s">
        <v>1991</v>
      </c>
      <c r="D456" s="27"/>
      <c r="E456" s="3" t="s">
        <v>6</v>
      </c>
      <c r="F456" s="133" t="s">
        <v>1059</v>
      </c>
      <c r="G456" s="3" t="s">
        <v>880</v>
      </c>
      <c r="H456" s="29">
        <v>40.340000000000003</v>
      </c>
      <c r="I456" s="30">
        <v>393.38499999999999</v>
      </c>
      <c r="J456" s="30">
        <v>385.96800000000002</v>
      </c>
      <c r="K456" s="31">
        <v>1</v>
      </c>
      <c r="L456" s="31">
        <v>1</v>
      </c>
      <c r="M456" s="4">
        <v>0</v>
      </c>
      <c r="N456" s="4">
        <v>0</v>
      </c>
      <c r="O456" s="4">
        <v>1</v>
      </c>
      <c r="P456" s="4">
        <v>1</v>
      </c>
      <c r="Q456" s="32">
        <v>393.38499999999999</v>
      </c>
      <c r="R456" s="32">
        <v>385.96800000000002</v>
      </c>
      <c r="S456" s="32">
        <v>15869.150900000001</v>
      </c>
      <c r="T456" s="32">
        <v>15569.949120000001</v>
      </c>
      <c r="U456" s="33">
        <v>8.3919746941556531E-4</v>
      </c>
      <c r="V456" s="34">
        <v>8.2643995330883573E-4</v>
      </c>
      <c r="W456" s="34">
        <v>-1.2757516106729578E-5</v>
      </c>
      <c r="X456" s="35">
        <v>-27.501760833068783</v>
      </c>
      <c r="Y456" s="36">
        <v>-681749.1530259985</v>
      </c>
      <c r="Z456" s="37">
        <v>0</v>
      </c>
      <c r="AA456" s="38">
        <v>0</v>
      </c>
      <c r="AB456" s="38">
        <v>0</v>
      </c>
      <c r="AC456" s="39">
        <v>0</v>
      </c>
      <c r="AD456" s="40">
        <v>0</v>
      </c>
      <c r="AE456" s="37">
        <v>1.6983649303671424E-3</v>
      </c>
      <c r="AF456" s="38">
        <v>1.6737278956085876E-3</v>
      </c>
      <c r="AG456" s="38">
        <v>-2.4637034758554855E-5</v>
      </c>
      <c r="AH456" s="39">
        <v>-0.34530460620221481</v>
      </c>
      <c r="AI456" s="40">
        <v>-8559.856375860556</v>
      </c>
      <c r="AJ456" s="39">
        <v>-27.847065439270999</v>
      </c>
      <c r="AK456" s="28">
        <v>-690309.00940185902</v>
      </c>
      <c r="AL456" s="41">
        <f t="shared" si="6"/>
        <v>-158.12488977106565</v>
      </c>
      <c r="AM456" s="28">
        <v>2915655.75</v>
      </c>
      <c r="AN456" s="42">
        <v>-0.23675943547240069</v>
      </c>
      <c r="AP456" s="30"/>
      <c r="AR456" s="30"/>
    </row>
    <row r="457" spans="1:44" x14ac:dyDescent="0.2">
      <c r="A457" s="3" t="s">
        <v>1167</v>
      </c>
      <c r="B457" s="3" t="s">
        <v>403</v>
      </c>
      <c r="C457" s="3" t="s">
        <v>1992</v>
      </c>
      <c r="D457" s="27"/>
      <c r="E457" s="3" t="s">
        <v>698</v>
      </c>
      <c r="F457" s="133" t="s">
        <v>1061</v>
      </c>
      <c r="G457" s="3" t="s">
        <v>880</v>
      </c>
      <c r="H457" s="29">
        <v>26.14</v>
      </c>
      <c r="I457" s="30">
        <v>278.72899999999998</v>
      </c>
      <c r="J457" s="30">
        <v>273.685</v>
      </c>
      <c r="K457" s="31">
        <v>1</v>
      </c>
      <c r="L457" s="31">
        <v>1</v>
      </c>
      <c r="M457" s="4">
        <v>1</v>
      </c>
      <c r="N457" s="4">
        <v>1</v>
      </c>
      <c r="O457" s="4">
        <v>0</v>
      </c>
      <c r="P457" s="4">
        <v>0</v>
      </c>
      <c r="Q457" s="32">
        <v>278.72899999999998</v>
      </c>
      <c r="R457" s="32">
        <v>273.685</v>
      </c>
      <c r="S457" s="32">
        <v>7285.97606</v>
      </c>
      <c r="T457" s="32">
        <v>7154.1259</v>
      </c>
      <c r="U457" s="33">
        <v>3.8529929611888627E-4</v>
      </c>
      <c r="V457" s="34">
        <v>3.7973505431477812E-4</v>
      </c>
      <c r="W457" s="34">
        <v>-5.5642418041081522E-6</v>
      </c>
      <c r="X457" s="35">
        <v>-11.995003261898626</v>
      </c>
      <c r="Y457" s="36">
        <v>-458875.41170231928</v>
      </c>
      <c r="Z457" s="37">
        <v>7.6164291824867272E-4</v>
      </c>
      <c r="AA457" s="38">
        <v>7.5012651734660712E-4</v>
      </c>
      <c r="AB457" s="38">
        <v>-1.1516400902065603E-5</v>
      </c>
      <c r="AC457" s="39">
        <v>-0.22033480325071902</v>
      </c>
      <c r="AD457" s="40">
        <v>-8429.0284334628541</v>
      </c>
      <c r="AE457" s="37">
        <v>0</v>
      </c>
      <c r="AF457" s="38">
        <v>0</v>
      </c>
      <c r="AG457" s="38">
        <v>0</v>
      </c>
      <c r="AH457" s="39">
        <v>0</v>
      </c>
      <c r="AI457" s="40">
        <v>0</v>
      </c>
      <c r="AJ457" s="39">
        <v>-12.215338065149345</v>
      </c>
      <c r="AK457" s="28">
        <v>-467304.44013578212</v>
      </c>
      <c r="AL457" s="41">
        <f t="shared" si="6"/>
        <v>-106.43155707934491</v>
      </c>
      <c r="AM457" s="28">
        <v>1958320.875</v>
      </c>
      <c r="AN457" s="42">
        <v>-0.23862506196068717</v>
      </c>
      <c r="AP457" s="30"/>
      <c r="AR457" s="30"/>
    </row>
    <row r="458" spans="1:44" x14ac:dyDescent="0.2">
      <c r="A458" s="3" t="s">
        <v>1410</v>
      </c>
      <c r="B458" s="3" t="s">
        <v>1391</v>
      </c>
      <c r="C458" s="3" t="s">
        <v>1993</v>
      </c>
      <c r="D458" s="27"/>
      <c r="E458" s="3" t="s">
        <v>1420</v>
      </c>
      <c r="F458" s="133" t="s">
        <v>1071</v>
      </c>
      <c r="G458" s="3" t="s">
        <v>880</v>
      </c>
      <c r="H458" s="29">
        <v>36.549999999999997</v>
      </c>
      <c r="I458" s="30">
        <v>771.59199999999998</v>
      </c>
      <c r="J458" s="30">
        <v>748.90800000000002</v>
      </c>
      <c r="K458" s="31">
        <v>1</v>
      </c>
      <c r="L458" s="31">
        <v>1</v>
      </c>
      <c r="M458" s="4">
        <v>0</v>
      </c>
      <c r="N458" s="4">
        <v>0</v>
      </c>
      <c r="O458" s="4">
        <v>1</v>
      </c>
      <c r="P458" s="4">
        <v>1</v>
      </c>
      <c r="Q458" s="32">
        <v>771.59199999999998</v>
      </c>
      <c r="R458" s="32">
        <v>748.90800000000002</v>
      </c>
      <c r="S458" s="32">
        <v>28201.687599999997</v>
      </c>
      <c r="T458" s="32">
        <v>27372.587399999997</v>
      </c>
      <c r="U458" s="33">
        <v>1.4913705853769608E-3</v>
      </c>
      <c r="V458" s="34">
        <v>1.4529141796449248E-3</v>
      </c>
      <c r="W458" s="34">
        <v>-3.845640573203594E-5</v>
      </c>
      <c r="X458" s="35">
        <v>-82.901629446818006</v>
      </c>
      <c r="Y458" s="36">
        <v>-2268170.4363014507</v>
      </c>
      <c r="Z458" s="37">
        <v>0</v>
      </c>
      <c r="AA458" s="38">
        <v>0</v>
      </c>
      <c r="AB458" s="38">
        <v>0</v>
      </c>
      <c r="AC458" s="39">
        <v>0</v>
      </c>
      <c r="AD458" s="40">
        <v>0</v>
      </c>
      <c r="AE458" s="37">
        <v>3.0182306223460196E-3</v>
      </c>
      <c r="AF458" s="38">
        <v>2.9424799498872175E-3</v>
      </c>
      <c r="AG458" s="38">
        <v>-7.5750672458802046E-5</v>
      </c>
      <c r="AH458" s="39">
        <v>-1.0616966034785067</v>
      </c>
      <c r="AI458" s="40">
        <v>-29047.786688878437</v>
      </c>
      <c r="AJ458" s="39">
        <v>-83.963326050296516</v>
      </c>
      <c r="AK458" s="28">
        <v>-2297218.2229903294</v>
      </c>
      <c r="AL458" s="41">
        <f t="shared" si="6"/>
        <v>-526.07942177887753</v>
      </c>
      <c r="AM458" s="28">
        <v>9387128</v>
      </c>
      <c r="AN458" s="42">
        <v>-0.24472002757289871</v>
      </c>
      <c r="AP458" s="30"/>
      <c r="AR458" s="30"/>
    </row>
    <row r="459" spans="1:44" x14ac:dyDescent="0.2">
      <c r="A459" s="3" t="s">
        <v>1118</v>
      </c>
      <c r="B459" s="3" t="s">
        <v>352</v>
      </c>
      <c r="C459" s="3" t="s">
        <v>1994</v>
      </c>
      <c r="D459" s="27"/>
      <c r="E459" s="3" t="s">
        <v>657</v>
      </c>
      <c r="F459" s="133" t="s">
        <v>1072</v>
      </c>
      <c r="G459" s="3" t="s">
        <v>880</v>
      </c>
      <c r="H459" s="29">
        <v>51.46</v>
      </c>
      <c r="I459" s="30">
        <v>415.31299999999999</v>
      </c>
      <c r="J459" s="30">
        <v>406.875</v>
      </c>
      <c r="K459" s="31">
        <v>1</v>
      </c>
      <c r="L459" s="31">
        <v>1</v>
      </c>
      <c r="M459" s="4">
        <v>0.55000000000000004</v>
      </c>
      <c r="N459" s="4">
        <v>0.55000000000000004</v>
      </c>
      <c r="O459" s="4">
        <v>0.45</v>
      </c>
      <c r="P459" s="4">
        <v>0.45</v>
      </c>
      <c r="Q459" s="32">
        <v>415.31299999999999</v>
      </c>
      <c r="R459" s="32">
        <v>406.875</v>
      </c>
      <c r="S459" s="32">
        <v>21372.006979999998</v>
      </c>
      <c r="T459" s="32">
        <v>20937.787499999999</v>
      </c>
      <c r="U459" s="33">
        <v>1.1302012493905895E-3</v>
      </c>
      <c r="V459" s="34">
        <v>1.1113603513105328E-3</v>
      </c>
      <c r="W459" s="34">
        <v>-1.8840898080056722E-5</v>
      </c>
      <c r="X459" s="35">
        <v>-40.615890157851098</v>
      </c>
      <c r="Y459" s="36">
        <v>-789271.08740480174</v>
      </c>
      <c r="Z459" s="37">
        <v>1.2287730150451538E-3</v>
      </c>
      <c r="AA459" s="38">
        <v>1.2074562861795705E-3</v>
      </c>
      <c r="AB459" s="38">
        <v>-2.1316728865583296E-5</v>
      </c>
      <c r="AC459" s="39">
        <v>-0.40783724884957667</v>
      </c>
      <c r="AD459" s="40">
        <v>-7925.3254731748275</v>
      </c>
      <c r="AE459" s="37">
        <v>1.0292838173135779E-3</v>
      </c>
      <c r="AF459" s="38">
        <v>1.0128402754204797E-3</v>
      </c>
      <c r="AG459" s="38">
        <v>-1.6443541893098202E-5</v>
      </c>
      <c r="AH459" s="39">
        <v>-0.23046729501383206</v>
      </c>
      <c r="AI459" s="40">
        <v>-4478.5716092855046</v>
      </c>
      <c r="AJ459" s="39">
        <v>-41.254194701714503</v>
      </c>
      <c r="AK459" s="28">
        <v>-801674.98448726209</v>
      </c>
      <c r="AL459" s="41">
        <f t="shared" si="6"/>
        <v>-183.06352584586784</v>
      </c>
      <c r="AM459" s="28">
        <v>3203106</v>
      </c>
      <c r="AN459" s="42">
        <v>-0.25028050413794051</v>
      </c>
      <c r="AP459" s="30"/>
      <c r="AR459" s="30"/>
    </row>
    <row r="460" spans="1:44" x14ac:dyDescent="0.2">
      <c r="A460" s="3" t="s">
        <v>282</v>
      </c>
      <c r="B460" s="3" t="s">
        <v>561</v>
      </c>
      <c r="C460" s="3" t="s">
        <v>1995</v>
      </c>
      <c r="D460" s="27"/>
      <c r="E460" s="3" t="s">
        <v>124</v>
      </c>
      <c r="F460" s="133" t="s">
        <v>1053</v>
      </c>
      <c r="G460" s="3" t="s">
        <v>880</v>
      </c>
      <c r="H460" s="29">
        <v>96.31</v>
      </c>
      <c r="I460" s="30">
        <v>95.215000000000003</v>
      </c>
      <c r="J460" s="30">
        <v>93.381</v>
      </c>
      <c r="K460" s="31">
        <v>1</v>
      </c>
      <c r="L460" s="31">
        <v>1</v>
      </c>
      <c r="M460" s="4">
        <v>0.55000000000000004</v>
      </c>
      <c r="N460" s="4">
        <v>0.55000000000000004</v>
      </c>
      <c r="O460" s="4">
        <v>0.45</v>
      </c>
      <c r="P460" s="4">
        <v>0.45</v>
      </c>
      <c r="Q460" s="32">
        <v>95.215000000000003</v>
      </c>
      <c r="R460" s="32">
        <v>93.381</v>
      </c>
      <c r="S460" s="32">
        <v>9170.1566500000008</v>
      </c>
      <c r="T460" s="32">
        <v>8993.5241100000003</v>
      </c>
      <c r="U460" s="33">
        <v>4.8493913148335609E-4</v>
      </c>
      <c r="V460" s="34">
        <v>4.7736878189299364E-4</v>
      </c>
      <c r="W460" s="34">
        <v>-7.570349590362447E-6</v>
      </c>
      <c r="X460" s="35">
        <v>-16.319630100019548</v>
      </c>
      <c r="Y460" s="36">
        <v>-169448.96791630721</v>
      </c>
      <c r="Z460" s="37">
        <v>5.2723364005081703E-4</v>
      </c>
      <c r="AA460" s="38">
        <v>5.1864540231516966E-4</v>
      </c>
      <c r="AB460" s="38">
        <v>-8.5882377356473775E-6</v>
      </c>
      <c r="AC460" s="39">
        <v>-0.16431241738161975</v>
      </c>
      <c r="AD460" s="40">
        <v>-1706.0784693346459</v>
      </c>
      <c r="AE460" s="37">
        <v>4.4163816018347071E-4</v>
      </c>
      <c r="AF460" s="38">
        <v>4.3505090671940022E-4</v>
      </c>
      <c r="AG460" s="38">
        <v>-6.5872534640704886E-6</v>
      </c>
      <c r="AH460" s="39">
        <v>-9.2324786065222819E-2</v>
      </c>
      <c r="AI460" s="40">
        <v>-958.62097461554163</v>
      </c>
      <c r="AJ460" s="39">
        <v>-16.576267303466391</v>
      </c>
      <c r="AK460" s="28">
        <v>-172113.66736025739</v>
      </c>
      <c r="AL460" s="41">
        <f t="shared" si="6"/>
        <v>-39.301991435792999</v>
      </c>
      <c r="AM460" s="28">
        <v>678440.375</v>
      </c>
      <c r="AN460" s="42">
        <v>-0.25369018959146911</v>
      </c>
      <c r="AP460" s="30"/>
      <c r="AR460" s="30"/>
    </row>
    <row r="461" spans="1:44" x14ac:dyDescent="0.2">
      <c r="A461" s="3" t="s">
        <v>252</v>
      </c>
      <c r="B461" s="3" t="s">
        <v>532</v>
      </c>
      <c r="C461" s="3" t="s">
        <v>1996</v>
      </c>
      <c r="D461" s="27"/>
      <c r="E461" s="3" t="s">
        <v>1360</v>
      </c>
      <c r="F461" s="133" t="s">
        <v>1057</v>
      </c>
      <c r="G461" s="3" t="s">
        <v>880</v>
      </c>
      <c r="H461" s="29">
        <v>141.49</v>
      </c>
      <c r="I461" s="30">
        <v>119.68</v>
      </c>
      <c r="J461" s="30">
        <v>116.41800000000001</v>
      </c>
      <c r="K461" s="31">
        <v>1</v>
      </c>
      <c r="L461" s="31">
        <v>1</v>
      </c>
      <c r="M461" s="4">
        <v>0.57999999999999996</v>
      </c>
      <c r="N461" s="4">
        <v>0.57999999999999996</v>
      </c>
      <c r="O461" s="4">
        <v>0.42</v>
      </c>
      <c r="P461" s="4">
        <v>0.42</v>
      </c>
      <c r="Q461" s="32">
        <v>119.68</v>
      </c>
      <c r="R461" s="32">
        <v>116.41800000000001</v>
      </c>
      <c r="S461" s="32">
        <v>16933.523200000003</v>
      </c>
      <c r="T461" s="32">
        <v>16471.982820000001</v>
      </c>
      <c r="U461" s="33">
        <v>8.9548394285731878E-4</v>
      </c>
      <c r="V461" s="34">
        <v>8.7431915208883765E-4</v>
      </c>
      <c r="W461" s="34">
        <v>-2.1164790768481135E-5</v>
      </c>
      <c r="X461" s="35">
        <v>-45.625575458977416</v>
      </c>
      <c r="Y461" s="36">
        <v>-322465.018439306</v>
      </c>
      <c r="Z461" s="37">
        <v>1.0266891894292294E-3</v>
      </c>
      <c r="AA461" s="38">
        <v>1.0017326144350705E-3</v>
      </c>
      <c r="AB461" s="38">
        <v>-2.4956574994158863E-5</v>
      </c>
      <c r="AC461" s="39">
        <v>-0.47747573985232938</v>
      </c>
      <c r="AD461" s="40">
        <v>-3374.6253435036351</v>
      </c>
      <c r="AE461" s="37">
        <v>7.61156466108349E-4</v>
      </c>
      <c r="AF461" s="38">
        <v>7.4369152463641124E-4</v>
      </c>
      <c r="AG461" s="38">
        <v>-1.7464941471937757E-5</v>
      </c>
      <c r="AH461" s="39">
        <v>-0.24478289682235868</v>
      </c>
      <c r="AI461" s="40">
        <v>-1730.0367292554859</v>
      </c>
      <c r="AJ461" s="39">
        <v>-46.347834095652104</v>
      </c>
      <c r="AK461" s="28">
        <v>-327569.68051206513</v>
      </c>
      <c r="AL461" s="41">
        <f t="shared" si="6"/>
        <v>-74.792532223058643</v>
      </c>
      <c r="AM461" s="28">
        <v>1283128.625</v>
      </c>
      <c r="AN461" s="42">
        <v>-0.25528982374005188</v>
      </c>
      <c r="AP461" s="30"/>
      <c r="AR461" s="30"/>
    </row>
    <row r="462" spans="1:44" x14ac:dyDescent="0.2">
      <c r="A462" s="3" t="s">
        <v>1376</v>
      </c>
      <c r="B462" s="3" t="s">
        <v>1520</v>
      </c>
      <c r="C462" s="3" t="s">
        <v>1997</v>
      </c>
      <c r="D462" s="27"/>
      <c r="E462" s="3" t="s">
        <v>2118</v>
      </c>
      <c r="F462" s="133" t="s">
        <v>1072</v>
      </c>
      <c r="G462" s="3" t="s">
        <v>880</v>
      </c>
      <c r="H462" s="29">
        <v>24.74</v>
      </c>
      <c r="I462" s="30">
        <v>1095.7260000000001</v>
      </c>
      <c r="J462" s="30">
        <v>1064.0070000000001</v>
      </c>
      <c r="K462" s="31">
        <v>1</v>
      </c>
      <c r="L462" s="31">
        <v>1</v>
      </c>
      <c r="M462" s="4">
        <v>0.53</v>
      </c>
      <c r="N462" s="4">
        <v>0.53</v>
      </c>
      <c r="O462" s="4">
        <v>0.47</v>
      </c>
      <c r="P462" s="4">
        <v>0.47</v>
      </c>
      <c r="Q462" s="32">
        <v>1095.7260000000001</v>
      </c>
      <c r="R462" s="32">
        <v>1064.0070000000001</v>
      </c>
      <c r="S462" s="32">
        <v>27108.26124</v>
      </c>
      <c r="T462" s="32">
        <v>26323.533179999999</v>
      </c>
      <c r="U462" s="33">
        <v>1.4335476659223182E-3</v>
      </c>
      <c r="V462" s="34">
        <v>1.3972312539068069E-3</v>
      </c>
      <c r="W462" s="34">
        <v>-3.6316412015511331E-5</v>
      </c>
      <c r="X462" s="35">
        <v>-78.288380685557613</v>
      </c>
      <c r="Y462" s="36">
        <v>-3164445.4602084728</v>
      </c>
      <c r="Z462" s="37">
        <v>1.5019006328885634E-3</v>
      </c>
      <c r="AA462" s="38">
        <v>1.462843915333216E-3</v>
      </c>
      <c r="AB462" s="38">
        <v>-3.9056717555347375E-5</v>
      </c>
      <c r="AC462" s="39">
        <v>-0.74724336633963995</v>
      </c>
      <c r="AD462" s="40">
        <v>-30203.854742911884</v>
      </c>
      <c r="AE462" s="37">
        <v>1.3635681352192602E-3</v>
      </c>
      <c r="AF462" s="38">
        <v>1.3299634304355249E-3</v>
      </c>
      <c r="AG462" s="38">
        <v>-3.3604704783735291E-5</v>
      </c>
      <c r="AH462" s="39">
        <v>-0.47099253078173814</v>
      </c>
      <c r="AI462" s="40">
        <v>-19037.693240975674</v>
      </c>
      <c r="AJ462" s="39">
        <v>-79.506616582679001</v>
      </c>
      <c r="AK462" s="28">
        <v>-3213687.0081923604</v>
      </c>
      <c r="AL462" s="41">
        <f t="shared" si="6"/>
        <v>-733.96143927872549</v>
      </c>
      <c r="AM462" s="28">
        <v>12180885</v>
      </c>
      <c r="AN462" s="42">
        <v>-0.26383033812340895</v>
      </c>
      <c r="AP462" s="30"/>
      <c r="AR462" s="30"/>
    </row>
    <row r="463" spans="1:44" x14ac:dyDescent="0.2">
      <c r="A463" s="3" t="s">
        <v>215</v>
      </c>
      <c r="B463" s="3" t="s">
        <v>495</v>
      </c>
      <c r="C463" s="3" t="s">
        <v>1998</v>
      </c>
      <c r="D463" s="27"/>
      <c r="E463" s="3" t="s">
        <v>65</v>
      </c>
      <c r="F463" s="133" t="s">
        <v>1063</v>
      </c>
      <c r="G463" s="3" t="s">
        <v>880</v>
      </c>
      <c r="H463" s="29">
        <v>280.02999999999997</v>
      </c>
      <c r="I463" s="30">
        <v>96.456000000000003</v>
      </c>
      <c r="J463" s="30">
        <v>94.927999999999997</v>
      </c>
      <c r="K463" s="31">
        <v>1</v>
      </c>
      <c r="L463" s="31">
        <v>1</v>
      </c>
      <c r="M463" s="4">
        <v>1</v>
      </c>
      <c r="N463" s="4">
        <v>1</v>
      </c>
      <c r="O463" s="4">
        <v>0</v>
      </c>
      <c r="P463" s="4">
        <v>0</v>
      </c>
      <c r="Q463" s="32">
        <v>96.456000000000003</v>
      </c>
      <c r="R463" s="32">
        <v>94.927999999999997</v>
      </c>
      <c r="S463" s="32">
        <v>27010.573679999998</v>
      </c>
      <c r="T463" s="32">
        <v>26582.687839999995</v>
      </c>
      <c r="U463" s="33">
        <v>1.4283817214012799E-3</v>
      </c>
      <c r="V463" s="34">
        <v>1.4109869677796961E-3</v>
      </c>
      <c r="W463" s="34">
        <v>-1.7394753621583761E-5</v>
      </c>
      <c r="X463" s="35">
        <v>-37.498393092257608</v>
      </c>
      <c r="Y463" s="36">
        <v>-133908.48513465561</v>
      </c>
      <c r="Z463" s="37">
        <v>2.8235629642195102E-3</v>
      </c>
      <c r="AA463" s="38">
        <v>2.7872558199082292E-3</v>
      </c>
      <c r="AB463" s="38">
        <v>-3.6307144311280987E-5</v>
      </c>
      <c r="AC463" s="39">
        <v>-0.6946378097159428</v>
      </c>
      <c r="AD463" s="40">
        <v>-2480.5835436058383</v>
      </c>
      <c r="AE463" s="37">
        <v>0</v>
      </c>
      <c r="AF463" s="38">
        <v>0</v>
      </c>
      <c r="AG463" s="38">
        <v>0</v>
      </c>
      <c r="AH463" s="39">
        <v>0</v>
      </c>
      <c r="AI463" s="40">
        <v>0</v>
      </c>
      <c r="AJ463" s="39">
        <v>-38.19303090197355</v>
      </c>
      <c r="AK463" s="28">
        <v>-136389.06867826145</v>
      </c>
      <c r="AL463" s="41">
        <f t="shared" si="6"/>
        <v>-31.058732317222731</v>
      </c>
      <c r="AM463" s="28">
        <v>498725.0625</v>
      </c>
      <c r="AN463" s="42">
        <v>-0.27347546560939368</v>
      </c>
      <c r="AP463" s="30"/>
      <c r="AR463" s="30"/>
    </row>
    <row r="464" spans="1:44" x14ac:dyDescent="0.2">
      <c r="A464" s="3" t="s">
        <v>261</v>
      </c>
      <c r="B464" s="3" t="s">
        <v>540</v>
      </c>
      <c r="C464" s="3" t="s">
        <v>1999</v>
      </c>
      <c r="D464" s="27"/>
      <c r="E464" s="3" t="s">
        <v>104</v>
      </c>
      <c r="F464" s="133" t="s">
        <v>1061</v>
      </c>
      <c r="G464" s="3" t="s">
        <v>880</v>
      </c>
      <c r="H464" s="29">
        <v>69.63</v>
      </c>
      <c r="I464" s="30">
        <v>395.94</v>
      </c>
      <c r="J464" s="30">
        <v>390.01499999999999</v>
      </c>
      <c r="K464" s="31">
        <v>1</v>
      </c>
      <c r="L464" s="31">
        <v>1</v>
      </c>
      <c r="M464" s="4">
        <v>0</v>
      </c>
      <c r="N464" s="4">
        <v>0</v>
      </c>
      <c r="O464" s="4">
        <v>1</v>
      </c>
      <c r="P464" s="4">
        <v>1</v>
      </c>
      <c r="Q464" s="32">
        <v>395.94</v>
      </c>
      <c r="R464" s="32">
        <v>390.01499999999999</v>
      </c>
      <c r="S464" s="32">
        <v>27569.302199999998</v>
      </c>
      <c r="T464" s="32">
        <v>27156.744449999998</v>
      </c>
      <c r="U464" s="33">
        <v>1.4579285801481021E-3</v>
      </c>
      <c r="V464" s="34">
        <v>1.4414574153263503E-3</v>
      </c>
      <c r="W464" s="34">
        <v>-1.647116482175184E-5</v>
      </c>
      <c r="X464" s="35">
        <v>-35.507384962729958</v>
      </c>
      <c r="Y464" s="36">
        <v>-509943.77369998512</v>
      </c>
      <c r="Z464" s="37">
        <v>0</v>
      </c>
      <c r="AA464" s="38">
        <v>0</v>
      </c>
      <c r="AB464" s="38">
        <v>0</v>
      </c>
      <c r="AC464" s="39">
        <v>0</v>
      </c>
      <c r="AD464" s="40">
        <v>0</v>
      </c>
      <c r="AE464" s="37">
        <v>2.9505508080570147E-3</v>
      </c>
      <c r="AF464" s="38">
        <v>2.9192774099366281E-3</v>
      </c>
      <c r="AG464" s="38">
        <v>-3.1273398120386549E-5</v>
      </c>
      <c r="AH464" s="39">
        <v>-0.43831770050230651</v>
      </c>
      <c r="AI464" s="40">
        <v>-6294.9547680928699</v>
      </c>
      <c r="AJ464" s="39">
        <v>-35.945702663232268</v>
      </c>
      <c r="AK464" s="28">
        <v>-516238.72846807801</v>
      </c>
      <c r="AL464" s="41">
        <f t="shared" si="6"/>
        <v>-118.27635230325895</v>
      </c>
      <c r="AM464" s="28">
        <v>1891060.75</v>
      </c>
      <c r="AN464" s="42">
        <v>-0.27298897112008591</v>
      </c>
      <c r="AP464" s="30"/>
      <c r="AR464" s="30"/>
    </row>
    <row r="465" spans="1:44" x14ac:dyDescent="0.2">
      <c r="A465" s="3" t="s">
        <v>1211</v>
      </c>
      <c r="B465" s="3" t="s">
        <v>447</v>
      </c>
      <c r="C465" s="3" t="s">
        <v>2000</v>
      </c>
      <c r="D465" s="27"/>
      <c r="E465" s="3" t="s">
        <v>21</v>
      </c>
      <c r="F465" s="133" t="s">
        <v>1068</v>
      </c>
      <c r="G465" s="3" t="s">
        <v>880</v>
      </c>
      <c r="H465" s="29">
        <v>120.49</v>
      </c>
      <c r="I465" s="30">
        <v>359.37</v>
      </c>
      <c r="J465" s="30">
        <v>354.96</v>
      </c>
      <c r="K465" s="31">
        <v>0.9</v>
      </c>
      <c r="L465" s="31">
        <v>0.9</v>
      </c>
      <c r="M465" s="4">
        <v>0.56000000000000005</v>
      </c>
      <c r="N465" s="4">
        <v>0.56000000000000005</v>
      </c>
      <c r="O465" s="4">
        <v>0.44</v>
      </c>
      <c r="P465" s="4">
        <v>0.44</v>
      </c>
      <c r="Q465" s="32">
        <v>323.43299999999999</v>
      </c>
      <c r="R465" s="32">
        <v>319.464</v>
      </c>
      <c r="S465" s="32">
        <v>38970.442169999995</v>
      </c>
      <c r="T465" s="32">
        <v>38492.217359999995</v>
      </c>
      <c r="U465" s="33">
        <v>2.0608472789221273E-3</v>
      </c>
      <c r="V465" s="34">
        <v>2.043134892257885E-3</v>
      </c>
      <c r="W465" s="34">
        <v>-1.7712386664242314E-5</v>
      </c>
      <c r="X465" s="35">
        <v>-38.183124187150568</v>
      </c>
      <c r="Y465" s="36">
        <v>-316898.69854054751</v>
      </c>
      <c r="Z465" s="37">
        <v>2.2813243127631088E-3</v>
      </c>
      <c r="AA465" s="38">
        <v>2.2601584987196033E-3</v>
      </c>
      <c r="AB465" s="38">
        <v>-2.116581404350542E-5</v>
      </c>
      <c r="AC465" s="39">
        <v>-0.40494990688285315</v>
      </c>
      <c r="AD465" s="40">
        <v>-3360.8590495713597</v>
      </c>
      <c r="AE465" s="37">
        <v>1.8351236557381701E-3</v>
      </c>
      <c r="AF465" s="38">
        <v>1.8206365919116695E-3</v>
      </c>
      <c r="AG465" s="38">
        <v>-1.4487063826500602E-5</v>
      </c>
      <c r="AH465" s="39">
        <v>-0.20304593952399702</v>
      </c>
      <c r="AI465" s="40">
        <v>-1685.168391766927</v>
      </c>
      <c r="AJ465" s="39">
        <v>-38.791120033557419</v>
      </c>
      <c r="AK465" s="28">
        <v>-321944.7259818858</v>
      </c>
      <c r="AL465" s="41">
        <f t="shared" si="6"/>
        <v>-73.501480057441754</v>
      </c>
      <c r="AM465" s="28">
        <v>1164115.75</v>
      </c>
      <c r="AN465" s="42">
        <v>-0.27655731483908347</v>
      </c>
      <c r="AP465" s="30"/>
      <c r="AR465" s="30"/>
    </row>
    <row r="466" spans="1:44" x14ac:dyDescent="0.2">
      <c r="A466" s="3" t="s">
        <v>1245</v>
      </c>
      <c r="B466" s="3" t="s">
        <v>479</v>
      </c>
      <c r="C466" s="3" t="s">
        <v>2001</v>
      </c>
      <c r="D466" s="27"/>
      <c r="E466" s="3" t="s">
        <v>52</v>
      </c>
      <c r="F466" s="133" t="s">
        <v>1069</v>
      </c>
      <c r="G466" s="3" t="s">
        <v>880</v>
      </c>
      <c r="H466" s="29">
        <v>118.21</v>
      </c>
      <c r="I466" s="30">
        <v>158.999</v>
      </c>
      <c r="J466" s="30">
        <v>156.76900000000001</v>
      </c>
      <c r="K466" s="31">
        <v>1</v>
      </c>
      <c r="L466" s="31">
        <v>1</v>
      </c>
      <c r="M466" s="4">
        <v>0</v>
      </c>
      <c r="N466" s="4">
        <v>0</v>
      </c>
      <c r="O466" s="4">
        <v>1</v>
      </c>
      <c r="P466" s="4">
        <v>1</v>
      </c>
      <c r="Q466" s="32">
        <v>158.999</v>
      </c>
      <c r="R466" s="32">
        <v>156.76900000000001</v>
      </c>
      <c r="S466" s="32">
        <v>18795.271789999999</v>
      </c>
      <c r="T466" s="32">
        <v>18531.663489999999</v>
      </c>
      <c r="U466" s="33">
        <v>9.9393752208542943E-4</v>
      </c>
      <c r="V466" s="34">
        <v>9.8364528948509844E-4</v>
      </c>
      <c r="W466" s="34">
        <v>-1.0292232600330993E-5</v>
      </c>
      <c r="X466" s="35">
        <v>-22.18727509685883</v>
      </c>
      <c r="Y466" s="36">
        <v>-187693.72385465555</v>
      </c>
      <c r="Z466" s="37">
        <v>0</v>
      </c>
      <c r="AA466" s="38">
        <v>0</v>
      </c>
      <c r="AB466" s="38">
        <v>0</v>
      </c>
      <c r="AC466" s="39">
        <v>0</v>
      </c>
      <c r="AD466" s="40">
        <v>0</v>
      </c>
      <c r="AE466" s="37">
        <v>2.0115273127092681E-3</v>
      </c>
      <c r="AF466" s="38">
        <v>1.992104270617179E-3</v>
      </c>
      <c r="AG466" s="38">
        <v>-1.9423042092089112E-5</v>
      </c>
      <c r="AH466" s="39">
        <v>-0.27222699349113072</v>
      </c>
      <c r="AI466" s="40">
        <v>-2302.9100202278214</v>
      </c>
      <c r="AJ466" s="39">
        <v>-22.459502090349961</v>
      </c>
      <c r="AK466" s="28">
        <v>-189996.63387488338</v>
      </c>
      <c r="AL466" s="41">
        <f t="shared" si="6"/>
        <v>-43.533679893118155</v>
      </c>
      <c r="AM466" s="28">
        <v>658699.6875</v>
      </c>
      <c r="AN466" s="42">
        <v>-0.28844196753149876</v>
      </c>
      <c r="AP466" s="30"/>
      <c r="AR466" s="30"/>
    </row>
    <row r="467" spans="1:44" x14ac:dyDescent="0.2">
      <c r="A467" s="3" t="s">
        <v>898</v>
      </c>
      <c r="B467" s="3" t="s">
        <v>982</v>
      </c>
      <c r="C467" s="3" t="s">
        <v>2002</v>
      </c>
      <c r="D467" s="27"/>
      <c r="E467" s="3" t="s">
        <v>786</v>
      </c>
      <c r="F467" s="133" t="s">
        <v>1064</v>
      </c>
      <c r="G467" s="3" t="s">
        <v>880</v>
      </c>
      <c r="H467" s="29">
        <v>50.65</v>
      </c>
      <c r="I467" s="30">
        <v>437.91399999999999</v>
      </c>
      <c r="J467" s="30">
        <v>427.90100000000001</v>
      </c>
      <c r="K467" s="31">
        <v>1</v>
      </c>
      <c r="L467" s="31">
        <v>1</v>
      </c>
      <c r="M467" s="4">
        <v>0</v>
      </c>
      <c r="N467" s="4">
        <v>0</v>
      </c>
      <c r="O467" s="4">
        <v>1</v>
      </c>
      <c r="P467" s="4">
        <v>1</v>
      </c>
      <c r="Q467" s="32">
        <v>437.91399999999999</v>
      </c>
      <c r="R467" s="32">
        <v>427.90100000000001</v>
      </c>
      <c r="S467" s="32">
        <v>22180.344099999998</v>
      </c>
      <c r="T467" s="32">
        <v>21673.185649999999</v>
      </c>
      <c r="U467" s="33">
        <v>1.1729479892642815E-3</v>
      </c>
      <c r="V467" s="34">
        <v>1.1503946736493721E-3</v>
      </c>
      <c r="W467" s="34">
        <v>-2.2553315614909451E-5</v>
      </c>
      <c r="X467" s="35">
        <v>-48.618860195424006</v>
      </c>
      <c r="Y467" s="36">
        <v>-959898.52310807514</v>
      </c>
      <c r="Z467" s="37">
        <v>0</v>
      </c>
      <c r="AA467" s="38">
        <v>0</v>
      </c>
      <c r="AB467" s="38">
        <v>0</v>
      </c>
      <c r="AC467" s="39">
        <v>0</v>
      </c>
      <c r="AD467" s="40">
        <v>0</v>
      </c>
      <c r="AE467" s="37">
        <v>2.373808075825642E-3</v>
      </c>
      <c r="AF467" s="38">
        <v>2.3298095022361081E-3</v>
      </c>
      <c r="AG467" s="38">
        <v>-4.3998573589533897E-5</v>
      </c>
      <c r="AH467" s="39">
        <v>-0.61666959013879108</v>
      </c>
      <c r="AI467" s="40">
        <v>-12175.115303826082</v>
      </c>
      <c r="AJ467" s="39">
        <v>-49.235529785562797</v>
      </c>
      <c r="AK467" s="28">
        <v>-972073.63841190119</v>
      </c>
      <c r="AL467" s="41">
        <f t="shared" si="6"/>
        <v>-222.63885108498962</v>
      </c>
      <c r="AM467" s="28">
        <v>3298087.5</v>
      </c>
      <c r="AN467" s="42">
        <v>-0.294738583622145</v>
      </c>
      <c r="AP467" s="30"/>
      <c r="AR467" s="30"/>
    </row>
    <row r="468" spans="1:44" x14ac:dyDescent="0.2">
      <c r="A468" s="3" t="s">
        <v>888</v>
      </c>
      <c r="B468" s="3" t="s">
        <v>308</v>
      </c>
      <c r="C468" s="3" t="s">
        <v>2003</v>
      </c>
      <c r="D468" s="27"/>
      <c r="E468" s="3" t="s">
        <v>776</v>
      </c>
      <c r="F468" s="133" t="s">
        <v>1051</v>
      </c>
      <c r="G468" s="3" t="s">
        <v>880</v>
      </c>
      <c r="H468" s="29">
        <v>106.82</v>
      </c>
      <c r="I468" s="30">
        <v>5477.4250000000002</v>
      </c>
      <c r="J468" s="30">
        <v>5388.4430000000002</v>
      </c>
      <c r="K468" s="31">
        <v>1</v>
      </c>
      <c r="L468" s="31">
        <v>1</v>
      </c>
      <c r="M468" s="4">
        <v>1</v>
      </c>
      <c r="N468" s="4">
        <v>1</v>
      </c>
      <c r="O468" s="4">
        <v>0</v>
      </c>
      <c r="P468" s="4">
        <v>0</v>
      </c>
      <c r="Q468" s="32">
        <v>5477.4250000000002</v>
      </c>
      <c r="R468" s="32">
        <v>5388.4430000000002</v>
      </c>
      <c r="S468" s="32">
        <v>585098.53850000002</v>
      </c>
      <c r="T468" s="32">
        <v>575593.48126000003</v>
      </c>
      <c r="U468" s="33">
        <v>3.0941366426098182E-2</v>
      </c>
      <c r="V468" s="34">
        <v>3.0552023395268784E-2</v>
      </c>
      <c r="W468" s="34">
        <v>-3.8934303082939839E-4</v>
      </c>
      <c r="X468" s="35">
        <v>-839.31847126918228</v>
      </c>
      <c r="Y468" s="36">
        <v>-7857315.7767195497</v>
      </c>
      <c r="Z468" s="37">
        <v>6.1163549626894242E-2</v>
      </c>
      <c r="AA468" s="38">
        <v>6.0352297337257284E-2</v>
      </c>
      <c r="AB468" s="38">
        <v>-8.1125228963695867E-4</v>
      </c>
      <c r="AC468" s="39">
        <v>-15.521091627836105</v>
      </c>
      <c r="AD468" s="40">
        <v>-145301.36330121799</v>
      </c>
      <c r="AE468" s="37">
        <v>0</v>
      </c>
      <c r="AF468" s="38">
        <v>0</v>
      </c>
      <c r="AG468" s="38">
        <v>0</v>
      </c>
      <c r="AH468" s="39">
        <v>0</v>
      </c>
      <c r="AI468" s="40">
        <v>0</v>
      </c>
      <c r="AJ468" s="39">
        <v>-854.83956289701837</v>
      </c>
      <c r="AK468" s="28">
        <v>-8002617.1400207672</v>
      </c>
      <c r="AL468" s="41">
        <f t="shared" ref="AL468:AL524" si="7">+$AL$6*W468/H468*10^6</f>
        <v>-1822.4257200402471</v>
      </c>
      <c r="AM468" s="28">
        <v>26871716</v>
      </c>
      <c r="AN468" s="42">
        <v>-0.29780819133473901</v>
      </c>
      <c r="AP468" s="30"/>
      <c r="AR468" s="30"/>
    </row>
    <row r="469" spans="1:44" x14ac:dyDescent="0.2">
      <c r="A469" s="3" t="s">
        <v>207</v>
      </c>
      <c r="B469" s="3" t="s">
        <v>487</v>
      </c>
      <c r="C469" s="3" t="s">
        <v>2004</v>
      </c>
      <c r="D469" s="27"/>
      <c r="E469" s="3" t="s">
        <v>59</v>
      </c>
      <c r="F469" s="133" t="s">
        <v>1051</v>
      </c>
      <c r="G469" s="3" t="s">
        <v>880</v>
      </c>
      <c r="H469" s="29">
        <v>35.130000000000003</v>
      </c>
      <c r="I469" s="30">
        <v>289.08300000000003</v>
      </c>
      <c r="J469" s="30">
        <v>278.25200000000001</v>
      </c>
      <c r="K469" s="31">
        <v>1</v>
      </c>
      <c r="L469" s="31">
        <v>1</v>
      </c>
      <c r="M469" s="4">
        <v>0</v>
      </c>
      <c r="N469" s="4">
        <v>0</v>
      </c>
      <c r="O469" s="4">
        <v>1</v>
      </c>
      <c r="P469" s="4">
        <v>1</v>
      </c>
      <c r="Q469" s="32">
        <v>289.08300000000003</v>
      </c>
      <c r="R469" s="32">
        <v>278.25200000000001</v>
      </c>
      <c r="S469" s="32">
        <v>10155.485790000002</v>
      </c>
      <c r="T469" s="32">
        <v>9774.992760000001</v>
      </c>
      <c r="U469" s="33">
        <v>5.3704561947632212E-4</v>
      </c>
      <c r="V469" s="34">
        <v>5.1884848806549007E-4</v>
      </c>
      <c r="W469" s="34">
        <v>-1.8197131410832047E-5</v>
      </c>
      <c r="X469" s="35">
        <v>-39.228103003894141</v>
      </c>
      <c r="Y469" s="36">
        <v>-1116655.3658950792</v>
      </c>
      <c r="Z469" s="37">
        <v>0</v>
      </c>
      <c r="AA469" s="38">
        <v>0</v>
      </c>
      <c r="AB469" s="38">
        <v>0</v>
      </c>
      <c r="AC469" s="39">
        <v>0</v>
      </c>
      <c r="AD469" s="40">
        <v>0</v>
      </c>
      <c r="AE469" s="37">
        <v>1.0868710635663474E-3</v>
      </c>
      <c r="AF469" s="38">
        <v>1.0507855829000924E-3</v>
      </c>
      <c r="AG469" s="38">
        <v>-3.6085480666254999E-5</v>
      </c>
      <c r="AH469" s="39">
        <v>-0.50576227265954143</v>
      </c>
      <c r="AI469" s="40">
        <v>-14396.87653457277</v>
      </c>
      <c r="AJ469" s="39">
        <v>-39.733865276553679</v>
      </c>
      <c r="AK469" s="28">
        <v>-1131052.242429652</v>
      </c>
      <c r="AL469" s="41">
        <f t="shared" si="7"/>
        <v>-258.99703118178257</v>
      </c>
      <c r="AM469" s="28">
        <v>3710125.5</v>
      </c>
      <c r="AN469" s="42">
        <v>-0.30485552104090602</v>
      </c>
      <c r="AP469" s="30"/>
      <c r="AR469" s="30"/>
    </row>
    <row r="470" spans="1:44" x14ac:dyDescent="0.2">
      <c r="A470" s="3" t="s">
        <v>275</v>
      </c>
      <c r="B470" s="3" t="s">
        <v>554</v>
      </c>
      <c r="C470" s="3" t="s">
        <v>2005</v>
      </c>
      <c r="D470" s="27"/>
      <c r="E470" s="3" t="s">
        <v>117</v>
      </c>
      <c r="F470" s="133" t="s">
        <v>1059</v>
      </c>
      <c r="G470" s="3" t="s">
        <v>880</v>
      </c>
      <c r="H470" s="29">
        <v>118.48</v>
      </c>
      <c r="I470" s="30">
        <v>292.39499999999998</v>
      </c>
      <c r="J470" s="30">
        <v>288.28100000000001</v>
      </c>
      <c r="K470" s="31">
        <v>1</v>
      </c>
      <c r="L470" s="31">
        <v>1</v>
      </c>
      <c r="M470" s="4">
        <v>0</v>
      </c>
      <c r="N470" s="4">
        <v>0</v>
      </c>
      <c r="O470" s="4">
        <v>1</v>
      </c>
      <c r="P470" s="4">
        <v>1</v>
      </c>
      <c r="Q470" s="32">
        <v>292.39499999999998</v>
      </c>
      <c r="R470" s="32">
        <v>288.28100000000001</v>
      </c>
      <c r="S470" s="32">
        <v>34642.959600000002</v>
      </c>
      <c r="T470" s="32">
        <v>34155.532879999999</v>
      </c>
      <c r="U470" s="33">
        <v>1.8319999735704616E-3</v>
      </c>
      <c r="V470" s="34">
        <v>1.8129472858923255E-3</v>
      </c>
      <c r="W470" s="34">
        <v>-1.9052687678136095E-5</v>
      </c>
      <c r="X470" s="35">
        <v>-41.072451358682208</v>
      </c>
      <c r="Y470" s="36">
        <v>-346661.47331770934</v>
      </c>
      <c r="Z470" s="37">
        <v>0</v>
      </c>
      <c r="AA470" s="38">
        <v>0</v>
      </c>
      <c r="AB470" s="38">
        <v>0</v>
      </c>
      <c r="AC470" s="39">
        <v>0</v>
      </c>
      <c r="AD470" s="40">
        <v>0</v>
      </c>
      <c r="AE470" s="37">
        <v>3.7075951977219982E-3</v>
      </c>
      <c r="AF470" s="38">
        <v>3.6716284510653757E-3</v>
      </c>
      <c r="AG470" s="38">
        <v>-3.5966746656622504E-5</v>
      </c>
      <c r="AH470" s="39">
        <v>-0.50409813568685957</v>
      </c>
      <c r="AI470" s="40">
        <v>-4254.7108008681598</v>
      </c>
      <c r="AJ470" s="39">
        <v>-41.576549494369068</v>
      </c>
      <c r="AK470" s="28">
        <v>-350916.18411857751</v>
      </c>
      <c r="AL470" s="41">
        <f t="shared" si="7"/>
        <v>-80.404657655874814</v>
      </c>
      <c r="AM470" s="28">
        <v>1149198.5</v>
      </c>
      <c r="AN470" s="42">
        <v>-0.30535732871090376</v>
      </c>
      <c r="AP470" s="30"/>
      <c r="AR470" s="30"/>
    </row>
    <row r="471" spans="1:44" x14ac:dyDescent="0.2">
      <c r="A471" s="3" t="s">
        <v>746</v>
      </c>
      <c r="B471" s="3" t="s">
        <v>172</v>
      </c>
      <c r="C471" s="3" t="s">
        <v>2006</v>
      </c>
      <c r="D471" s="27"/>
      <c r="E471" s="3" t="s">
        <v>616</v>
      </c>
      <c r="F471" s="133" t="s">
        <v>1063</v>
      </c>
      <c r="G471" s="3" t="s">
        <v>878</v>
      </c>
      <c r="H471" s="29">
        <v>37.17</v>
      </c>
      <c r="I471" s="30">
        <v>117.117</v>
      </c>
      <c r="J471" s="30">
        <v>117.137</v>
      </c>
      <c r="K471" s="31">
        <v>0.74</v>
      </c>
      <c r="L471" s="31">
        <v>0.67</v>
      </c>
      <c r="M471" s="4">
        <v>0</v>
      </c>
      <c r="N471" s="4">
        <v>0</v>
      </c>
      <c r="O471" s="4">
        <v>1</v>
      </c>
      <c r="P471" s="4">
        <v>1</v>
      </c>
      <c r="Q471" s="32">
        <v>86.666579999999996</v>
      </c>
      <c r="R471" s="32">
        <v>78.481790000000004</v>
      </c>
      <c r="S471" s="32">
        <v>3221.3967785999998</v>
      </c>
      <c r="T471" s="32">
        <v>2917.1681343000005</v>
      </c>
      <c r="U471" s="33">
        <v>1.7035492583189021E-4</v>
      </c>
      <c r="V471" s="34">
        <v>1.5484085902426608E-4</v>
      </c>
      <c r="W471" s="34">
        <v>-1.5514066807624131E-5</v>
      </c>
      <c r="X471" s="35">
        <v>-33.444140012997103</v>
      </c>
      <c r="Y471" s="36">
        <v>-899761.63607740391</v>
      </c>
      <c r="Z471" s="37">
        <v>0</v>
      </c>
      <c r="AA471" s="38">
        <v>0</v>
      </c>
      <c r="AB471" s="38">
        <v>0</v>
      </c>
      <c r="AC471" s="39">
        <v>0</v>
      </c>
      <c r="AD471" s="40">
        <v>0</v>
      </c>
      <c r="AE471" s="37">
        <v>3.4476370853414254E-4</v>
      </c>
      <c r="AF471" s="38">
        <v>3.1358777378961457E-4</v>
      </c>
      <c r="AG471" s="38">
        <v>-3.1175934744527968E-5</v>
      </c>
      <c r="AH471" s="39">
        <v>-0.43695168576271615</v>
      </c>
      <c r="AI471" s="40">
        <v>-11755.493294665486</v>
      </c>
      <c r="AJ471" s="39">
        <v>-33.881091698759818</v>
      </c>
      <c r="AK471" s="28">
        <v>-911517.12937206938</v>
      </c>
      <c r="AL471" s="41">
        <f t="shared" si="7"/>
        <v>-208.69070228173433</v>
      </c>
      <c r="AM471" s="28">
        <v>2968495.5</v>
      </c>
      <c r="AN471" s="42">
        <v>-0.30706367227845532</v>
      </c>
      <c r="AP471" s="30"/>
      <c r="AR471" s="30"/>
    </row>
    <row r="472" spans="1:44" x14ac:dyDescent="0.2">
      <c r="A472" s="3" t="s">
        <v>1234</v>
      </c>
      <c r="B472" s="3" t="s">
        <v>469</v>
      </c>
      <c r="C472" s="3" t="s">
        <v>2007</v>
      </c>
      <c r="D472" s="27"/>
      <c r="E472" s="3" t="s">
        <v>41</v>
      </c>
      <c r="F472" s="133" t="s">
        <v>1071</v>
      </c>
      <c r="G472" s="3" t="s">
        <v>880</v>
      </c>
      <c r="H472" s="29">
        <v>36.450000000000003</v>
      </c>
      <c r="I472" s="30">
        <v>638.68700000000001</v>
      </c>
      <c r="J472" s="30">
        <v>620.23299999999995</v>
      </c>
      <c r="K472" s="31">
        <v>1</v>
      </c>
      <c r="L472" s="31">
        <v>1</v>
      </c>
      <c r="M472" s="4">
        <v>1</v>
      </c>
      <c r="N472" s="4">
        <v>1</v>
      </c>
      <c r="O472" s="4">
        <v>0</v>
      </c>
      <c r="P472" s="4">
        <v>0</v>
      </c>
      <c r="Q472" s="32">
        <v>638.68700000000001</v>
      </c>
      <c r="R472" s="32">
        <v>620.23299999999995</v>
      </c>
      <c r="S472" s="32">
        <v>23280.141150000003</v>
      </c>
      <c r="T472" s="32">
        <v>22607.492849999999</v>
      </c>
      <c r="U472" s="33">
        <v>1.2311078055674152E-3</v>
      </c>
      <c r="V472" s="34">
        <v>1.199986922974854E-3</v>
      </c>
      <c r="W472" s="34">
        <v>-3.1120882592561251E-5</v>
      </c>
      <c r="X472" s="35">
        <v>-67.088221783483192</v>
      </c>
      <c r="Y472" s="36">
        <v>-1840554.781439868</v>
      </c>
      <c r="Z472" s="37">
        <v>2.4336004533518896E-3</v>
      </c>
      <c r="AA472" s="38">
        <v>2.3704475032384907E-3</v>
      </c>
      <c r="AB472" s="38">
        <v>-6.3152950113398894E-5</v>
      </c>
      <c r="AC472" s="39">
        <v>-1.208258809003639</v>
      </c>
      <c r="AD472" s="40">
        <v>-33148.389821773359</v>
      </c>
      <c r="AE472" s="37">
        <v>0</v>
      </c>
      <c r="AF472" s="38">
        <v>0</v>
      </c>
      <c r="AG472" s="38">
        <v>0</v>
      </c>
      <c r="AH472" s="39">
        <v>0</v>
      </c>
      <c r="AI472" s="40">
        <v>0</v>
      </c>
      <c r="AJ472" s="39">
        <v>-68.29648059248683</v>
      </c>
      <c r="AK472" s="28">
        <v>-1873703.1712616414</v>
      </c>
      <c r="AL472" s="41">
        <f t="shared" si="7"/>
        <v>-426.89825229850823</v>
      </c>
      <c r="AM472" s="28">
        <v>5988638.5</v>
      </c>
      <c r="AN472" s="42">
        <v>-0.31287631926048659</v>
      </c>
      <c r="AP472" s="30"/>
      <c r="AR472" s="30"/>
    </row>
    <row r="473" spans="1:44" x14ac:dyDescent="0.2">
      <c r="A473" s="3" t="s">
        <v>1101</v>
      </c>
      <c r="B473" s="3" t="s">
        <v>335</v>
      </c>
      <c r="C473" s="3" t="s">
        <v>2008</v>
      </c>
      <c r="D473" s="27"/>
      <c r="E473" s="3" t="s">
        <v>645</v>
      </c>
      <c r="F473" s="133" t="s">
        <v>1063</v>
      </c>
      <c r="G473" s="3" t="s">
        <v>880</v>
      </c>
      <c r="H473" s="29">
        <v>750.85</v>
      </c>
      <c r="I473" s="30">
        <v>29.859000000000002</v>
      </c>
      <c r="J473" s="30">
        <v>29.231999999999999</v>
      </c>
      <c r="K473" s="31">
        <v>1</v>
      </c>
      <c r="L473" s="31">
        <v>1</v>
      </c>
      <c r="M473" s="4">
        <v>1</v>
      </c>
      <c r="N473" s="4">
        <v>1</v>
      </c>
      <c r="O473" s="4">
        <v>0</v>
      </c>
      <c r="P473" s="4">
        <v>0</v>
      </c>
      <c r="Q473" s="32">
        <v>29.859000000000002</v>
      </c>
      <c r="R473" s="32">
        <v>29.231999999999999</v>
      </c>
      <c r="S473" s="32">
        <v>22419.630150000001</v>
      </c>
      <c r="T473" s="32">
        <v>21948.8472</v>
      </c>
      <c r="U473" s="33">
        <v>1.1856019900291523E-3</v>
      </c>
      <c r="V473" s="34">
        <v>1.1650265595184405E-3</v>
      </c>
      <c r="W473" s="34">
        <v>-2.0575430510711822E-5</v>
      </c>
      <c r="X473" s="35">
        <v>-44.355073841100761</v>
      </c>
      <c r="Y473" s="36">
        <v>-59073.148886063471</v>
      </c>
      <c r="Z473" s="37">
        <v>2.3436465331320246E-3</v>
      </c>
      <c r="AA473" s="38">
        <v>2.301386995427188E-3</v>
      </c>
      <c r="AB473" s="38">
        <v>-4.2259537704836606E-5</v>
      </c>
      <c r="AC473" s="39">
        <v>-0.80852056166188457</v>
      </c>
      <c r="AD473" s="40">
        <v>-1076.8070342437034</v>
      </c>
      <c r="AE473" s="37">
        <v>0</v>
      </c>
      <c r="AF473" s="38">
        <v>0</v>
      </c>
      <c r="AG473" s="38">
        <v>0</v>
      </c>
      <c r="AH473" s="39">
        <v>0</v>
      </c>
      <c r="AI473" s="40">
        <v>0</v>
      </c>
      <c r="AJ473" s="39">
        <v>-45.163594402762648</v>
      </c>
      <c r="AK473" s="28">
        <v>-60149.955920307177</v>
      </c>
      <c r="AL473" s="41">
        <f t="shared" si="7"/>
        <v>-13.70142539169729</v>
      </c>
      <c r="AM473" s="28">
        <v>189953.5</v>
      </c>
      <c r="AN473" s="42">
        <v>-0.31665621281159428</v>
      </c>
      <c r="AP473" s="30"/>
      <c r="AR473" s="30"/>
    </row>
    <row r="474" spans="1:44" x14ac:dyDescent="0.2">
      <c r="A474" s="3" t="s">
        <v>245</v>
      </c>
      <c r="B474" s="3" t="s">
        <v>526</v>
      </c>
      <c r="C474" s="3" t="s">
        <v>2009</v>
      </c>
      <c r="D474" s="27"/>
      <c r="E474" s="3" t="s">
        <v>92</v>
      </c>
      <c r="F474" s="133" t="s">
        <v>1067</v>
      </c>
      <c r="G474" s="3" t="s">
        <v>878</v>
      </c>
      <c r="H474" s="29">
        <v>50.72</v>
      </c>
      <c r="I474" s="30">
        <v>343.9</v>
      </c>
      <c r="J474" s="30">
        <v>342.84500000000003</v>
      </c>
      <c r="K474" s="31">
        <v>0.69</v>
      </c>
      <c r="L474" s="31">
        <v>0.68</v>
      </c>
      <c r="M474" s="4">
        <v>0.47</v>
      </c>
      <c r="N474" s="4">
        <v>0.47</v>
      </c>
      <c r="O474" s="4">
        <v>0.53</v>
      </c>
      <c r="P474" s="4">
        <v>0.53</v>
      </c>
      <c r="Q474" s="32">
        <v>237.29099999999997</v>
      </c>
      <c r="R474" s="32">
        <v>233.13460000000003</v>
      </c>
      <c r="S474" s="32">
        <v>12035.399519999999</v>
      </c>
      <c r="T474" s="32">
        <v>11824.586912000001</v>
      </c>
      <c r="U474" s="33">
        <v>6.3645981339740794E-4</v>
      </c>
      <c r="V474" s="34">
        <v>6.2763924147297089E-4</v>
      </c>
      <c r="W474" s="34">
        <v>-8.8205719244370496E-6</v>
      </c>
      <c r="X474" s="35">
        <v>-19.014771954611728</v>
      </c>
      <c r="Y474" s="36">
        <v>-374896.92339534167</v>
      </c>
      <c r="Z474" s="37">
        <v>5.9131927781405484E-4</v>
      </c>
      <c r="AA474" s="38">
        <v>5.8272248377675188E-4</v>
      </c>
      <c r="AB474" s="38">
        <v>-8.5967940373029607E-6</v>
      </c>
      <c r="AC474" s="39">
        <v>-0.16447611878953952</v>
      </c>
      <c r="AD474" s="40">
        <v>-3242.8256859136341</v>
      </c>
      <c r="AE474" s="37">
        <v>6.8267453729326725E-4</v>
      </c>
      <c r="AF474" s="38">
        <v>6.7368908096927566E-4</v>
      </c>
      <c r="AG474" s="38">
        <v>-8.9854563239915967E-6</v>
      </c>
      <c r="AH474" s="39">
        <v>-0.12593721151551099</v>
      </c>
      <c r="AI474" s="40">
        <v>-2482.9891860313678</v>
      </c>
      <c r="AJ474" s="39">
        <v>-19.305185284916778</v>
      </c>
      <c r="AK474" s="28">
        <v>-380622.73826728668</v>
      </c>
      <c r="AL474" s="41">
        <f t="shared" si="7"/>
        <v>-86.953587583172819</v>
      </c>
      <c r="AM474" s="28">
        <v>1193018.125</v>
      </c>
      <c r="AN474" s="42">
        <v>-0.31904187395919631</v>
      </c>
      <c r="AP474" s="30"/>
      <c r="AR474" s="30"/>
    </row>
    <row r="475" spans="1:44" x14ac:dyDescent="0.2">
      <c r="A475" s="3" t="s">
        <v>716</v>
      </c>
      <c r="B475" s="3" t="s">
        <v>147</v>
      </c>
      <c r="C475" s="3" t="s">
        <v>2010</v>
      </c>
      <c r="D475" s="27"/>
      <c r="E475" s="3" t="s">
        <v>589</v>
      </c>
      <c r="F475" s="133" t="s">
        <v>1053</v>
      </c>
      <c r="G475" s="3" t="s">
        <v>878</v>
      </c>
      <c r="H475" s="29">
        <v>65</v>
      </c>
      <c r="I475" s="30">
        <v>338.08199999999999</v>
      </c>
      <c r="J475" s="30">
        <v>337.709</v>
      </c>
      <c r="K475" s="31">
        <v>0.89</v>
      </c>
      <c r="L475" s="31">
        <v>0.87</v>
      </c>
      <c r="M475" s="4">
        <v>1</v>
      </c>
      <c r="N475" s="4">
        <v>1</v>
      </c>
      <c r="O475" s="4">
        <v>0</v>
      </c>
      <c r="P475" s="4">
        <v>0</v>
      </c>
      <c r="Q475" s="32">
        <v>300.89298000000002</v>
      </c>
      <c r="R475" s="32">
        <v>293.80682999999999</v>
      </c>
      <c r="S475" s="32">
        <v>19558.043700000002</v>
      </c>
      <c r="T475" s="32">
        <v>19097.443950000001</v>
      </c>
      <c r="U475" s="33">
        <v>1.0342746680768559E-3</v>
      </c>
      <c r="V475" s="34">
        <v>1.0136764458711415E-3</v>
      </c>
      <c r="W475" s="34">
        <v>-2.0598222205714476E-5</v>
      </c>
      <c r="X475" s="35">
        <v>-44.404206582905623</v>
      </c>
      <c r="Y475" s="36">
        <v>-683141.63973700954</v>
      </c>
      <c r="Z475" s="37">
        <v>2.0445092539740062E-3</v>
      </c>
      <c r="AA475" s="38">
        <v>2.0024108214863165E-3</v>
      </c>
      <c r="AB475" s="38">
        <v>-4.209843248768972E-5</v>
      </c>
      <c r="AC475" s="39">
        <v>-0.80543825438337047</v>
      </c>
      <c r="AD475" s="40">
        <v>-12391.35775974416</v>
      </c>
      <c r="AE475" s="37">
        <v>0</v>
      </c>
      <c r="AF475" s="38">
        <v>0</v>
      </c>
      <c r="AG475" s="38">
        <v>0</v>
      </c>
      <c r="AH475" s="39">
        <v>0</v>
      </c>
      <c r="AI475" s="40">
        <v>0</v>
      </c>
      <c r="AJ475" s="39">
        <v>-45.209644837288991</v>
      </c>
      <c r="AK475" s="28">
        <v>-695532.9974967537</v>
      </c>
      <c r="AL475" s="41">
        <f t="shared" si="7"/>
        <v>-158.44786312088058</v>
      </c>
      <c r="AM475" s="28">
        <v>2168066.5</v>
      </c>
      <c r="AN475" s="42">
        <v>-0.32080796299225772</v>
      </c>
      <c r="AP475" s="30"/>
      <c r="AR475" s="30"/>
    </row>
    <row r="476" spans="1:44" x14ac:dyDescent="0.2">
      <c r="A476" s="3" t="s">
        <v>932</v>
      </c>
      <c r="B476" s="3" t="s">
        <v>1011</v>
      </c>
      <c r="C476" s="3" t="s">
        <v>2011</v>
      </c>
      <c r="D476" s="27"/>
      <c r="E476" s="3" t="s">
        <v>816</v>
      </c>
      <c r="F476" s="133" t="s">
        <v>1069</v>
      </c>
      <c r="G476" s="3" t="s">
        <v>880</v>
      </c>
      <c r="H476" s="29">
        <v>66.95</v>
      </c>
      <c r="I476" s="30">
        <v>3656.6590000000001</v>
      </c>
      <c r="J476" s="30">
        <v>3611.982</v>
      </c>
      <c r="K476" s="31">
        <v>1</v>
      </c>
      <c r="L476" s="31">
        <v>1</v>
      </c>
      <c r="M476" s="4">
        <v>0</v>
      </c>
      <c r="N476" s="4">
        <v>0</v>
      </c>
      <c r="O476" s="4">
        <v>1</v>
      </c>
      <c r="P476" s="4">
        <v>1</v>
      </c>
      <c r="Q476" s="32">
        <v>3656.6590000000001</v>
      </c>
      <c r="R476" s="32">
        <v>3611.982</v>
      </c>
      <c r="S476" s="32">
        <v>244813.32005000001</v>
      </c>
      <c r="T476" s="32">
        <v>241822.1949</v>
      </c>
      <c r="U476" s="33">
        <v>1.2946295612147898E-2</v>
      </c>
      <c r="V476" s="34">
        <v>1.2835721036845377E-2</v>
      </c>
      <c r="W476" s="34">
        <v>-1.1057457530252134E-4</v>
      </c>
      <c r="X476" s="35">
        <v>-238.36893473204972</v>
      </c>
      <c r="Y476" s="36">
        <v>-3560402.3111583227</v>
      </c>
      <c r="Z476" s="37">
        <v>0</v>
      </c>
      <c r="AA476" s="38">
        <v>0</v>
      </c>
      <c r="AB476" s="38">
        <v>0</v>
      </c>
      <c r="AC476" s="39">
        <v>0</v>
      </c>
      <c r="AD476" s="40">
        <v>0</v>
      </c>
      <c r="AE476" s="37">
        <v>2.6200668194519921E-2</v>
      </c>
      <c r="AF476" s="38">
        <v>2.5995239307591692E-2</v>
      </c>
      <c r="AG476" s="38">
        <v>-2.0542888692822933E-4</v>
      </c>
      <c r="AH476" s="39">
        <v>-2.8792239649976628</v>
      </c>
      <c r="AI476" s="40">
        <v>-43005.585735588684</v>
      </c>
      <c r="AJ476" s="39">
        <v>-241.24815869704739</v>
      </c>
      <c r="AK476" s="28">
        <v>-3603407.8968939115</v>
      </c>
      <c r="AL476" s="41">
        <f t="shared" si="7"/>
        <v>-825.79966618761262</v>
      </c>
      <c r="AM476" s="28">
        <v>11157004</v>
      </c>
      <c r="AN476" s="42">
        <v>-0.32297271712853304</v>
      </c>
      <c r="AP476" s="30"/>
      <c r="AR476" s="30"/>
    </row>
    <row r="477" spans="1:44" x14ac:dyDescent="0.2">
      <c r="A477" s="3" t="s">
        <v>1137</v>
      </c>
      <c r="B477" s="3" t="s">
        <v>373</v>
      </c>
      <c r="C477" s="3" t="s">
        <v>2012</v>
      </c>
      <c r="D477" s="27"/>
      <c r="E477" s="3" t="s">
        <v>673</v>
      </c>
      <c r="F477" s="133" t="s">
        <v>1067</v>
      </c>
      <c r="G477" s="3" t="s">
        <v>880</v>
      </c>
      <c r="H477" s="29">
        <v>116.38</v>
      </c>
      <c r="I477" s="30">
        <v>107.003</v>
      </c>
      <c r="J477" s="30">
        <v>104.208</v>
      </c>
      <c r="K477" s="31">
        <v>0.81</v>
      </c>
      <c r="L477" s="31">
        <v>0.81</v>
      </c>
      <c r="M477" s="4">
        <v>1</v>
      </c>
      <c r="N477" s="4">
        <v>1</v>
      </c>
      <c r="O477" s="4">
        <v>0</v>
      </c>
      <c r="P477" s="4">
        <v>0</v>
      </c>
      <c r="Q477" s="32">
        <v>86.672430000000006</v>
      </c>
      <c r="R477" s="32">
        <v>84.408479999999997</v>
      </c>
      <c r="S477" s="32">
        <v>10086.937403400001</v>
      </c>
      <c r="T477" s="32">
        <v>9823.4589023999997</v>
      </c>
      <c r="U477" s="33">
        <v>5.3342062196197872E-4</v>
      </c>
      <c r="V477" s="34">
        <v>5.2142103060582906E-4</v>
      </c>
      <c r="W477" s="34">
        <v>-1.1999591356149654E-5</v>
      </c>
      <c r="X477" s="35">
        <v>-25.867879672697992</v>
      </c>
      <c r="Y477" s="36">
        <v>-222270.8341012029</v>
      </c>
      <c r="Z477" s="37">
        <v>1.054442723507558E-3</v>
      </c>
      <c r="AA477" s="38">
        <v>1.0300122080259778E-3</v>
      </c>
      <c r="AB477" s="38">
        <v>-2.4430515481580145E-5</v>
      </c>
      <c r="AC477" s="39">
        <v>-0.46741103125214412</v>
      </c>
      <c r="AD477" s="40">
        <v>-4016.2487648405581</v>
      </c>
      <c r="AE477" s="37">
        <v>0</v>
      </c>
      <c r="AF477" s="38">
        <v>0</v>
      </c>
      <c r="AG477" s="38">
        <v>0</v>
      </c>
      <c r="AH477" s="39">
        <v>0</v>
      </c>
      <c r="AI477" s="40">
        <v>0</v>
      </c>
      <c r="AJ477" s="39">
        <v>-26.335290703950136</v>
      </c>
      <c r="AK477" s="28">
        <v>-226287.08286604346</v>
      </c>
      <c r="AL477" s="41">
        <f t="shared" si="7"/>
        <v>-51.553494398305787</v>
      </c>
      <c r="AM477" s="28">
        <v>694205.125</v>
      </c>
      <c r="AN477" s="42">
        <v>-0.325965733638229</v>
      </c>
      <c r="AP477" s="30"/>
      <c r="AR477" s="30"/>
    </row>
    <row r="478" spans="1:44" x14ac:dyDescent="0.2">
      <c r="A478" s="3" t="s">
        <v>1232</v>
      </c>
      <c r="B478" s="3" t="s">
        <v>467</v>
      </c>
      <c r="C478" s="3" t="s">
        <v>2013</v>
      </c>
      <c r="D478" s="27"/>
      <c r="E478" s="3" t="s">
        <v>39</v>
      </c>
      <c r="F478" s="133" t="s">
        <v>1059</v>
      </c>
      <c r="G478" s="3" t="s">
        <v>880</v>
      </c>
      <c r="H478" s="29">
        <v>47.21</v>
      </c>
      <c r="I478" s="30">
        <v>239.00700000000001</v>
      </c>
      <c r="J478" s="30">
        <v>232.79499999999999</v>
      </c>
      <c r="K478" s="31">
        <v>1</v>
      </c>
      <c r="L478" s="31">
        <v>1</v>
      </c>
      <c r="M478" s="4">
        <v>0</v>
      </c>
      <c r="N478" s="4">
        <v>0</v>
      </c>
      <c r="O478" s="4">
        <v>1</v>
      </c>
      <c r="P478" s="4">
        <v>1</v>
      </c>
      <c r="Q478" s="32">
        <v>239.00700000000001</v>
      </c>
      <c r="R478" s="32">
        <v>232.79499999999999</v>
      </c>
      <c r="S478" s="32">
        <v>11283.520470000001</v>
      </c>
      <c r="T478" s="32">
        <v>10990.25195</v>
      </c>
      <c r="U478" s="33">
        <v>5.9669870708222523E-4</v>
      </c>
      <c r="V478" s="34">
        <v>5.8335343541638621E-4</v>
      </c>
      <c r="W478" s="34">
        <v>-1.3345271665839023E-5</v>
      </c>
      <c r="X478" s="35">
        <v>-28.768803153823363</v>
      </c>
      <c r="Y478" s="36">
        <v>-609379.43558193953</v>
      </c>
      <c r="Z478" s="37">
        <v>0</v>
      </c>
      <c r="AA478" s="38">
        <v>0</v>
      </c>
      <c r="AB478" s="38">
        <v>0</v>
      </c>
      <c r="AC478" s="39">
        <v>0</v>
      </c>
      <c r="AD478" s="40">
        <v>0</v>
      </c>
      <c r="AE478" s="37">
        <v>1.2075967755355945E-3</v>
      </c>
      <c r="AF478" s="38">
        <v>1.1814226961636772E-3</v>
      </c>
      <c r="AG478" s="38">
        <v>-2.6174079371917361E-5</v>
      </c>
      <c r="AH478" s="39">
        <v>-0.36684731984993091</v>
      </c>
      <c r="AI478" s="40">
        <v>-7770.5426784564897</v>
      </c>
      <c r="AJ478" s="39">
        <v>-29.135650473673294</v>
      </c>
      <c r="AK478" s="28">
        <v>-617149.97826039605</v>
      </c>
      <c r="AL478" s="41">
        <f t="shared" si="7"/>
        <v>-141.33945843930334</v>
      </c>
      <c r="AM478" s="28">
        <v>1840639.875</v>
      </c>
      <c r="AN478" s="42">
        <v>-0.33529099670319595</v>
      </c>
      <c r="AP478" s="30"/>
      <c r="AR478" s="30"/>
    </row>
    <row r="479" spans="1:44" x14ac:dyDescent="0.2">
      <c r="A479" s="3" t="s">
        <v>936</v>
      </c>
      <c r="B479" s="3" t="s">
        <v>1015</v>
      </c>
      <c r="C479" s="3" t="s">
        <v>2014</v>
      </c>
      <c r="D479" s="27"/>
      <c r="E479" s="3" t="s">
        <v>820</v>
      </c>
      <c r="F479" s="133" t="s">
        <v>1055</v>
      </c>
      <c r="G479" s="3" t="s">
        <v>878</v>
      </c>
      <c r="H479" s="29">
        <v>96.78</v>
      </c>
      <c r="I479" s="30">
        <v>1078.6659999999999</v>
      </c>
      <c r="J479" s="30">
        <v>1077.451</v>
      </c>
      <c r="K479" s="31">
        <v>0.9</v>
      </c>
      <c r="L479" s="31">
        <v>0.89</v>
      </c>
      <c r="M479" s="4">
        <v>1</v>
      </c>
      <c r="N479" s="4">
        <v>1</v>
      </c>
      <c r="O479" s="4">
        <v>0</v>
      </c>
      <c r="P479" s="4">
        <v>0</v>
      </c>
      <c r="Q479" s="32">
        <v>970.79939999999999</v>
      </c>
      <c r="R479" s="32">
        <v>958.93139000000008</v>
      </c>
      <c r="S479" s="32">
        <v>93953.965932000006</v>
      </c>
      <c r="T479" s="32">
        <v>92805.37992420001</v>
      </c>
      <c r="U479" s="33">
        <v>4.9685034157492727E-3</v>
      </c>
      <c r="V479" s="34">
        <v>4.9260324012776616E-3</v>
      </c>
      <c r="W479" s="34">
        <v>-4.2471014471611064E-5</v>
      </c>
      <c r="X479" s="35">
        <v>-91.55604214521955</v>
      </c>
      <c r="Y479" s="36">
        <v>-946022.34082681907</v>
      </c>
      <c r="Z479" s="37">
        <v>9.8215218117920725E-3</v>
      </c>
      <c r="AA479" s="38">
        <v>9.7308570476190362E-3</v>
      </c>
      <c r="AB479" s="38">
        <v>-9.066476417303633E-5</v>
      </c>
      <c r="AC479" s="39">
        <v>-1.734622052993636</v>
      </c>
      <c r="AD479" s="40">
        <v>-17923.352479785452</v>
      </c>
      <c r="AE479" s="37">
        <v>0</v>
      </c>
      <c r="AF479" s="38">
        <v>0</v>
      </c>
      <c r="AG479" s="38">
        <v>0</v>
      </c>
      <c r="AH479" s="39">
        <v>0</v>
      </c>
      <c r="AI479" s="40">
        <v>0</v>
      </c>
      <c r="AJ479" s="39">
        <v>-93.290664198213193</v>
      </c>
      <c r="AK479" s="28">
        <v>-963945.69330660452</v>
      </c>
      <c r="AL479" s="41">
        <f t="shared" si="7"/>
        <v>-219.42040954541778</v>
      </c>
      <c r="AM479" s="28">
        <v>2733020.5</v>
      </c>
      <c r="AN479" s="42">
        <v>-0.35270342586402281</v>
      </c>
      <c r="AP479" s="30"/>
      <c r="AR479" s="30"/>
    </row>
    <row r="480" spans="1:44" x14ac:dyDescent="0.2">
      <c r="A480" s="3" t="s">
        <v>229</v>
      </c>
      <c r="B480" s="3" t="s">
        <v>509</v>
      </c>
      <c r="C480" s="3" t="s">
        <v>2015</v>
      </c>
      <c r="D480" s="27"/>
      <c r="E480" s="3" t="s">
        <v>77</v>
      </c>
      <c r="F480" s="133" t="s">
        <v>1069</v>
      </c>
      <c r="G480" s="3" t="s">
        <v>880</v>
      </c>
      <c r="H480" s="29">
        <v>87.92</v>
      </c>
      <c r="I480" s="30">
        <v>499.32400000000001</v>
      </c>
      <c r="J480" s="30">
        <v>491.40899999999999</v>
      </c>
      <c r="K480" s="31">
        <v>1</v>
      </c>
      <c r="L480" s="31">
        <v>1</v>
      </c>
      <c r="M480" s="4">
        <v>0</v>
      </c>
      <c r="N480" s="4">
        <v>0</v>
      </c>
      <c r="O480" s="4">
        <v>1</v>
      </c>
      <c r="P480" s="4">
        <v>1</v>
      </c>
      <c r="Q480" s="32">
        <v>499.32400000000001</v>
      </c>
      <c r="R480" s="32">
        <v>491.40899999999999</v>
      </c>
      <c r="S480" s="32">
        <v>43900.566080000004</v>
      </c>
      <c r="T480" s="32">
        <v>43204.679279999997</v>
      </c>
      <c r="U480" s="33">
        <v>2.3215636546909898E-3</v>
      </c>
      <c r="V480" s="34">
        <v>2.2932684526901278E-3</v>
      </c>
      <c r="W480" s="34">
        <v>-2.8295202000862014E-5</v>
      </c>
      <c r="X480" s="35">
        <v>-60.996817220602487</v>
      </c>
      <c r="Y480" s="36">
        <v>-693776.35601231211</v>
      </c>
      <c r="Z480" s="37">
        <v>0</v>
      </c>
      <c r="AA480" s="38">
        <v>0</v>
      </c>
      <c r="AB480" s="38">
        <v>0</v>
      </c>
      <c r="AC480" s="39">
        <v>0</v>
      </c>
      <c r="AD480" s="40">
        <v>0</v>
      </c>
      <c r="AE480" s="37">
        <v>4.698372478992391E-3</v>
      </c>
      <c r="AF480" s="38">
        <v>4.6443874912134803E-3</v>
      </c>
      <c r="AG480" s="38">
        <v>-5.3984987778910726E-5</v>
      </c>
      <c r="AH480" s="39">
        <v>-0.75663589910531903</v>
      </c>
      <c r="AI480" s="40">
        <v>-8605.9588160295625</v>
      </c>
      <c r="AJ480" s="39">
        <v>-61.753453119707807</v>
      </c>
      <c r="AK480" s="28">
        <v>-702382.31482834171</v>
      </c>
      <c r="AL480" s="41">
        <f t="shared" si="7"/>
        <v>-160.9144790767858</v>
      </c>
      <c r="AM480" s="28">
        <v>1944807.125</v>
      </c>
      <c r="AN480" s="42">
        <v>-0.36115782680935093</v>
      </c>
      <c r="AP480" s="30"/>
      <c r="AR480" s="30"/>
    </row>
    <row r="481" spans="1:44" x14ac:dyDescent="0.2">
      <c r="A481" s="3" t="s">
        <v>929</v>
      </c>
      <c r="B481" s="3" t="s">
        <v>1009</v>
      </c>
      <c r="C481" s="3" t="s">
        <v>2016</v>
      </c>
      <c r="D481" s="27"/>
      <c r="E481" s="3" t="s">
        <v>813</v>
      </c>
      <c r="F481" s="133" t="s">
        <v>1055</v>
      </c>
      <c r="G481" s="3" t="s">
        <v>878</v>
      </c>
      <c r="H481" s="29">
        <v>159.72</v>
      </c>
      <c r="I481" s="30">
        <v>959.96199999999999</v>
      </c>
      <c r="J481" s="30">
        <v>955.84400000000005</v>
      </c>
      <c r="K481" s="31">
        <v>0.92</v>
      </c>
      <c r="L481" s="31">
        <v>0.91</v>
      </c>
      <c r="M481" s="4">
        <v>0.39</v>
      </c>
      <c r="N481" s="4">
        <v>0.39</v>
      </c>
      <c r="O481" s="4">
        <v>0.61</v>
      </c>
      <c r="P481" s="4">
        <v>0.61</v>
      </c>
      <c r="Q481" s="32">
        <v>883.16503999999998</v>
      </c>
      <c r="R481" s="32">
        <v>869.81804000000011</v>
      </c>
      <c r="S481" s="32">
        <v>141059.12018880001</v>
      </c>
      <c r="T481" s="32">
        <v>138927.33734880001</v>
      </c>
      <c r="U481" s="33">
        <v>7.4595331184623779E-3</v>
      </c>
      <c r="V481" s="34">
        <v>7.3741475522473088E-3</v>
      </c>
      <c r="W481" s="34">
        <v>-8.5385566215069077E-5</v>
      </c>
      <c r="X481" s="35">
        <v>-184.06823091560011</v>
      </c>
      <c r="Y481" s="36">
        <v>-1152443.2188554979</v>
      </c>
      <c r="Z481" s="37">
        <v>5.7508156537935812E-3</v>
      </c>
      <c r="AA481" s="38">
        <v>5.6810715470607112E-3</v>
      </c>
      <c r="AB481" s="38">
        <v>-6.9744106732869994E-5</v>
      </c>
      <c r="AC481" s="39">
        <v>-1.3343625465598192</v>
      </c>
      <c r="AD481" s="40">
        <v>-8354.3860916592748</v>
      </c>
      <c r="AE481" s="37">
        <v>9.2089121372355229E-3</v>
      </c>
      <c r="AF481" s="38">
        <v>9.1099335326421359E-3</v>
      </c>
      <c r="AG481" s="38">
        <v>-9.8978604593387073E-5</v>
      </c>
      <c r="AH481" s="39">
        <v>-1.3872516890327689</v>
      </c>
      <c r="AI481" s="40">
        <v>-8685.5227212169339</v>
      </c>
      <c r="AJ481" s="39">
        <v>-186.78984515119271</v>
      </c>
      <c r="AK481" s="28">
        <v>-1169483.1276683742</v>
      </c>
      <c r="AL481" s="41">
        <f t="shared" si="7"/>
        <v>-267.29766533642959</v>
      </c>
      <c r="AM481" s="28">
        <v>3137302.25</v>
      </c>
      <c r="AN481" s="42">
        <v>-0.37276712107300919</v>
      </c>
      <c r="AP481" s="30"/>
      <c r="AR481" s="30"/>
    </row>
    <row r="482" spans="1:44" x14ac:dyDescent="0.2">
      <c r="A482" s="3" t="s">
        <v>1143</v>
      </c>
      <c r="B482" s="3" t="s">
        <v>379</v>
      </c>
      <c r="C482" s="3" t="s">
        <v>2017</v>
      </c>
      <c r="D482" s="27"/>
      <c r="E482" s="3" t="s">
        <v>678</v>
      </c>
      <c r="F482" s="133" t="s">
        <v>1061</v>
      </c>
      <c r="G482" s="3" t="s">
        <v>880</v>
      </c>
      <c r="H482" s="29">
        <v>59.15</v>
      </c>
      <c r="I482" s="30">
        <v>412.22500000000002</v>
      </c>
      <c r="J482" s="30">
        <v>403.62700000000001</v>
      </c>
      <c r="K482" s="31">
        <v>1</v>
      </c>
      <c r="L482" s="31">
        <v>1</v>
      </c>
      <c r="M482" s="4">
        <v>0</v>
      </c>
      <c r="N482" s="4">
        <v>0</v>
      </c>
      <c r="O482" s="4">
        <v>1</v>
      </c>
      <c r="P482" s="4">
        <v>1</v>
      </c>
      <c r="Q482" s="32">
        <v>412.22500000000002</v>
      </c>
      <c r="R482" s="32">
        <v>403.62700000000001</v>
      </c>
      <c r="S482" s="32">
        <v>24383.108749999999</v>
      </c>
      <c r="T482" s="32">
        <v>23874.537049999999</v>
      </c>
      <c r="U482" s="33">
        <v>1.2894352879009128E-3</v>
      </c>
      <c r="V482" s="34">
        <v>1.2672405755987509E-3</v>
      </c>
      <c r="W482" s="34">
        <v>-2.2194712302161818E-5</v>
      </c>
      <c r="X482" s="35">
        <v>-47.845808258148438</v>
      </c>
      <c r="Y482" s="36">
        <v>-808889.40419523988</v>
      </c>
      <c r="Z482" s="37">
        <v>0</v>
      </c>
      <c r="AA482" s="38">
        <v>0</v>
      </c>
      <c r="AB482" s="38">
        <v>0</v>
      </c>
      <c r="AC482" s="39">
        <v>0</v>
      </c>
      <c r="AD482" s="40">
        <v>0</v>
      </c>
      <c r="AE482" s="37">
        <v>2.6095546671201044E-3</v>
      </c>
      <c r="AF482" s="38">
        <v>2.5664488912167847E-3</v>
      </c>
      <c r="AG482" s="38">
        <v>-4.3105775903319772E-5</v>
      </c>
      <c r="AH482" s="39">
        <v>-0.60415643031750343</v>
      </c>
      <c r="AI482" s="40">
        <v>-10213.97177206261</v>
      </c>
      <c r="AJ482" s="39">
        <v>-48.44996468846594</v>
      </c>
      <c r="AK482" s="28">
        <v>-819103.37596730248</v>
      </c>
      <c r="AL482" s="41">
        <f t="shared" si="7"/>
        <v>-187.61379798953354</v>
      </c>
      <c r="AM482" s="28">
        <v>2128884</v>
      </c>
      <c r="AN482" s="42">
        <v>-0.38475716665036819</v>
      </c>
      <c r="AP482" s="30"/>
      <c r="AR482" s="30"/>
    </row>
    <row r="483" spans="1:44" x14ac:dyDescent="0.2">
      <c r="A483" s="3" t="s">
        <v>1555</v>
      </c>
      <c r="B483" s="3" t="s">
        <v>1521</v>
      </c>
      <c r="C483" s="3" t="s">
        <v>2018</v>
      </c>
      <c r="D483" s="27"/>
      <c r="E483" s="3" t="s">
        <v>2119</v>
      </c>
      <c r="F483" s="133" t="s">
        <v>1071</v>
      </c>
      <c r="G483" s="3" t="s">
        <v>880</v>
      </c>
      <c r="H483" s="29">
        <v>46.95</v>
      </c>
      <c r="I483" s="30">
        <v>335.7</v>
      </c>
      <c r="J483" s="30">
        <v>322.40800000000002</v>
      </c>
      <c r="K483" s="31">
        <v>1</v>
      </c>
      <c r="L483" s="31">
        <v>1</v>
      </c>
      <c r="M483" s="4">
        <v>0</v>
      </c>
      <c r="N483" s="4">
        <v>0</v>
      </c>
      <c r="O483" s="4">
        <v>1</v>
      </c>
      <c r="P483" s="4">
        <v>1</v>
      </c>
      <c r="Q483" s="32">
        <v>335.7</v>
      </c>
      <c r="R483" s="32">
        <v>322.40800000000002</v>
      </c>
      <c r="S483" s="32">
        <v>15761.115</v>
      </c>
      <c r="T483" s="32">
        <v>15137.055600000002</v>
      </c>
      <c r="U483" s="33">
        <v>8.3348428069757077E-4</v>
      </c>
      <c r="V483" s="34">
        <v>8.0346232520618871E-4</v>
      </c>
      <c r="W483" s="34">
        <v>-3.0021955491382063E-5</v>
      </c>
      <c r="X483" s="35">
        <v>-64.719231608846826</v>
      </c>
      <c r="Y483" s="36">
        <v>-1378471.3867699003</v>
      </c>
      <c r="Z483" s="37">
        <v>0</v>
      </c>
      <c r="AA483" s="38">
        <v>0</v>
      </c>
      <c r="AB483" s="38">
        <v>0</v>
      </c>
      <c r="AC483" s="39">
        <v>0</v>
      </c>
      <c r="AD483" s="40">
        <v>0</v>
      </c>
      <c r="AE483" s="37">
        <v>1.6868025988387018E-3</v>
      </c>
      <c r="AF483" s="38">
        <v>1.6271929997866419E-3</v>
      </c>
      <c r="AG483" s="38">
        <v>-5.9609599052059875E-5</v>
      </c>
      <c r="AH483" s="39">
        <v>-0.83546860765767039</v>
      </c>
      <c r="AI483" s="40">
        <v>-17794.858523060073</v>
      </c>
      <c r="AJ483" s="39">
        <v>-65.5547002165045</v>
      </c>
      <c r="AK483" s="28">
        <v>-1396266.2452929604</v>
      </c>
      <c r="AL483" s="41">
        <f t="shared" si="7"/>
        <v>-319.72263569096981</v>
      </c>
      <c r="AM483" s="28">
        <v>3605726.75</v>
      </c>
      <c r="AN483" s="42">
        <v>-0.38723573418117735</v>
      </c>
      <c r="AP483" s="30"/>
      <c r="AR483" s="30"/>
    </row>
    <row r="484" spans="1:44" x14ac:dyDescent="0.2">
      <c r="A484" s="3" t="s">
        <v>1184</v>
      </c>
      <c r="B484" s="3" t="s">
        <v>420</v>
      </c>
      <c r="C484" s="3" t="s">
        <v>2019</v>
      </c>
      <c r="D484" s="27"/>
      <c r="E484" s="3" t="s">
        <v>609</v>
      </c>
      <c r="F484" s="133" t="s">
        <v>1051</v>
      </c>
      <c r="G484" s="3" t="s">
        <v>880</v>
      </c>
      <c r="H484" s="29">
        <v>22.69</v>
      </c>
      <c r="I484" s="30">
        <v>1075.3489999999999</v>
      </c>
      <c r="J484" s="30">
        <v>1036.877</v>
      </c>
      <c r="K484" s="31">
        <v>1</v>
      </c>
      <c r="L484" s="31">
        <v>1</v>
      </c>
      <c r="M484" s="4">
        <v>0</v>
      </c>
      <c r="N484" s="4">
        <v>0</v>
      </c>
      <c r="O484" s="4">
        <v>1</v>
      </c>
      <c r="P484" s="4">
        <v>1</v>
      </c>
      <c r="Q484" s="32">
        <v>1075.3489999999999</v>
      </c>
      <c r="R484" s="32">
        <v>1036.877</v>
      </c>
      <c r="S484" s="32">
        <v>24399.668809999999</v>
      </c>
      <c r="T484" s="32">
        <v>23526.739130000002</v>
      </c>
      <c r="U484" s="33">
        <v>1.2903110222444161E-3</v>
      </c>
      <c r="V484" s="34">
        <v>1.2487797511894732E-3</v>
      </c>
      <c r="W484" s="34">
        <v>-4.1531271054942847E-5</v>
      </c>
      <c r="X484" s="35">
        <v>-89.530209022733644</v>
      </c>
      <c r="Y484" s="36">
        <v>-3945800.3095078729</v>
      </c>
      <c r="Z484" s="37">
        <v>0</v>
      </c>
      <c r="AA484" s="38">
        <v>0</v>
      </c>
      <c r="AB484" s="38">
        <v>0</v>
      </c>
      <c r="AC484" s="39">
        <v>0</v>
      </c>
      <c r="AD484" s="40">
        <v>0</v>
      </c>
      <c r="AE484" s="37">
        <v>2.6113269752496325E-3</v>
      </c>
      <c r="AF484" s="38">
        <v>2.5290615448451195E-3</v>
      </c>
      <c r="AG484" s="38">
        <v>-8.2265430404513014E-5</v>
      </c>
      <c r="AH484" s="39">
        <v>-1.1530053161134695</v>
      </c>
      <c r="AI484" s="40">
        <v>-50815.571446164366</v>
      </c>
      <c r="AJ484" s="39">
        <v>-90.683214338847108</v>
      </c>
      <c r="AK484" s="28">
        <v>-3996615.8809540374</v>
      </c>
      <c r="AL484" s="41">
        <f t="shared" si="7"/>
        <v>-915.1888729603977</v>
      </c>
      <c r="AM484" s="28">
        <v>9858939</v>
      </c>
      <c r="AN484" s="42">
        <v>-0.40537991775322246</v>
      </c>
      <c r="AP484" s="30"/>
      <c r="AR484" s="30"/>
    </row>
    <row r="485" spans="1:44" x14ac:dyDescent="0.2">
      <c r="A485" s="3" t="s">
        <v>1115</v>
      </c>
      <c r="B485" s="3" t="s">
        <v>349</v>
      </c>
      <c r="C485" s="3" t="s">
        <v>2020</v>
      </c>
      <c r="D485" s="27"/>
      <c r="E485" s="3" t="s">
        <v>656</v>
      </c>
      <c r="F485" s="133" t="s">
        <v>1053</v>
      </c>
      <c r="G485" s="3" t="s">
        <v>880</v>
      </c>
      <c r="H485" s="29">
        <v>79.77</v>
      </c>
      <c r="I485" s="30">
        <v>325.815</v>
      </c>
      <c r="J485" s="30">
        <v>318.589</v>
      </c>
      <c r="K485" s="31">
        <v>1</v>
      </c>
      <c r="L485" s="31">
        <v>1</v>
      </c>
      <c r="M485" s="4">
        <v>0</v>
      </c>
      <c r="N485" s="4">
        <v>0</v>
      </c>
      <c r="O485" s="4">
        <v>1</v>
      </c>
      <c r="P485" s="4">
        <v>1</v>
      </c>
      <c r="Q485" s="32">
        <v>325.815</v>
      </c>
      <c r="R485" s="32">
        <v>318.589</v>
      </c>
      <c r="S485" s="32">
        <v>25990.262549999999</v>
      </c>
      <c r="T485" s="32">
        <v>25413.844529999998</v>
      </c>
      <c r="U485" s="33">
        <v>1.3744253047216369E-3</v>
      </c>
      <c r="V485" s="34">
        <v>1.3489457367456836E-3</v>
      </c>
      <c r="W485" s="34">
        <v>-2.5479567975953289E-5</v>
      </c>
      <c r="X485" s="35">
        <v>-54.927070343650179</v>
      </c>
      <c r="Y485" s="36">
        <v>-688568.01233107911</v>
      </c>
      <c r="Z485" s="37">
        <v>0</v>
      </c>
      <c r="AA485" s="38">
        <v>0</v>
      </c>
      <c r="AB485" s="38">
        <v>0</v>
      </c>
      <c r="AC485" s="39">
        <v>0</v>
      </c>
      <c r="AD485" s="40">
        <v>0</v>
      </c>
      <c r="AE485" s="37">
        <v>2.7815571686292616E-3</v>
      </c>
      <c r="AF485" s="38">
        <v>2.7319203291346853E-3</v>
      </c>
      <c r="AG485" s="38">
        <v>-4.9636839494576323E-5</v>
      </c>
      <c r="AH485" s="39">
        <v>-0.69569367753745859</v>
      </c>
      <c r="AI485" s="40">
        <v>-8721.2445472916952</v>
      </c>
      <c r="AJ485" s="39">
        <v>-55.622764021187635</v>
      </c>
      <c r="AK485" s="28">
        <v>-697289.25687837077</v>
      </c>
      <c r="AL485" s="41">
        <f t="shared" si="7"/>
        <v>-159.70645591045061</v>
      </c>
      <c r="AM485" s="28">
        <v>1700965.25</v>
      </c>
      <c r="AN485" s="42">
        <v>-0.40993739106567328</v>
      </c>
      <c r="AP485" s="30"/>
      <c r="AR485" s="30"/>
    </row>
    <row r="486" spans="1:44" x14ac:dyDescent="0.2">
      <c r="A486" s="3" t="s">
        <v>924</v>
      </c>
      <c r="B486" s="3" t="s">
        <v>1004</v>
      </c>
      <c r="C486" s="3" t="s">
        <v>2021</v>
      </c>
      <c r="D486" s="27"/>
      <c r="E486" s="3" t="s">
        <v>809</v>
      </c>
      <c r="F486" s="133" t="s">
        <v>1061</v>
      </c>
      <c r="G486" s="3" t="s">
        <v>880</v>
      </c>
      <c r="H486" s="29">
        <v>166.87</v>
      </c>
      <c r="I486" s="30">
        <v>415.39400000000001</v>
      </c>
      <c r="J486" s="30">
        <v>405.46199999999999</v>
      </c>
      <c r="K486" s="31">
        <v>0.93</v>
      </c>
      <c r="L486" s="31">
        <v>0.93</v>
      </c>
      <c r="M486" s="4">
        <v>0</v>
      </c>
      <c r="N486" s="4">
        <v>0</v>
      </c>
      <c r="O486" s="4">
        <v>1</v>
      </c>
      <c r="P486" s="4">
        <v>1</v>
      </c>
      <c r="Q486" s="32">
        <v>386.31642000000005</v>
      </c>
      <c r="R486" s="32">
        <v>377.07965999999999</v>
      </c>
      <c r="S486" s="32">
        <v>64464.621005400011</v>
      </c>
      <c r="T486" s="32">
        <v>62923.282864200002</v>
      </c>
      <c r="U486" s="33">
        <v>3.4090385273584604E-3</v>
      </c>
      <c r="V486" s="34">
        <v>3.3399155354676014E-3</v>
      </c>
      <c r="W486" s="34">
        <v>-6.9122991890858965E-5</v>
      </c>
      <c r="X486" s="35">
        <v>-149.01051075653967</v>
      </c>
      <c r="Y486" s="36">
        <v>-892973.63670246094</v>
      </c>
      <c r="Z486" s="37">
        <v>0</v>
      </c>
      <c r="AA486" s="38">
        <v>0</v>
      </c>
      <c r="AB486" s="38">
        <v>0</v>
      </c>
      <c r="AC486" s="39">
        <v>0</v>
      </c>
      <c r="AD486" s="40">
        <v>0</v>
      </c>
      <c r="AE486" s="37">
        <v>6.8992003576562131E-3</v>
      </c>
      <c r="AF486" s="38">
        <v>6.7640846480223667E-3</v>
      </c>
      <c r="AG486" s="38">
        <v>-1.3511570963384636E-4</v>
      </c>
      <c r="AH486" s="39">
        <v>-1.8937375120050708</v>
      </c>
      <c r="AI486" s="40">
        <v>-11348.579804668729</v>
      </c>
      <c r="AJ486" s="39">
        <v>-150.90424826854473</v>
      </c>
      <c r="AK486" s="28">
        <v>-904322.21650712972</v>
      </c>
      <c r="AL486" s="41">
        <f t="shared" si="7"/>
        <v>-207.11629379414802</v>
      </c>
      <c r="AM486" s="28">
        <v>2080541.5</v>
      </c>
      <c r="AN486" s="42">
        <v>-0.4346571392626053</v>
      </c>
      <c r="AP486" s="30"/>
      <c r="AR486" s="30"/>
    </row>
    <row r="487" spans="1:44" x14ac:dyDescent="0.2">
      <c r="A487" s="3" t="s">
        <v>1107</v>
      </c>
      <c r="B487" s="3" t="s">
        <v>341</v>
      </c>
      <c r="C487" s="3" t="s">
        <v>2022</v>
      </c>
      <c r="D487" s="27"/>
      <c r="E487" s="3" t="s">
        <v>649</v>
      </c>
      <c r="F487" s="133" t="s">
        <v>1061</v>
      </c>
      <c r="G487" s="3" t="s">
        <v>878</v>
      </c>
      <c r="H487" s="29">
        <v>36.299999999999997</v>
      </c>
      <c r="I487" s="30">
        <v>584.93100000000004</v>
      </c>
      <c r="J487" s="30">
        <v>576.12099999999998</v>
      </c>
      <c r="K487" s="31">
        <v>0.63</v>
      </c>
      <c r="L487" s="31">
        <v>0.62</v>
      </c>
      <c r="M487" s="4">
        <v>0</v>
      </c>
      <c r="N487" s="4">
        <v>0</v>
      </c>
      <c r="O487" s="4">
        <v>1</v>
      </c>
      <c r="P487" s="4">
        <v>1</v>
      </c>
      <c r="Q487" s="32">
        <v>368.50653000000005</v>
      </c>
      <c r="R487" s="32">
        <v>357.19502</v>
      </c>
      <c r="S487" s="32">
        <v>13376.787039000001</v>
      </c>
      <c r="T487" s="32">
        <v>12966.179225999998</v>
      </c>
      <c r="U487" s="33">
        <v>7.0739549348161623E-4</v>
      </c>
      <c r="V487" s="34">
        <v>6.8823401229775073E-4</v>
      </c>
      <c r="W487" s="34">
        <v>-1.91614811838655E-5</v>
      </c>
      <c r="X487" s="35">
        <v>-41.306980788214574</v>
      </c>
      <c r="Y487" s="36">
        <v>-1137933.3550472334</v>
      </c>
      <c r="Z487" s="37">
        <v>0</v>
      </c>
      <c r="AA487" s="38">
        <v>0</v>
      </c>
      <c r="AB487" s="38">
        <v>0</v>
      </c>
      <c r="AC487" s="39">
        <v>0</v>
      </c>
      <c r="AD487" s="40">
        <v>0</v>
      </c>
      <c r="AE487" s="37">
        <v>1.4316245482313315E-3</v>
      </c>
      <c r="AF487" s="38">
        <v>1.3938295946092829E-3</v>
      </c>
      <c r="AG487" s="38">
        <v>-3.779495362204858E-5</v>
      </c>
      <c r="AH487" s="39">
        <v>-0.52972168545408116</v>
      </c>
      <c r="AI487" s="40">
        <v>-14592.883896806645</v>
      </c>
      <c r="AJ487" s="39">
        <v>-41.836702473668652</v>
      </c>
      <c r="AK487" s="28">
        <v>-1152526.2389440401</v>
      </c>
      <c r="AL487" s="41">
        <f t="shared" si="7"/>
        <v>-263.93224771164603</v>
      </c>
      <c r="AM487" s="28">
        <v>2527569</v>
      </c>
      <c r="AN487" s="42">
        <v>-0.45598210729125105</v>
      </c>
      <c r="AP487" s="30"/>
      <c r="AR487" s="30"/>
    </row>
    <row r="488" spans="1:44" x14ac:dyDescent="0.2">
      <c r="A488" s="3" t="s">
        <v>895</v>
      </c>
      <c r="B488" s="3" t="s">
        <v>979</v>
      </c>
      <c r="C488" s="3" t="s">
        <v>2023</v>
      </c>
      <c r="D488" s="27"/>
      <c r="E488" s="3" t="s">
        <v>783</v>
      </c>
      <c r="F488" s="133" t="s">
        <v>1068</v>
      </c>
      <c r="G488" s="3" t="s">
        <v>880</v>
      </c>
      <c r="H488" s="29">
        <v>132.9</v>
      </c>
      <c r="I488" s="30">
        <v>637.01099999999997</v>
      </c>
      <c r="J488" s="30">
        <v>623.82600000000002</v>
      </c>
      <c r="K488" s="31">
        <v>0.94</v>
      </c>
      <c r="L488" s="31">
        <v>0.94</v>
      </c>
      <c r="M488" s="4">
        <v>1</v>
      </c>
      <c r="N488" s="4">
        <v>1</v>
      </c>
      <c r="O488" s="4">
        <v>0</v>
      </c>
      <c r="P488" s="4">
        <v>0</v>
      </c>
      <c r="Q488" s="32">
        <v>598.7903399999999</v>
      </c>
      <c r="R488" s="32">
        <v>586.39643999999998</v>
      </c>
      <c r="S488" s="32">
        <v>79579.236185999995</v>
      </c>
      <c r="T488" s="32">
        <v>77932.086876000001</v>
      </c>
      <c r="U488" s="33">
        <v>4.2083343996252992E-3</v>
      </c>
      <c r="V488" s="34">
        <v>4.1365703730097715E-3</v>
      </c>
      <c r="W488" s="34">
        <v>-7.1764026615527693E-5</v>
      </c>
      <c r="X488" s="35">
        <v>-154.70386867527711</v>
      </c>
      <c r="Y488" s="36">
        <v>-1164062.2172707079</v>
      </c>
      <c r="Z488" s="37">
        <v>8.3188527084874075E-3</v>
      </c>
      <c r="AA488" s="38">
        <v>8.1713581414393482E-3</v>
      </c>
      <c r="AB488" s="38">
        <v>-1.474945670480593E-4</v>
      </c>
      <c r="AC488" s="39">
        <v>-2.8219047502293182</v>
      </c>
      <c r="AD488" s="40">
        <v>-21233.293831672821</v>
      </c>
      <c r="AE488" s="37">
        <v>0</v>
      </c>
      <c r="AF488" s="38">
        <v>0</v>
      </c>
      <c r="AG488" s="38">
        <v>0</v>
      </c>
      <c r="AH488" s="39">
        <v>0</v>
      </c>
      <c r="AI488" s="40">
        <v>0</v>
      </c>
      <c r="AJ488" s="39">
        <v>-157.52577342550643</v>
      </c>
      <c r="AK488" s="28">
        <v>-1185295.5111023807</v>
      </c>
      <c r="AL488" s="41">
        <f t="shared" si="7"/>
        <v>-269.99257567918625</v>
      </c>
      <c r="AM488" s="28">
        <v>2566846.25</v>
      </c>
      <c r="AN488" s="42">
        <v>-0.46177113689703103</v>
      </c>
      <c r="AP488" s="30"/>
      <c r="AR488" s="30"/>
    </row>
    <row r="489" spans="1:44" x14ac:dyDescent="0.2">
      <c r="A489" s="3" t="s">
        <v>298</v>
      </c>
      <c r="B489" s="3" t="s">
        <v>576</v>
      </c>
      <c r="C489" s="3" t="s">
        <v>2024</v>
      </c>
      <c r="D489" s="27"/>
      <c r="E489" s="3" t="s">
        <v>2120</v>
      </c>
      <c r="F489" s="133" t="s">
        <v>1059</v>
      </c>
      <c r="G489" s="3" t="s">
        <v>880</v>
      </c>
      <c r="H489" s="29">
        <v>33.85</v>
      </c>
      <c r="I489" s="30">
        <v>284.67</v>
      </c>
      <c r="J489" s="30">
        <v>274.97300000000001</v>
      </c>
      <c r="K489" s="31">
        <v>1</v>
      </c>
      <c r="L489" s="31">
        <v>1</v>
      </c>
      <c r="M489" s="4">
        <v>1</v>
      </c>
      <c r="N489" s="4">
        <v>1</v>
      </c>
      <c r="O489" s="4">
        <v>0</v>
      </c>
      <c r="P489" s="4">
        <v>0</v>
      </c>
      <c r="Q489" s="32">
        <v>284.67</v>
      </c>
      <c r="R489" s="32">
        <v>274.97300000000001</v>
      </c>
      <c r="S489" s="32">
        <v>9636.0795000000016</v>
      </c>
      <c r="T489" s="32">
        <v>9307.8360500000017</v>
      </c>
      <c r="U489" s="33">
        <v>5.0957821136398719E-4</v>
      </c>
      <c r="V489" s="34">
        <v>4.9405219832653502E-4</v>
      </c>
      <c r="W489" s="34">
        <v>-1.5526013037452167E-5</v>
      </c>
      <c r="X489" s="35">
        <v>-33.469892859620145</v>
      </c>
      <c r="Y489" s="36">
        <v>-988770.8378026631</v>
      </c>
      <c r="Z489" s="37">
        <v>1.0073120815135112E-3</v>
      </c>
      <c r="AA489" s="38">
        <v>9.7594796874062582E-4</v>
      </c>
      <c r="AB489" s="38">
        <v>-3.1364112772885411E-5</v>
      </c>
      <c r="AC489" s="39">
        <v>-0.60006643357714051</v>
      </c>
      <c r="AD489" s="40">
        <v>-17727.22108056545</v>
      </c>
      <c r="AE489" s="37">
        <v>0</v>
      </c>
      <c r="AF489" s="38">
        <v>0</v>
      </c>
      <c r="AG489" s="38">
        <v>0</v>
      </c>
      <c r="AH489" s="39">
        <v>0</v>
      </c>
      <c r="AI489" s="40">
        <v>0</v>
      </c>
      <c r="AJ489" s="39">
        <v>-34.069959293197286</v>
      </c>
      <c r="AK489" s="28">
        <v>-1006498.0588832286</v>
      </c>
      <c r="AL489" s="41">
        <f t="shared" si="7"/>
        <v>-229.33549538334074</v>
      </c>
      <c r="AM489" s="28">
        <v>2083136.625</v>
      </c>
      <c r="AN489" s="42">
        <v>-0.48316468867385431</v>
      </c>
      <c r="AP489" s="30"/>
      <c r="AR489" s="30"/>
    </row>
    <row r="490" spans="1:44" x14ac:dyDescent="0.2">
      <c r="A490" s="3" t="s">
        <v>732</v>
      </c>
      <c r="B490" s="3" t="s">
        <v>1402</v>
      </c>
      <c r="C490" s="3" t="s">
        <v>2025</v>
      </c>
      <c r="D490" s="27"/>
      <c r="E490" s="3" t="s">
        <v>601</v>
      </c>
      <c r="F490" s="133" t="s">
        <v>1070</v>
      </c>
      <c r="G490" s="3" t="s">
        <v>878</v>
      </c>
      <c r="H490" s="29">
        <v>211.23</v>
      </c>
      <c r="I490" s="30">
        <v>74.090999999999994</v>
      </c>
      <c r="J490" s="30">
        <v>74.153000000000006</v>
      </c>
      <c r="K490" s="31">
        <v>0.86</v>
      </c>
      <c r="L490" s="31">
        <v>0.83</v>
      </c>
      <c r="M490" s="4">
        <v>1</v>
      </c>
      <c r="N490" s="4">
        <v>1</v>
      </c>
      <c r="O490" s="4">
        <v>0</v>
      </c>
      <c r="P490" s="4">
        <v>0</v>
      </c>
      <c r="Q490" s="32">
        <v>63.718259999999994</v>
      </c>
      <c r="R490" s="32">
        <v>61.546990000000001</v>
      </c>
      <c r="S490" s="32">
        <v>13459.208059799997</v>
      </c>
      <c r="T490" s="32">
        <v>13000.570697699999</v>
      </c>
      <c r="U490" s="33">
        <v>7.1175410803622384E-4</v>
      </c>
      <c r="V490" s="34">
        <v>6.9005948302003209E-4</v>
      </c>
      <c r="W490" s="34">
        <v>-2.1694625016191742E-5</v>
      </c>
      <c r="X490" s="35">
        <v>-46.767755068221234</v>
      </c>
      <c r="Y490" s="36">
        <v>-221406.78439720321</v>
      </c>
      <c r="Z490" s="37">
        <v>1.4069646152504824E-3</v>
      </c>
      <c r="AA490" s="38">
        <v>1.363139670352188E-3</v>
      </c>
      <c r="AB490" s="38">
        <v>-4.3824944898294407E-5</v>
      </c>
      <c r="AC490" s="39">
        <v>-0.83847034275329491</v>
      </c>
      <c r="AD490" s="40">
        <v>-3969.466187346944</v>
      </c>
      <c r="AE490" s="37">
        <v>0</v>
      </c>
      <c r="AF490" s="38">
        <v>0</v>
      </c>
      <c r="AG490" s="38">
        <v>0</v>
      </c>
      <c r="AH490" s="39">
        <v>0</v>
      </c>
      <c r="AI490" s="40">
        <v>0</v>
      </c>
      <c r="AJ490" s="39">
        <v>-47.606225410974531</v>
      </c>
      <c r="AK490" s="28">
        <v>-225376.25058455014</v>
      </c>
      <c r="AL490" s="41">
        <f t="shared" si="7"/>
        <v>-51.353086721090143</v>
      </c>
      <c r="AM490" s="28">
        <v>464869</v>
      </c>
      <c r="AN490" s="42">
        <v>-0.48481669155084584</v>
      </c>
      <c r="AP490" s="30"/>
      <c r="AR490" s="30"/>
    </row>
    <row r="491" spans="1:44" x14ac:dyDescent="0.2">
      <c r="A491" s="3" t="s">
        <v>769</v>
      </c>
      <c r="B491" s="3" t="s">
        <v>1043</v>
      </c>
      <c r="C491" s="3" t="s">
        <v>2026</v>
      </c>
      <c r="D491" s="27"/>
      <c r="E491" s="3" t="s">
        <v>968</v>
      </c>
      <c r="F491" s="133" t="s">
        <v>1069</v>
      </c>
      <c r="G491" s="3" t="s">
        <v>878</v>
      </c>
      <c r="H491" s="29">
        <v>49.56</v>
      </c>
      <c r="I491" s="30">
        <v>5077.0479999999998</v>
      </c>
      <c r="J491" s="30">
        <v>5045.5469999999996</v>
      </c>
      <c r="K491" s="31">
        <v>0.91</v>
      </c>
      <c r="L491" s="31">
        <v>0.9</v>
      </c>
      <c r="M491" s="4">
        <v>0</v>
      </c>
      <c r="N491" s="4">
        <v>0</v>
      </c>
      <c r="O491" s="4">
        <v>1</v>
      </c>
      <c r="P491" s="4">
        <v>1</v>
      </c>
      <c r="Q491" s="32">
        <v>4620.1136800000004</v>
      </c>
      <c r="R491" s="32">
        <v>4540.9922999999999</v>
      </c>
      <c r="S491" s="32">
        <v>228972.83398080003</v>
      </c>
      <c r="T491" s="32">
        <v>225051.57838799999</v>
      </c>
      <c r="U491" s="33">
        <v>1.210861400540326E-2</v>
      </c>
      <c r="V491" s="34">
        <v>1.1945550656690809E-2</v>
      </c>
      <c r="W491" s="34">
        <v>-1.6306334871245103E-4</v>
      </c>
      <c r="X491" s="35">
        <v>-351.5205608530282</v>
      </c>
      <c r="Y491" s="36">
        <v>-7092828.1043790998</v>
      </c>
      <c r="Z491" s="37">
        <v>0</v>
      </c>
      <c r="AA491" s="38">
        <v>0</v>
      </c>
      <c r="AB491" s="38">
        <v>0</v>
      </c>
      <c r="AC491" s="39">
        <v>0</v>
      </c>
      <c r="AD491" s="40">
        <v>0</v>
      </c>
      <c r="AE491" s="37">
        <v>2.4505371061772984E-2</v>
      </c>
      <c r="AF491" s="38">
        <v>2.4192442877985349E-2</v>
      </c>
      <c r="AG491" s="38">
        <v>-3.1292818378763493E-4</v>
      </c>
      <c r="AH491" s="39">
        <v>-4.3858988848015832</v>
      </c>
      <c r="AI491" s="40">
        <v>-88496.749088006109</v>
      </c>
      <c r="AJ491" s="39">
        <v>-355.90645973782978</v>
      </c>
      <c r="AK491" s="28">
        <v>-7181324.8534671059</v>
      </c>
      <c r="AL491" s="41">
        <f t="shared" si="7"/>
        <v>-1645.1104591651638</v>
      </c>
      <c r="AM491" s="28">
        <v>14523817</v>
      </c>
      <c r="AN491" s="42">
        <v>-0.49445162063575337</v>
      </c>
      <c r="AP491" s="30"/>
      <c r="AR491" s="30"/>
    </row>
    <row r="492" spans="1:44" x14ac:dyDescent="0.2">
      <c r="A492" s="3" t="s">
        <v>731</v>
      </c>
      <c r="B492" s="3" t="s">
        <v>161</v>
      </c>
      <c r="C492" s="3" t="s">
        <v>2027</v>
      </c>
      <c r="D492" s="27"/>
      <c r="E492" s="3" t="s">
        <v>600</v>
      </c>
      <c r="F492" s="133" t="s">
        <v>1060</v>
      </c>
      <c r="G492" s="3" t="s">
        <v>880</v>
      </c>
      <c r="H492" s="29">
        <v>82.71</v>
      </c>
      <c r="I492" s="30">
        <v>148.49299999999999</v>
      </c>
      <c r="J492" s="30">
        <v>143.626</v>
      </c>
      <c r="K492" s="31">
        <v>0.85</v>
      </c>
      <c r="L492" s="31">
        <v>0.85</v>
      </c>
      <c r="M492" s="4">
        <v>0.47</v>
      </c>
      <c r="N492" s="4">
        <v>0.47</v>
      </c>
      <c r="O492" s="4">
        <v>0.53</v>
      </c>
      <c r="P492" s="4">
        <v>0.53</v>
      </c>
      <c r="Q492" s="32">
        <v>126.21905</v>
      </c>
      <c r="R492" s="32">
        <v>122.0821</v>
      </c>
      <c r="S492" s="32">
        <v>10439.577625499998</v>
      </c>
      <c r="T492" s="32">
        <v>10097.410490999999</v>
      </c>
      <c r="U492" s="33">
        <v>5.520690539962636E-4</v>
      </c>
      <c r="V492" s="34">
        <v>5.3596215314557084E-4</v>
      </c>
      <c r="W492" s="34">
        <v>-1.610690085069276E-5</v>
      </c>
      <c r="X492" s="35">
        <v>-34.722130174230315</v>
      </c>
      <c r="Y492" s="36">
        <v>-419805.70879253192</v>
      </c>
      <c r="Z492" s="37">
        <v>5.1291388307767819E-4</v>
      </c>
      <c r="AA492" s="38">
        <v>4.9760623054473699E-4</v>
      </c>
      <c r="AB492" s="38">
        <v>-1.5307652532941195E-5</v>
      </c>
      <c r="AC492" s="39">
        <v>-0.29287002404292956</v>
      </c>
      <c r="AD492" s="40">
        <v>-3540.9264181227127</v>
      </c>
      <c r="AE492" s="37">
        <v>5.9215598229059513E-4</v>
      </c>
      <c r="AF492" s="38">
        <v>5.7528565221571354E-4</v>
      </c>
      <c r="AG492" s="38">
        <v>-1.6870330074881591E-5</v>
      </c>
      <c r="AH492" s="39">
        <v>-0.23644901832131329</v>
      </c>
      <c r="AI492" s="40">
        <v>-2858.7718331678552</v>
      </c>
      <c r="AJ492" s="39">
        <v>-35.251449216594558</v>
      </c>
      <c r="AK492" s="28">
        <v>-426205.40704382252</v>
      </c>
      <c r="AL492" s="41">
        <f t="shared" si="7"/>
        <v>-97.369730689715638</v>
      </c>
      <c r="AM492" s="28">
        <v>855424.1875</v>
      </c>
      <c r="AN492" s="42">
        <v>-0.49823866716864668</v>
      </c>
      <c r="AP492" s="30"/>
      <c r="AR492" s="30"/>
    </row>
    <row r="493" spans="1:44" x14ac:dyDescent="0.2">
      <c r="A493" s="3" t="s">
        <v>1119</v>
      </c>
      <c r="B493" s="3" t="s">
        <v>353</v>
      </c>
      <c r="C493" s="3" t="s">
        <v>2028</v>
      </c>
      <c r="D493" s="27"/>
      <c r="E493" s="3" t="s">
        <v>658</v>
      </c>
      <c r="F493" s="133" t="s">
        <v>1065</v>
      </c>
      <c r="G493" s="3" t="s">
        <v>878</v>
      </c>
      <c r="H493" s="29">
        <v>47.18</v>
      </c>
      <c r="I493" s="30">
        <v>562.13699999999994</v>
      </c>
      <c r="J493" s="30">
        <v>550.89099999999996</v>
      </c>
      <c r="K493" s="31">
        <v>0.78</v>
      </c>
      <c r="L493" s="31">
        <v>0.76</v>
      </c>
      <c r="M493" s="4">
        <v>0</v>
      </c>
      <c r="N493" s="4">
        <v>0</v>
      </c>
      <c r="O493" s="4">
        <v>1</v>
      </c>
      <c r="P493" s="4">
        <v>1</v>
      </c>
      <c r="Q493" s="32">
        <v>438.46686</v>
      </c>
      <c r="R493" s="32">
        <v>418.67715999999996</v>
      </c>
      <c r="S493" s="32">
        <v>20686.866454800002</v>
      </c>
      <c r="T493" s="32">
        <v>19753.188408799997</v>
      </c>
      <c r="U493" s="33">
        <v>1.0939694309042023E-3</v>
      </c>
      <c r="V493" s="34">
        <v>1.0484828165109189E-3</v>
      </c>
      <c r="W493" s="34">
        <v>-4.5486614393283392E-5</v>
      </c>
      <c r="X493" s="35">
        <v>-98.05686151477579</v>
      </c>
      <c r="Y493" s="36">
        <v>-2078356.5391008009</v>
      </c>
      <c r="Z493" s="37">
        <v>0</v>
      </c>
      <c r="AA493" s="38">
        <v>0</v>
      </c>
      <c r="AB493" s="38">
        <v>0</v>
      </c>
      <c r="AC493" s="39">
        <v>0</v>
      </c>
      <c r="AD493" s="40">
        <v>0</v>
      </c>
      <c r="AE493" s="37">
        <v>2.2139715431164484E-3</v>
      </c>
      <c r="AF493" s="38">
        <v>2.1234149329719043E-3</v>
      </c>
      <c r="AG493" s="38">
        <v>-9.0556610144544147E-5</v>
      </c>
      <c r="AH493" s="39">
        <v>-1.2692117745262095</v>
      </c>
      <c r="AI493" s="40">
        <v>-26901.478900513128</v>
      </c>
      <c r="AJ493" s="39">
        <v>-99.326073289302002</v>
      </c>
      <c r="AK493" s="28">
        <v>-2105258.0180013138</v>
      </c>
      <c r="AL493" s="41">
        <f t="shared" si="7"/>
        <v>-482.05398890720005</v>
      </c>
      <c r="AM493" s="28">
        <v>3993223.25</v>
      </c>
      <c r="AN493" s="42">
        <v>-0.52720769318402461</v>
      </c>
      <c r="AP493" s="30"/>
      <c r="AR493" s="30"/>
    </row>
    <row r="494" spans="1:44" x14ac:dyDescent="0.2">
      <c r="A494" s="3" t="s">
        <v>1416</v>
      </c>
      <c r="B494" s="3" t="s">
        <v>1401</v>
      </c>
      <c r="C494" s="3" t="s">
        <v>2029</v>
      </c>
      <c r="D494" s="27"/>
      <c r="E494" s="3" t="s">
        <v>1424</v>
      </c>
      <c r="F494" s="133" t="s">
        <v>1070</v>
      </c>
      <c r="G494" s="3" t="s">
        <v>878</v>
      </c>
      <c r="H494" s="29">
        <v>50.21</v>
      </c>
      <c r="I494" s="30">
        <v>176.47200000000001</v>
      </c>
      <c r="J494" s="30">
        <v>169.011</v>
      </c>
      <c r="K494" s="31">
        <v>1</v>
      </c>
      <c r="L494" s="31">
        <v>0.95</v>
      </c>
      <c r="M494" s="4">
        <v>0.66</v>
      </c>
      <c r="N494" s="4">
        <v>0.66</v>
      </c>
      <c r="O494" s="4">
        <v>0.34</v>
      </c>
      <c r="P494" s="4">
        <v>0.34</v>
      </c>
      <c r="Q494" s="32">
        <v>176.47200000000001</v>
      </c>
      <c r="R494" s="32">
        <v>160.56044999999997</v>
      </c>
      <c r="S494" s="32">
        <v>8860.6591200000003</v>
      </c>
      <c r="T494" s="32">
        <v>8061.7401944999992</v>
      </c>
      <c r="U494" s="33">
        <v>4.6857218497165784E-4</v>
      </c>
      <c r="V494" s="34">
        <v>4.279104664107305E-4</v>
      </c>
      <c r="W494" s="34">
        <v>-4.0661718560927335E-5</v>
      </c>
      <c r="X494" s="35">
        <v>-87.655688581438781</v>
      </c>
      <c r="Y494" s="36">
        <v>-1745781.4893734073</v>
      </c>
      <c r="Z494" s="37">
        <v>6.1132707839887154E-4</v>
      </c>
      <c r="AA494" s="38">
        <v>5.5789269283942477E-4</v>
      </c>
      <c r="AB494" s="38">
        <v>-5.3434385559446773E-5</v>
      </c>
      <c r="AC494" s="39">
        <v>-1.0223206824062592</v>
      </c>
      <c r="AD494" s="40">
        <v>-20360.897877041607</v>
      </c>
      <c r="AE494" s="37">
        <v>3.2242021979749197E-4</v>
      </c>
      <c r="AF494" s="38">
        <v>2.9464927456567311E-4</v>
      </c>
      <c r="AG494" s="38">
        <v>-2.7770945231818855E-5</v>
      </c>
      <c r="AH494" s="39">
        <v>-0.38922846848712961</v>
      </c>
      <c r="AI494" s="40">
        <v>-7752.0109238623709</v>
      </c>
      <c r="AJ494" s="39">
        <v>-89.067237732332174</v>
      </c>
      <c r="AK494" s="28">
        <v>-1773894.3981743115</v>
      </c>
      <c r="AL494" s="41">
        <f t="shared" si="7"/>
        <v>-404.91653615741222</v>
      </c>
      <c r="AM494" s="28">
        <v>3334724.5</v>
      </c>
      <c r="AN494" s="42">
        <v>-0.53194631165912254</v>
      </c>
      <c r="AP494" s="30"/>
      <c r="AR494" s="30"/>
    </row>
    <row r="495" spans="1:44" x14ac:dyDescent="0.2">
      <c r="A495" s="3" t="s">
        <v>1417</v>
      </c>
      <c r="B495" s="3" t="s">
        <v>1403</v>
      </c>
      <c r="C495" s="3" t="s">
        <v>2030</v>
      </c>
      <c r="D495" s="27"/>
      <c r="E495" s="3" t="s">
        <v>1425</v>
      </c>
      <c r="F495" s="133" t="s">
        <v>1061</v>
      </c>
      <c r="G495" s="3" t="s">
        <v>880</v>
      </c>
      <c r="H495" s="29">
        <v>14.17</v>
      </c>
      <c r="I495" s="30">
        <v>330.51400000000001</v>
      </c>
      <c r="J495" s="30">
        <v>317.03300000000002</v>
      </c>
      <c r="K495" s="31">
        <v>1</v>
      </c>
      <c r="L495" s="31">
        <v>1</v>
      </c>
      <c r="M495" s="4">
        <v>0</v>
      </c>
      <c r="N495" s="4">
        <v>0</v>
      </c>
      <c r="O495" s="4">
        <v>1</v>
      </c>
      <c r="P495" s="4">
        <v>1</v>
      </c>
      <c r="Q495" s="32">
        <v>330.51400000000001</v>
      </c>
      <c r="R495" s="32">
        <v>317.03300000000002</v>
      </c>
      <c r="S495" s="32">
        <v>4683.3833800000002</v>
      </c>
      <c r="T495" s="32">
        <v>4492.35761</v>
      </c>
      <c r="U495" s="33">
        <v>2.4766816482909096E-4</v>
      </c>
      <c r="V495" s="34">
        <v>2.3845060666807065E-4</v>
      </c>
      <c r="W495" s="34">
        <v>-9.2175581610203091E-6</v>
      </c>
      <c r="X495" s="35">
        <v>-19.870567114201901</v>
      </c>
      <c r="Y495" s="36">
        <v>-1402298.3143402894</v>
      </c>
      <c r="Z495" s="37">
        <v>0</v>
      </c>
      <c r="AA495" s="38">
        <v>0</v>
      </c>
      <c r="AB495" s="38">
        <v>0</v>
      </c>
      <c r="AC495" s="39">
        <v>0</v>
      </c>
      <c r="AD495" s="40">
        <v>0</v>
      </c>
      <c r="AE495" s="37">
        <v>5.0122997368790109E-4</v>
      </c>
      <c r="AF495" s="38">
        <v>4.8291643029508646E-4</v>
      </c>
      <c r="AG495" s="38">
        <v>-1.831354339281463E-5</v>
      </c>
      <c r="AH495" s="39">
        <v>-0.25667662327858665</v>
      </c>
      <c r="AI495" s="40">
        <v>-18114.087740196657</v>
      </c>
      <c r="AJ495" s="39">
        <v>-20.127243737480487</v>
      </c>
      <c r="AK495" s="28">
        <v>-1420412.4020804861</v>
      </c>
      <c r="AL495" s="41">
        <f t="shared" si="7"/>
        <v>-325.24905296472514</v>
      </c>
      <c r="AM495" s="28">
        <v>2640415</v>
      </c>
      <c r="AN495" s="42">
        <v>-0.53795043660958075</v>
      </c>
      <c r="AP495" s="30"/>
      <c r="AR495" s="30"/>
    </row>
    <row r="496" spans="1:44" x14ac:dyDescent="0.2">
      <c r="A496" s="3" t="s">
        <v>1172</v>
      </c>
      <c r="B496" s="3" t="s">
        <v>408</v>
      </c>
      <c r="C496" s="3" t="s">
        <v>2031</v>
      </c>
      <c r="D496" s="27"/>
      <c r="E496" s="3" t="s">
        <v>1421</v>
      </c>
      <c r="F496" s="133" t="s">
        <v>1052</v>
      </c>
      <c r="G496" s="3" t="s">
        <v>878</v>
      </c>
      <c r="H496" s="29">
        <v>10.98</v>
      </c>
      <c r="I496" s="30">
        <v>1330</v>
      </c>
      <c r="J496" s="30">
        <v>1328.258</v>
      </c>
      <c r="K496" s="31">
        <v>1</v>
      </c>
      <c r="L496" s="31">
        <v>0.91</v>
      </c>
      <c r="M496" s="4">
        <v>0</v>
      </c>
      <c r="N496" s="4">
        <v>0</v>
      </c>
      <c r="O496" s="4">
        <v>1</v>
      </c>
      <c r="P496" s="4">
        <v>1</v>
      </c>
      <c r="Q496" s="32">
        <v>1330</v>
      </c>
      <c r="R496" s="32">
        <v>1208.71478</v>
      </c>
      <c r="S496" s="32">
        <v>14603.400000000001</v>
      </c>
      <c r="T496" s="32">
        <v>13271.688284400001</v>
      </c>
      <c r="U496" s="33">
        <v>7.722616289988942E-4</v>
      </c>
      <c r="V496" s="34">
        <v>7.0445017909531607E-4</v>
      </c>
      <c r="W496" s="34">
        <v>-6.7811449903578129E-5</v>
      </c>
      <c r="X496" s="35">
        <v>-146.18318028288277</v>
      </c>
      <c r="Y496" s="36">
        <v>-13313586.546710635</v>
      </c>
      <c r="Z496" s="37">
        <v>0</v>
      </c>
      <c r="AA496" s="38">
        <v>0</v>
      </c>
      <c r="AB496" s="38">
        <v>0</v>
      </c>
      <c r="AC496" s="39">
        <v>0</v>
      </c>
      <c r="AD496" s="40">
        <v>0</v>
      </c>
      <c r="AE496" s="37">
        <v>1.5629004084978188E-3</v>
      </c>
      <c r="AF496" s="38">
        <v>1.4266710014413943E-3</v>
      </c>
      <c r="AG496" s="38">
        <v>-1.3622940705642446E-4</v>
      </c>
      <c r="AH496" s="39">
        <v>-1.9093467301476159</v>
      </c>
      <c r="AI496" s="40">
        <v>-173893.14482218723</v>
      </c>
      <c r="AJ496" s="39">
        <v>-148.09252701303038</v>
      </c>
      <c r="AK496" s="28">
        <v>-13487479.691532822</v>
      </c>
      <c r="AL496" s="41">
        <f t="shared" si="7"/>
        <v>-3087.9530921483661</v>
      </c>
      <c r="AM496" s="28">
        <v>24833260</v>
      </c>
      <c r="AN496" s="42">
        <v>-0.54312159142749772</v>
      </c>
      <c r="AP496" s="30"/>
      <c r="AR496" s="30"/>
    </row>
    <row r="497" spans="1:44" x14ac:dyDescent="0.2">
      <c r="A497" s="3" t="s">
        <v>1089</v>
      </c>
      <c r="B497" s="3" t="s">
        <v>321</v>
      </c>
      <c r="C497" s="3" t="s">
        <v>2032</v>
      </c>
      <c r="D497" s="27"/>
      <c r="E497" s="3" t="s">
        <v>633</v>
      </c>
      <c r="F497" s="133" t="s">
        <v>1059</v>
      </c>
      <c r="G497" s="3" t="s">
        <v>880</v>
      </c>
      <c r="H497" s="29">
        <v>88.72</v>
      </c>
      <c r="I497" s="30">
        <v>61.936999999999998</v>
      </c>
      <c r="J497" s="30">
        <v>60.204000000000001</v>
      </c>
      <c r="K497" s="31">
        <v>1</v>
      </c>
      <c r="L497" s="31">
        <v>1</v>
      </c>
      <c r="M497" s="4">
        <v>0.45</v>
      </c>
      <c r="N497" s="4">
        <v>0.45</v>
      </c>
      <c r="O497" s="4">
        <v>0.55000000000000004</v>
      </c>
      <c r="P497" s="4">
        <v>0.55000000000000004</v>
      </c>
      <c r="Q497" s="32">
        <v>61.936999999999998</v>
      </c>
      <c r="R497" s="32">
        <v>60.204000000000001</v>
      </c>
      <c r="S497" s="32">
        <v>5495.0506399999995</v>
      </c>
      <c r="T497" s="32">
        <v>5341.2988800000003</v>
      </c>
      <c r="U497" s="33">
        <v>2.9059101022212738E-4</v>
      </c>
      <c r="V497" s="34">
        <v>2.8351170340855527E-4</v>
      </c>
      <c r="W497" s="34">
        <v>-7.0793068135721116E-6</v>
      </c>
      <c r="X497" s="35">
        <v>-15.261074430317501</v>
      </c>
      <c r="Y497" s="36">
        <v>-172013.91377724867</v>
      </c>
      <c r="Z497" s="37">
        <v>2.584924609837692E-4</v>
      </c>
      <c r="AA497" s="38">
        <v>2.5202134996433041E-4</v>
      </c>
      <c r="AB497" s="38">
        <v>-6.471111019438786E-6</v>
      </c>
      <c r="AC497" s="39">
        <v>-0.12380699364381006</v>
      </c>
      <c r="AD497" s="40">
        <v>-1395.4800906651271</v>
      </c>
      <c r="AE497" s="37">
        <v>3.2345339369494158E-4</v>
      </c>
      <c r="AF497" s="38">
        <v>3.157964406907065E-4</v>
      </c>
      <c r="AG497" s="38">
        <v>-7.6569530042350795E-6</v>
      </c>
      <c r="AH497" s="39">
        <v>-0.10731734430492597</v>
      </c>
      <c r="AI497" s="40">
        <v>-1209.618398387353</v>
      </c>
      <c r="AJ497" s="39">
        <v>-15.492198768266238</v>
      </c>
      <c r="AK497" s="28">
        <v>-174619.01226630117</v>
      </c>
      <c r="AL497" s="41">
        <f t="shared" si="7"/>
        <v>-39.896904945740033</v>
      </c>
      <c r="AM497" s="28">
        <v>317157.1875</v>
      </c>
      <c r="AN497" s="42">
        <v>-0.55057561092258445</v>
      </c>
      <c r="AP497" s="30"/>
      <c r="AR497" s="30"/>
    </row>
    <row r="498" spans="1:44" x14ac:dyDescent="0.2">
      <c r="A498" s="3" t="s">
        <v>248</v>
      </c>
      <c r="B498" s="3" t="s">
        <v>1258</v>
      </c>
      <c r="C498" s="3" t="s">
        <v>2033</v>
      </c>
      <c r="D498" s="27"/>
      <c r="E498" s="3" t="s">
        <v>1359</v>
      </c>
      <c r="F498" s="133" t="s">
        <v>1061</v>
      </c>
      <c r="G498" s="3" t="s">
        <v>878</v>
      </c>
      <c r="H498" s="29">
        <v>31.05</v>
      </c>
      <c r="I498" s="30">
        <v>1321.691</v>
      </c>
      <c r="J498" s="30">
        <v>1323.0039999999999</v>
      </c>
      <c r="K498" s="31">
        <v>0.91</v>
      </c>
      <c r="L498" s="31">
        <v>0.88</v>
      </c>
      <c r="M498" s="4">
        <v>1</v>
      </c>
      <c r="N498" s="4">
        <v>1</v>
      </c>
      <c r="O498" s="4">
        <v>0</v>
      </c>
      <c r="P498" s="4">
        <v>0</v>
      </c>
      <c r="Q498" s="32">
        <v>1202.7388100000001</v>
      </c>
      <c r="R498" s="32">
        <v>1164.24352</v>
      </c>
      <c r="S498" s="32">
        <v>37345.0400505</v>
      </c>
      <c r="T498" s="32">
        <v>36149.761295999997</v>
      </c>
      <c r="U498" s="33">
        <v>1.9748922486837362E-3</v>
      </c>
      <c r="V498" s="34">
        <v>1.9187992720679998E-3</v>
      </c>
      <c r="W498" s="34">
        <v>-5.6092976615736406E-5</v>
      </c>
      <c r="X498" s="35">
        <v>-120.92131527759962</v>
      </c>
      <c r="Y498" s="36">
        <v>-3894406.2891336428</v>
      </c>
      <c r="Z498" s="37">
        <v>3.9038812441797095E-3</v>
      </c>
      <c r="AA498" s="38">
        <v>3.7903854255457886E-3</v>
      </c>
      <c r="AB498" s="38">
        <v>-1.1349581863392098E-4</v>
      </c>
      <c r="AC498" s="39">
        <v>-2.1714317763980371</v>
      </c>
      <c r="AD498" s="40">
        <v>-69933.390544220194</v>
      </c>
      <c r="AE498" s="37">
        <v>0</v>
      </c>
      <c r="AF498" s="38">
        <v>0</v>
      </c>
      <c r="AG498" s="38">
        <v>0</v>
      </c>
      <c r="AH498" s="39">
        <v>0</v>
      </c>
      <c r="AI498" s="40">
        <v>0</v>
      </c>
      <c r="AJ498" s="39">
        <v>-123.09274705399766</v>
      </c>
      <c r="AK498" s="28">
        <v>-3964339.6796778631</v>
      </c>
      <c r="AL498" s="41">
        <f t="shared" si="7"/>
        <v>-903.26854453681813</v>
      </c>
      <c r="AM498" s="28">
        <v>7162073.5</v>
      </c>
      <c r="AN498" s="42">
        <v>-0.55351843005770096</v>
      </c>
      <c r="AP498" s="30"/>
      <c r="AR498" s="30"/>
    </row>
    <row r="499" spans="1:44" x14ac:dyDescent="0.2">
      <c r="A499" s="3" t="s">
        <v>1188</v>
      </c>
      <c r="B499" s="3" t="s">
        <v>424</v>
      </c>
      <c r="C499" s="3" t="s">
        <v>2034</v>
      </c>
      <c r="D499" s="27"/>
      <c r="E499" s="3" t="s">
        <v>1354</v>
      </c>
      <c r="F499" s="133" t="s">
        <v>1068</v>
      </c>
      <c r="G499" s="3" t="s">
        <v>878</v>
      </c>
      <c r="H499" s="29">
        <v>234.73</v>
      </c>
      <c r="I499" s="30">
        <v>61.322000000000003</v>
      </c>
      <c r="J499" s="30">
        <v>60.423000000000002</v>
      </c>
      <c r="K499" s="31">
        <v>0.92</v>
      </c>
      <c r="L499" s="31">
        <v>0.9</v>
      </c>
      <c r="M499" s="4">
        <v>0.41</v>
      </c>
      <c r="N499" s="4">
        <v>0.41</v>
      </c>
      <c r="O499" s="4">
        <v>0.59</v>
      </c>
      <c r="P499" s="4">
        <v>0.59</v>
      </c>
      <c r="Q499" s="32">
        <v>56.416240000000002</v>
      </c>
      <c r="R499" s="32">
        <v>54.380700000000004</v>
      </c>
      <c r="S499" s="32">
        <v>13242.5840152</v>
      </c>
      <c r="T499" s="32">
        <v>12764.781711</v>
      </c>
      <c r="U499" s="33">
        <v>7.0029852662620133E-4</v>
      </c>
      <c r="V499" s="34">
        <v>6.7754399965799751E-4</v>
      </c>
      <c r="W499" s="34">
        <v>-2.2754526968203821E-5</v>
      </c>
      <c r="X499" s="35">
        <v>-49.052617556097125</v>
      </c>
      <c r="Y499" s="36">
        <v>-208974.64131596783</v>
      </c>
      <c r="Z499" s="37">
        <v>5.6757108492900578E-4</v>
      </c>
      <c r="AA499" s="38">
        <v>5.487508281508518E-4</v>
      </c>
      <c r="AB499" s="38">
        <v>-1.8820256778153983E-5</v>
      </c>
      <c r="AC499" s="39">
        <v>-0.36007408995277324</v>
      </c>
      <c r="AD499" s="40">
        <v>-1533.9926296288213</v>
      </c>
      <c r="AE499" s="37">
        <v>8.3618442146927638E-4</v>
      </c>
      <c r="AF499" s="38">
        <v>8.0958614117310982E-4</v>
      </c>
      <c r="AG499" s="38">
        <v>-2.6598280296166558E-5</v>
      </c>
      <c r="AH499" s="39">
        <v>-0.37279278100359603</v>
      </c>
      <c r="AI499" s="40">
        <v>-1588.1769735593919</v>
      </c>
      <c r="AJ499" s="39">
        <v>-49.785484427053497</v>
      </c>
      <c r="AK499" s="28">
        <v>-212096.81091915607</v>
      </c>
      <c r="AL499" s="41">
        <f t="shared" si="7"/>
        <v>-48.469575614970012</v>
      </c>
      <c r="AM499" s="28">
        <v>382918.65625</v>
      </c>
      <c r="AN499" s="42">
        <v>-0.55389521366303518</v>
      </c>
      <c r="AP499" s="30"/>
      <c r="AR499" s="30"/>
    </row>
    <row r="500" spans="1:44" x14ac:dyDescent="0.2">
      <c r="A500" s="3" t="s">
        <v>1276</v>
      </c>
      <c r="B500" s="3" t="s">
        <v>1278</v>
      </c>
      <c r="C500" s="3" t="s">
        <v>2035</v>
      </c>
      <c r="D500" s="27"/>
      <c r="E500" s="3" t="s">
        <v>1357</v>
      </c>
      <c r="F500" s="133" t="s">
        <v>1051</v>
      </c>
      <c r="G500" s="3" t="s">
        <v>880</v>
      </c>
      <c r="H500" s="29">
        <v>77.290000000000006</v>
      </c>
      <c r="I500" s="30">
        <v>174.6</v>
      </c>
      <c r="J500" s="30">
        <v>166.726</v>
      </c>
      <c r="K500" s="31">
        <v>0.91</v>
      </c>
      <c r="L500" s="31">
        <v>0.91</v>
      </c>
      <c r="M500" s="4">
        <v>0.6</v>
      </c>
      <c r="N500" s="4">
        <v>0.6</v>
      </c>
      <c r="O500" s="4">
        <v>0.4</v>
      </c>
      <c r="P500" s="4">
        <v>0.4</v>
      </c>
      <c r="Q500" s="32">
        <v>158.886</v>
      </c>
      <c r="R500" s="32">
        <v>151.72066000000001</v>
      </c>
      <c r="S500" s="32">
        <v>12280.298940000001</v>
      </c>
      <c r="T500" s="32">
        <v>11726.489811400003</v>
      </c>
      <c r="U500" s="33">
        <v>6.494106621744109E-4</v>
      </c>
      <c r="V500" s="34">
        <v>6.2243232893814074E-4</v>
      </c>
      <c r="W500" s="34">
        <v>-2.697833323627016E-5</v>
      </c>
      <c r="X500" s="35">
        <v>-58.158003653027222</v>
      </c>
      <c r="Y500" s="36">
        <v>-752464.79043895996</v>
      </c>
      <c r="Z500" s="37">
        <v>7.7023607911451311E-4</v>
      </c>
      <c r="AA500" s="38">
        <v>7.3772961945715453E-4</v>
      </c>
      <c r="AB500" s="38">
        <v>-3.250645965735858E-5</v>
      </c>
      <c r="AC500" s="39">
        <v>-0.6219221138521579</v>
      </c>
      <c r="AD500" s="40">
        <v>-8046.6051734009288</v>
      </c>
      <c r="AE500" s="37">
        <v>5.2571001903122102E-4</v>
      </c>
      <c r="AF500" s="38">
        <v>5.0422651901151669E-4</v>
      </c>
      <c r="AG500" s="38">
        <v>-2.1483500019704336E-5</v>
      </c>
      <c r="AH500" s="39">
        <v>-0.30110569664124714</v>
      </c>
      <c r="AI500" s="40">
        <v>-3895.7911326335502</v>
      </c>
      <c r="AJ500" s="39">
        <v>-59.081031463520624</v>
      </c>
      <c r="AK500" s="28">
        <v>-764407.18674499448</v>
      </c>
      <c r="AL500" s="41">
        <f t="shared" si="7"/>
        <v>-174.52667380172181</v>
      </c>
      <c r="AM500" s="28">
        <v>1367791.5</v>
      </c>
      <c r="AN500" s="42">
        <v>-0.55886236078012952</v>
      </c>
      <c r="AP500" s="30"/>
      <c r="AR500" s="30"/>
    </row>
    <row r="501" spans="1:44" x14ac:dyDescent="0.2">
      <c r="A501" s="3" t="s">
        <v>937</v>
      </c>
      <c r="B501" s="3" t="s">
        <v>1016</v>
      </c>
      <c r="C501" s="3" t="s">
        <v>2036</v>
      </c>
      <c r="D501" s="27"/>
      <c r="E501" s="3" t="s">
        <v>821</v>
      </c>
      <c r="F501" s="133" t="s">
        <v>1065</v>
      </c>
      <c r="G501" s="3" t="s">
        <v>880</v>
      </c>
      <c r="H501" s="29">
        <v>115.41</v>
      </c>
      <c r="I501" s="30">
        <v>877.85799999999995</v>
      </c>
      <c r="J501" s="30">
        <v>853.36199999999997</v>
      </c>
      <c r="K501" s="31">
        <v>1</v>
      </c>
      <c r="L501" s="31">
        <v>1</v>
      </c>
      <c r="M501" s="4">
        <v>0.66</v>
      </c>
      <c r="N501" s="4">
        <v>0.66</v>
      </c>
      <c r="O501" s="4">
        <v>0.34</v>
      </c>
      <c r="P501" s="4">
        <v>0.34</v>
      </c>
      <c r="Q501" s="32">
        <v>877.85799999999995</v>
      </c>
      <c r="R501" s="32">
        <v>853.36199999999997</v>
      </c>
      <c r="S501" s="32">
        <v>101313.59177999999</v>
      </c>
      <c r="T501" s="32">
        <v>98486.508419999998</v>
      </c>
      <c r="U501" s="33">
        <v>5.3576974833088016E-3</v>
      </c>
      <c r="V501" s="34">
        <v>5.227581978133982E-3</v>
      </c>
      <c r="W501" s="34">
        <v>-1.301155051748196E-4</v>
      </c>
      <c r="X501" s="35">
        <v>-280.49390446030526</v>
      </c>
      <c r="Y501" s="36">
        <v>-2430412.481243439</v>
      </c>
      <c r="Z501" s="37">
        <v>6.9899700717708365E-3</v>
      </c>
      <c r="AA501" s="38">
        <v>6.815514028630172E-3</v>
      </c>
      <c r="AB501" s="38">
        <v>-1.7445604314066457E-4</v>
      </c>
      <c r="AC501" s="39">
        <v>-3.3377387838593595</v>
      </c>
      <c r="AD501" s="40">
        <v>-28920.706904595438</v>
      </c>
      <c r="AE501" s="37">
        <v>3.6865824638766791E-3</v>
      </c>
      <c r="AF501" s="38">
        <v>3.5995923411494728E-3</v>
      </c>
      <c r="AG501" s="38">
        <v>-8.6990122727206333E-5</v>
      </c>
      <c r="AH501" s="39">
        <v>-1.2192250555383914</v>
      </c>
      <c r="AI501" s="40">
        <v>-10564.293003538614</v>
      </c>
      <c r="AJ501" s="39">
        <v>-285.05086829970304</v>
      </c>
      <c r="AK501" s="28">
        <v>-2469897.4811515729</v>
      </c>
      <c r="AL501" s="41">
        <f t="shared" si="7"/>
        <v>-563.70983959284115</v>
      </c>
      <c r="AM501" s="28">
        <v>4296675.5</v>
      </c>
      <c r="AN501" s="42">
        <v>-0.57483919396556082</v>
      </c>
      <c r="AP501" s="30"/>
      <c r="AR501" s="30"/>
    </row>
    <row r="502" spans="1:44" x14ac:dyDescent="0.2">
      <c r="A502" s="3" t="s">
        <v>1415</v>
      </c>
      <c r="B502" s="3" t="s">
        <v>1397</v>
      </c>
      <c r="C502" s="3" t="s">
        <v>2037</v>
      </c>
      <c r="D502" s="27"/>
      <c r="E502" s="3" t="s">
        <v>1370</v>
      </c>
      <c r="F502" s="133" t="s">
        <v>1063</v>
      </c>
      <c r="G502" s="3" t="s">
        <v>878</v>
      </c>
      <c r="H502" s="29">
        <v>76.83</v>
      </c>
      <c r="I502" s="30">
        <v>287.50200000000001</v>
      </c>
      <c r="J502" s="30">
        <v>287.50200000000001</v>
      </c>
      <c r="K502" s="31">
        <v>0.88</v>
      </c>
      <c r="L502" s="31">
        <v>0.84</v>
      </c>
      <c r="M502" s="4">
        <v>1</v>
      </c>
      <c r="N502" s="4">
        <v>1</v>
      </c>
      <c r="O502" s="4">
        <v>0</v>
      </c>
      <c r="P502" s="4">
        <v>0</v>
      </c>
      <c r="Q502" s="32">
        <v>253.00176000000002</v>
      </c>
      <c r="R502" s="32">
        <v>241.50167999999999</v>
      </c>
      <c r="S502" s="32">
        <v>19438.125220800001</v>
      </c>
      <c r="T502" s="32">
        <v>18554.5740744</v>
      </c>
      <c r="U502" s="33">
        <v>1.02793310103808E-3</v>
      </c>
      <c r="V502" s="34">
        <v>9.8486136425553509E-4</v>
      </c>
      <c r="W502" s="34">
        <v>-4.3071736782544908E-5</v>
      </c>
      <c r="X502" s="35">
        <v>-92.851037282531294</v>
      </c>
      <c r="Y502" s="36">
        <v>-1208525.8008919861</v>
      </c>
      <c r="Z502" s="37">
        <v>2.03197351961286E-3</v>
      </c>
      <c r="AA502" s="38">
        <v>1.9454896692940947E-3</v>
      </c>
      <c r="AB502" s="38">
        <v>-8.6483850318765315E-5</v>
      </c>
      <c r="AC502" s="39">
        <v>-1.6546317123201204</v>
      </c>
      <c r="AD502" s="40">
        <v>-21536.271148250948</v>
      </c>
      <c r="AE502" s="37">
        <v>0</v>
      </c>
      <c r="AF502" s="38">
        <v>0</v>
      </c>
      <c r="AG502" s="38">
        <v>0</v>
      </c>
      <c r="AH502" s="39">
        <v>0</v>
      </c>
      <c r="AI502" s="40">
        <v>0</v>
      </c>
      <c r="AJ502" s="39">
        <v>-94.505668994851419</v>
      </c>
      <c r="AK502" s="28">
        <v>-1230062.072040237</v>
      </c>
      <c r="AL502" s="41">
        <f t="shared" si="7"/>
        <v>-280.30545869155873</v>
      </c>
      <c r="AM502" s="28">
        <v>1990496.5</v>
      </c>
      <c r="AN502" s="42">
        <v>-0.61796746291201066</v>
      </c>
      <c r="AP502" s="30"/>
      <c r="AR502" s="30"/>
    </row>
    <row r="503" spans="1:44" x14ac:dyDescent="0.2">
      <c r="A503" s="3" t="s">
        <v>1092</v>
      </c>
      <c r="B503" s="3" t="s">
        <v>325</v>
      </c>
      <c r="C503" s="3" t="s">
        <v>2038</v>
      </c>
      <c r="D503" s="27"/>
      <c r="E503" s="3" t="s">
        <v>636</v>
      </c>
      <c r="F503" s="133" t="s">
        <v>1061</v>
      </c>
      <c r="G503" s="3" t="s">
        <v>880</v>
      </c>
      <c r="H503" s="29">
        <v>99.03</v>
      </c>
      <c r="I503" s="30">
        <v>165.81299999999999</v>
      </c>
      <c r="J503" s="30">
        <v>161.42099999999999</v>
      </c>
      <c r="K503" s="31">
        <v>1</v>
      </c>
      <c r="L503" s="31">
        <v>1</v>
      </c>
      <c r="M503" s="4">
        <v>0.48</v>
      </c>
      <c r="N503" s="4">
        <v>0.48</v>
      </c>
      <c r="O503" s="4">
        <v>0.52</v>
      </c>
      <c r="P503" s="4">
        <v>0.52</v>
      </c>
      <c r="Q503" s="32">
        <v>165.81299999999999</v>
      </c>
      <c r="R503" s="32">
        <v>161.42099999999999</v>
      </c>
      <c r="S503" s="32">
        <v>16420.46139</v>
      </c>
      <c r="T503" s="32">
        <v>15985.521629999999</v>
      </c>
      <c r="U503" s="33">
        <v>8.6835204554794397E-4</v>
      </c>
      <c r="V503" s="34">
        <v>8.4849819660262203E-4</v>
      </c>
      <c r="W503" s="34">
        <v>-1.9853848945321933E-5</v>
      </c>
      <c r="X503" s="35">
        <v>-42.799538777152385</v>
      </c>
      <c r="Y503" s="36">
        <v>-432187.60756490345</v>
      </c>
      <c r="Z503" s="37">
        <v>8.2392989682610106E-4</v>
      </c>
      <c r="AA503" s="38">
        <v>8.0453694011378295E-4</v>
      </c>
      <c r="AB503" s="38">
        <v>-1.9392956712318112E-5</v>
      </c>
      <c r="AC503" s="39">
        <v>-0.37103113533429694</v>
      </c>
      <c r="AD503" s="40">
        <v>-3746.6538961354836</v>
      </c>
      <c r="AE503" s="37">
        <v>9.1383128746455643E-4</v>
      </c>
      <c r="AF503" s="38">
        <v>8.9356843116982756E-4</v>
      </c>
      <c r="AG503" s="38">
        <v>-2.0262856294728866E-5</v>
      </c>
      <c r="AH503" s="39">
        <v>-0.28399755416807465</v>
      </c>
      <c r="AI503" s="40">
        <v>-2867.7931350911304</v>
      </c>
      <c r="AJ503" s="39">
        <v>-43.454567466654758</v>
      </c>
      <c r="AK503" s="28">
        <v>-438802.0545961301</v>
      </c>
      <c r="AL503" s="41">
        <f t="shared" si="7"/>
        <v>-100.24158813148506</v>
      </c>
      <c r="AM503" s="28">
        <v>682175.125</v>
      </c>
      <c r="AN503" s="42">
        <v>-0.64323960008968384</v>
      </c>
      <c r="AP503" s="30"/>
      <c r="AR503" s="30"/>
    </row>
    <row r="504" spans="1:44" x14ac:dyDescent="0.2">
      <c r="A504" s="3" t="s">
        <v>1081</v>
      </c>
      <c r="B504" s="3" t="s">
        <v>313</v>
      </c>
      <c r="C504" s="3" t="s">
        <v>2039</v>
      </c>
      <c r="D504" s="27"/>
      <c r="E504" s="3" t="s">
        <v>626</v>
      </c>
      <c r="F504" s="133" t="s">
        <v>1055</v>
      </c>
      <c r="G504" s="3" t="s">
        <v>878</v>
      </c>
      <c r="H504" s="29">
        <v>68.319999999999993</v>
      </c>
      <c r="I504" s="30">
        <v>224.589</v>
      </c>
      <c r="J504" s="30">
        <v>224.65600000000001</v>
      </c>
      <c r="K504" s="31">
        <v>1</v>
      </c>
      <c r="L504" s="31">
        <v>0.94</v>
      </c>
      <c r="M504" s="4">
        <v>0.62</v>
      </c>
      <c r="N504" s="4">
        <v>0.62</v>
      </c>
      <c r="O504" s="4">
        <v>0.38</v>
      </c>
      <c r="P504" s="4">
        <v>0.38</v>
      </c>
      <c r="Q504" s="32">
        <v>224.589</v>
      </c>
      <c r="R504" s="32">
        <v>211.17663999999999</v>
      </c>
      <c r="S504" s="32">
        <v>15343.920479999999</v>
      </c>
      <c r="T504" s="32">
        <v>14427.588044799999</v>
      </c>
      <c r="U504" s="33">
        <v>8.1142206781395379E-4</v>
      </c>
      <c r="V504" s="34">
        <v>7.6580437727876316E-4</v>
      </c>
      <c r="W504" s="34">
        <v>-4.5617690535190627E-5</v>
      </c>
      <c r="X504" s="35">
        <v>-98.339426292707174</v>
      </c>
      <c r="Y504" s="36">
        <v>-1439394.412949461</v>
      </c>
      <c r="Z504" s="37">
        <v>9.9447002444486769E-4</v>
      </c>
      <c r="AA504" s="38">
        <v>9.379147425584959E-4</v>
      </c>
      <c r="AB504" s="38">
        <v>-5.6555281886371792E-5</v>
      </c>
      <c r="AC504" s="39">
        <v>-1.0820304896634534</v>
      </c>
      <c r="AD504" s="40">
        <v>-15837.682811233219</v>
      </c>
      <c r="AE504" s="37">
        <v>6.2401820416731842E-4</v>
      </c>
      <c r="AF504" s="38">
        <v>5.8935231120611862E-4</v>
      </c>
      <c r="AG504" s="38">
        <v>-3.4665892961199796E-5</v>
      </c>
      <c r="AH504" s="39">
        <v>-0.48586579655080914</v>
      </c>
      <c r="AI504" s="40">
        <v>-7111.6188019732026</v>
      </c>
      <c r="AJ504" s="39">
        <v>-99.907322578921438</v>
      </c>
      <c r="AK504" s="28">
        <v>-1462343.7145626675</v>
      </c>
      <c r="AL504" s="41">
        <f t="shared" si="7"/>
        <v>-333.85312159829209</v>
      </c>
      <c r="AM504" s="28">
        <v>1941877.75</v>
      </c>
      <c r="AN504" s="42">
        <v>-0.75305652714887306</v>
      </c>
      <c r="AP504" s="30"/>
      <c r="AR504" s="30"/>
    </row>
    <row r="505" spans="1:44" x14ac:dyDescent="0.2">
      <c r="A505" s="3" t="s">
        <v>919</v>
      </c>
      <c r="B505" s="3" t="s">
        <v>1001</v>
      </c>
      <c r="C505" s="3" t="s">
        <v>2040</v>
      </c>
      <c r="D505" s="27"/>
      <c r="E505" s="3" t="s">
        <v>805</v>
      </c>
      <c r="F505" s="133" t="s">
        <v>1071</v>
      </c>
      <c r="G505" s="3" t="s">
        <v>878</v>
      </c>
      <c r="H505" s="29">
        <v>165.17</v>
      </c>
      <c r="I505" s="30">
        <v>268.42399999999998</v>
      </c>
      <c r="J505" s="30">
        <v>265.54700000000003</v>
      </c>
      <c r="K505" s="31">
        <v>0.93</v>
      </c>
      <c r="L505" s="31">
        <v>0.91</v>
      </c>
      <c r="M505" s="4">
        <v>0</v>
      </c>
      <c r="N505" s="4">
        <v>0</v>
      </c>
      <c r="O505" s="4">
        <v>1</v>
      </c>
      <c r="P505" s="4">
        <v>1</v>
      </c>
      <c r="Q505" s="32">
        <v>249.63432</v>
      </c>
      <c r="R505" s="32">
        <v>241.64777000000004</v>
      </c>
      <c r="S505" s="32">
        <v>41232.100634399998</v>
      </c>
      <c r="T505" s="32">
        <v>39912.962170900006</v>
      </c>
      <c r="U505" s="33">
        <v>2.1804490189249134E-3</v>
      </c>
      <c r="V505" s="34">
        <v>2.1185468455105602E-3</v>
      </c>
      <c r="W505" s="34">
        <v>-6.1902173414353154E-5</v>
      </c>
      <c r="X505" s="35">
        <v>-133.44437538202791</v>
      </c>
      <c r="Y505" s="36">
        <v>-807921.3863415143</v>
      </c>
      <c r="Z505" s="37">
        <v>0</v>
      </c>
      <c r="AA505" s="38">
        <v>0</v>
      </c>
      <c r="AB505" s="38">
        <v>0</v>
      </c>
      <c r="AC505" s="39">
        <v>0</v>
      </c>
      <c r="AD505" s="40">
        <v>0</v>
      </c>
      <c r="AE505" s="37">
        <v>4.4127851681613137E-3</v>
      </c>
      <c r="AF505" s="38">
        <v>4.2905367041948059E-3</v>
      </c>
      <c r="AG505" s="38">
        <v>-1.2224846396650772E-4</v>
      </c>
      <c r="AH505" s="39">
        <v>-1.7133944130237815</v>
      </c>
      <c r="AI505" s="40">
        <v>-10373.520693974582</v>
      </c>
      <c r="AJ505" s="39">
        <v>-135.15776979505171</v>
      </c>
      <c r="AK505" s="28">
        <v>-818294.90703548887</v>
      </c>
      <c r="AL505" s="41">
        <f t="shared" si="7"/>
        <v>-187.38927594100974</v>
      </c>
      <c r="AM505" s="28">
        <v>992732.125</v>
      </c>
      <c r="AN505" s="42">
        <v>-0.82428571255865113</v>
      </c>
      <c r="AP505" s="30"/>
      <c r="AR505" s="30"/>
    </row>
    <row r="506" spans="1:44" x14ac:dyDescent="0.2">
      <c r="A506" s="3" t="s">
        <v>302</v>
      </c>
      <c r="B506" s="3" t="s">
        <v>580</v>
      </c>
      <c r="C506" s="3" t="s">
        <v>2041</v>
      </c>
      <c r="D506" s="27"/>
      <c r="E506" s="3" t="s">
        <v>142</v>
      </c>
      <c r="F506" s="133" t="s">
        <v>1065</v>
      </c>
      <c r="G506" s="3" t="s">
        <v>880</v>
      </c>
      <c r="H506" s="29">
        <v>90.76</v>
      </c>
      <c r="I506" s="30">
        <v>407.44099999999997</v>
      </c>
      <c r="J506" s="30">
        <v>389.887</v>
      </c>
      <c r="K506" s="31">
        <v>1</v>
      </c>
      <c r="L506" s="31">
        <v>1</v>
      </c>
      <c r="M506" s="4">
        <v>0.52</v>
      </c>
      <c r="N506" s="4">
        <v>0.52</v>
      </c>
      <c r="O506" s="4">
        <v>0.48</v>
      </c>
      <c r="P506" s="4">
        <v>0.48</v>
      </c>
      <c r="Q506" s="32">
        <v>407.44099999999997</v>
      </c>
      <c r="R506" s="32">
        <v>389.887</v>
      </c>
      <c r="S506" s="32">
        <v>36979.345159999997</v>
      </c>
      <c r="T506" s="32">
        <v>35386.144120000004</v>
      </c>
      <c r="U506" s="33">
        <v>1.9555534555359688E-3</v>
      </c>
      <c r="V506" s="34">
        <v>1.8782671072924183E-3</v>
      </c>
      <c r="W506" s="34">
        <v>-7.7286348243550511E-5</v>
      </c>
      <c r="X506" s="35">
        <v>-166.60850335389242</v>
      </c>
      <c r="Y506" s="36">
        <v>-1835704.0916030454</v>
      </c>
      <c r="Z506" s="37">
        <v>2.0101396419555913E-3</v>
      </c>
      <c r="AA506" s="38">
        <v>1.9293655744235052E-3</v>
      </c>
      <c r="AB506" s="38">
        <v>-8.077406753208608E-5</v>
      </c>
      <c r="AC506" s="39">
        <v>-1.5453906501509784</v>
      </c>
      <c r="AD506" s="40">
        <v>-17027.221795405225</v>
      </c>
      <c r="AE506" s="37">
        <v>1.8996683070478105E-3</v>
      </c>
      <c r="AF506" s="38">
        <v>1.8258796169528845E-3</v>
      </c>
      <c r="AG506" s="38">
        <v>-7.3788690094926061E-5</v>
      </c>
      <c r="AH506" s="39">
        <v>-1.0341981015616459</v>
      </c>
      <c r="AI506" s="40">
        <v>-11394.866698563748</v>
      </c>
      <c r="AJ506" s="39">
        <v>-169.18809210560505</v>
      </c>
      <c r="AK506" s="28">
        <v>-1864126.1800970144</v>
      </c>
      <c r="AL506" s="41">
        <f t="shared" si="7"/>
        <v>-425.77318336023859</v>
      </c>
      <c r="AM506" s="28">
        <v>2095633.875</v>
      </c>
      <c r="AN506" s="42">
        <v>-0.88952855855940693</v>
      </c>
      <c r="AP506" s="30"/>
      <c r="AR506" s="30"/>
    </row>
    <row r="507" spans="1:44" x14ac:dyDescent="0.2">
      <c r="A507" s="3" t="s">
        <v>1233</v>
      </c>
      <c r="B507" s="3" t="s">
        <v>468</v>
      </c>
      <c r="C507" s="3" t="s">
        <v>2042</v>
      </c>
      <c r="D507" s="27"/>
      <c r="E507" s="3" t="s">
        <v>40</v>
      </c>
      <c r="F507" s="133" t="s">
        <v>1061</v>
      </c>
      <c r="G507" s="3" t="s">
        <v>878</v>
      </c>
      <c r="H507" s="29">
        <v>19.04</v>
      </c>
      <c r="I507" s="30">
        <v>362.33</v>
      </c>
      <c r="J507" s="30">
        <v>360.392</v>
      </c>
      <c r="K507" s="31">
        <v>0.92</v>
      </c>
      <c r="L507" s="31">
        <v>0.89</v>
      </c>
      <c r="M507" s="4">
        <v>0</v>
      </c>
      <c r="N507" s="4">
        <v>0</v>
      </c>
      <c r="O507" s="4">
        <v>1</v>
      </c>
      <c r="P507" s="4">
        <v>1</v>
      </c>
      <c r="Q507" s="32">
        <v>333.34359999999998</v>
      </c>
      <c r="R507" s="32">
        <v>320.74887999999999</v>
      </c>
      <c r="S507" s="32">
        <v>6346.8621439999997</v>
      </c>
      <c r="T507" s="32">
        <v>6107.058675199999</v>
      </c>
      <c r="U507" s="33">
        <v>3.3563677625462931E-4</v>
      </c>
      <c r="V507" s="34">
        <v>3.2415759662974463E-4</v>
      </c>
      <c r="W507" s="34">
        <v>-1.1479179624884685E-5</v>
      </c>
      <c r="X507" s="35">
        <v>-24.746012465301501</v>
      </c>
      <c r="Y507" s="36">
        <v>-1299685.5286397848</v>
      </c>
      <c r="Z507" s="37">
        <v>0</v>
      </c>
      <c r="AA507" s="38">
        <v>0</v>
      </c>
      <c r="AB507" s="38">
        <v>0</v>
      </c>
      <c r="AC507" s="39">
        <v>0</v>
      </c>
      <c r="AD507" s="40">
        <v>0</v>
      </c>
      <c r="AE507" s="37">
        <v>6.7926054463597109E-4</v>
      </c>
      <c r="AF507" s="38">
        <v>6.5649247701592118E-4</v>
      </c>
      <c r="AG507" s="38">
        <v>-2.2768067620049909E-5</v>
      </c>
      <c r="AH507" s="39">
        <v>-0.31910977520526468</v>
      </c>
      <c r="AI507" s="40">
        <v>-16759.967185150457</v>
      </c>
      <c r="AJ507" s="39">
        <v>-25.065122240506767</v>
      </c>
      <c r="AK507" s="28">
        <v>-1316445.4958249351</v>
      </c>
      <c r="AL507" s="41">
        <f t="shared" si="7"/>
        <v>-301.44904477113141</v>
      </c>
      <c r="AM507" s="28">
        <v>1385109.5</v>
      </c>
      <c r="AN507" s="42">
        <v>-0.95042702098638066</v>
      </c>
      <c r="AP507" s="30"/>
      <c r="AR507" s="30"/>
    </row>
    <row r="508" spans="1:44" x14ac:dyDescent="0.2">
      <c r="A508" s="3" t="s">
        <v>1334</v>
      </c>
      <c r="B508" s="3" t="s">
        <v>1339</v>
      </c>
      <c r="C508" s="3" t="s">
        <v>2043</v>
      </c>
      <c r="D508" s="27"/>
      <c r="E508" s="3" t="s">
        <v>1347</v>
      </c>
      <c r="F508" s="133" t="s">
        <v>1070</v>
      </c>
      <c r="G508" s="3" t="s">
        <v>878</v>
      </c>
      <c r="H508" s="29">
        <v>50.17</v>
      </c>
      <c r="I508" s="30">
        <v>189.19300000000001</v>
      </c>
      <c r="J508" s="30">
        <v>188.87700000000001</v>
      </c>
      <c r="K508" s="31">
        <v>0.62</v>
      </c>
      <c r="L508" s="31">
        <v>0.56000000000000005</v>
      </c>
      <c r="M508" s="4">
        <v>0</v>
      </c>
      <c r="N508" s="4">
        <v>0</v>
      </c>
      <c r="O508" s="4">
        <v>1</v>
      </c>
      <c r="P508" s="4">
        <v>1</v>
      </c>
      <c r="Q508" s="32">
        <v>117.29966</v>
      </c>
      <c r="R508" s="32">
        <v>105.77112000000001</v>
      </c>
      <c r="S508" s="32">
        <v>5884.9239422000001</v>
      </c>
      <c r="T508" s="32">
        <v>5306.537090400001</v>
      </c>
      <c r="U508" s="33">
        <v>3.1120841380349548E-4</v>
      </c>
      <c r="V508" s="34">
        <v>2.8166657652005107E-4</v>
      </c>
      <c r="W508" s="34">
        <v>-2.9541837283444407E-5</v>
      </c>
      <c r="X508" s="35">
        <v>-63.684226360502457</v>
      </c>
      <c r="Y508" s="36">
        <v>-1269368.6737194031</v>
      </c>
      <c r="Z508" s="37">
        <v>0</v>
      </c>
      <c r="AA508" s="38">
        <v>0</v>
      </c>
      <c r="AB508" s="38">
        <v>0</v>
      </c>
      <c r="AC508" s="39">
        <v>0</v>
      </c>
      <c r="AD508" s="40">
        <v>0</v>
      </c>
      <c r="AE508" s="37">
        <v>6.2982250936377646E-4</v>
      </c>
      <c r="AF508" s="38">
        <v>5.7043854728306971E-4</v>
      </c>
      <c r="AG508" s="38">
        <v>-5.9383962080706751E-5</v>
      </c>
      <c r="AH508" s="39">
        <v>-0.83230615380308481</v>
      </c>
      <c r="AI508" s="40">
        <v>-16589.718034743568</v>
      </c>
      <c r="AJ508" s="39">
        <v>-64.516532514305538</v>
      </c>
      <c r="AK508" s="28">
        <v>-1285958.3917541467</v>
      </c>
      <c r="AL508" s="41">
        <f t="shared" si="7"/>
        <v>-294.41735383141724</v>
      </c>
      <c r="AM508" s="28">
        <v>1340617</v>
      </c>
      <c r="AN508" s="42">
        <v>-0.95922876686939418</v>
      </c>
      <c r="AP508" s="30"/>
      <c r="AR508" s="30"/>
    </row>
    <row r="509" spans="1:44" x14ac:dyDescent="0.2">
      <c r="A509" s="3" t="s">
        <v>1325</v>
      </c>
      <c r="B509" s="3" t="s">
        <v>1320</v>
      </c>
      <c r="C509" s="3" t="s">
        <v>2044</v>
      </c>
      <c r="D509" s="27"/>
      <c r="E509" s="3" t="s">
        <v>1331</v>
      </c>
      <c r="F509" s="133" t="s">
        <v>1064</v>
      </c>
      <c r="G509" s="3" t="s">
        <v>878</v>
      </c>
      <c r="H509" s="29">
        <v>78.88</v>
      </c>
      <c r="I509" s="30">
        <v>525.58100000000002</v>
      </c>
      <c r="J509" s="30">
        <v>522.84900000000005</v>
      </c>
      <c r="K509" s="31">
        <v>0.89</v>
      </c>
      <c r="L509" s="31">
        <v>0.85</v>
      </c>
      <c r="M509" s="4">
        <v>0</v>
      </c>
      <c r="N509" s="4">
        <v>0</v>
      </c>
      <c r="O509" s="4">
        <v>1</v>
      </c>
      <c r="P509" s="4">
        <v>1</v>
      </c>
      <c r="Q509" s="32">
        <v>467.76709</v>
      </c>
      <c r="R509" s="32">
        <v>444.42165</v>
      </c>
      <c r="S509" s="32">
        <v>36897.4680592</v>
      </c>
      <c r="T509" s="32">
        <v>35055.979751999999</v>
      </c>
      <c r="U509" s="33">
        <v>1.9512236047312581E-3</v>
      </c>
      <c r="V509" s="34">
        <v>1.8607422571614908E-3</v>
      </c>
      <c r="W509" s="34">
        <v>-9.048134756976735E-5</v>
      </c>
      <c r="X509" s="35">
        <v>-195.0533599095269</v>
      </c>
      <c r="Y509" s="36">
        <v>-2472786.0029098243</v>
      </c>
      <c r="Z509" s="37">
        <v>0</v>
      </c>
      <c r="AA509" s="38">
        <v>0</v>
      </c>
      <c r="AB509" s="38">
        <v>0</v>
      </c>
      <c r="AC509" s="39">
        <v>0</v>
      </c>
      <c r="AD509" s="40">
        <v>0</v>
      </c>
      <c r="AE509" s="37">
        <v>3.9488795692961161E-3</v>
      </c>
      <c r="AF509" s="38">
        <v>3.7684240819672124E-3</v>
      </c>
      <c r="AG509" s="38">
        <v>-1.8045548732890373E-4</v>
      </c>
      <c r="AH509" s="39">
        <v>-2.5292049794060096</v>
      </c>
      <c r="AI509" s="40">
        <v>-32063.957649670509</v>
      </c>
      <c r="AJ509" s="39">
        <v>-197.58256488893292</v>
      </c>
      <c r="AK509" s="28">
        <v>-2504849.9605594948</v>
      </c>
      <c r="AL509" s="41">
        <f t="shared" si="7"/>
        <v>-573.53795366231839</v>
      </c>
      <c r="AM509" s="28">
        <v>2584889.25</v>
      </c>
      <c r="AN509" s="42">
        <v>-0.96903569874782636</v>
      </c>
      <c r="AP509" s="30"/>
      <c r="AR509" s="30"/>
    </row>
    <row r="510" spans="1:44" x14ac:dyDescent="0.2">
      <c r="A510" s="3" t="s">
        <v>921</v>
      </c>
      <c r="B510" s="3" t="s">
        <v>1003</v>
      </c>
      <c r="C510" s="3" t="s">
        <v>2045</v>
      </c>
      <c r="D510" s="27"/>
      <c r="E510" s="3" t="s">
        <v>807</v>
      </c>
      <c r="F510" s="133" t="s">
        <v>1068</v>
      </c>
      <c r="G510" s="3" t="s">
        <v>880</v>
      </c>
      <c r="H510" s="29">
        <v>31.36</v>
      </c>
      <c r="I510" s="30">
        <v>9195.6569999999992</v>
      </c>
      <c r="J510" s="30">
        <v>8961.2330000000002</v>
      </c>
      <c r="K510" s="31">
        <v>1</v>
      </c>
      <c r="L510" s="31">
        <v>1</v>
      </c>
      <c r="M510" s="4">
        <v>0.55000000000000004</v>
      </c>
      <c r="N510" s="4">
        <v>0.55000000000000004</v>
      </c>
      <c r="O510" s="4">
        <v>0.45</v>
      </c>
      <c r="P510" s="4">
        <v>0.45</v>
      </c>
      <c r="Q510" s="32">
        <v>9195.6569999999992</v>
      </c>
      <c r="R510" s="32">
        <v>8961.2330000000002</v>
      </c>
      <c r="S510" s="32">
        <v>288375.80351999996</v>
      </c>
      <c r="T510" s="32">
        <v>281024.26688000001</v>
      </c>
      <c r="U510" s="33">
        <v>1.5249980675063354E-2</v>
      </c>
      <c r="V510" s="34">
        <v>1.4916534422108439E-2</v>
      </c>
      <c r="W510" s="34">
        <v>-3.3344625295491509E-4</v>
      </c>
      <c r="X510" s="35">
        <v>-718.82010751385008</v>
      </c>
      <c r="Y510" s="36">
        <v>-22921559.550824303</v>
      </c>
      <c r="Z510" s="37">
        <v>1.6580024790790109E-2</v>
      </c>
      <c r="AA510" s="38">
        <v>1.6206321590247364E-2</v>
      </c>
      <c r="AB510" s="38">
        <v>-3.7370320054274514E-4</v>
      </c>
      <c r="AC510" s="39">
        <v>-7.1497876694255336</v>
      </c>
      <c r="AD510" s="40">
        <v>-227990.67823423259</v>
      </c>
      <c r="AE510" s="37">
        <v>1.3888286118645834E-2</v>
      </c>
      <c r="AF510" s="38">
        <v>1.3594210747748661E-2</v>
      </c>
      <c r="AG510" s="38">
        <v>-2.9407537089717363E-4</v>
      </c>
      <c r="AH510" s="39">
        <v>-4.1216640369498432</v>
      </c>
      <c r="AI510" s="40">
        <v>-131430.61342314552</v>
      </c>
      <c r="AJ510" s="39">
        <v>-730.09155922022546</v>
      </c>
      <c r="AK510" s="28">
        <v>-23280980.84248168</v>
      </c>
      <c r="AL510" s="41">
        <f t="shared" si="7"/>
        <v>-5316.4262269597439</v>
      </c>
      <c r="AM510" s="28">
        <v>22737774</v>
      </c>
      <c r="AN510" s="42">
        <v>-1.0238900625224649</v>
      </c>
      <c r="AP510" s="30"/>
      <c r="AR510" s="30"/>
    </row>
    <row r="511" spans="1:44" x14ac:dyDescent="0.2">
      <c r="A511" s="3" t="s">
        <v>894</v>
      </c>
      <c r="B511" s="3" t="s">
        <v>978</v>
      </c>
      <c r="C511" s="3" t="s">
        <v>2046</v>
      </c>
      <c r="D511" s="27"/>
      <c r="E511" s="3" t="s">
        <v>782</v>
      </c>
      <c r="F511" s="133" t="s">
        <v>1061</v>
      </c>
      <c r="G511" s="3" t="s">
        <v>878</v>
      </c>
      <c r="H511" s="29">
        <v>65.52</v>
      </c>
      <c r="I511" s="30">
        <v>951.03300000000002</v>
      </c>
      <c r="J511" s="30">
        <v>923.78099999999995</v>
      </c>
      <c r="K511" s="31">
        <v>0.85</v>
      </c>
      <c r="L511" s="31">
        <v>0.84</v>
      </c>
      <c r="M511" s="4">
        <v>0</v>
      </c>
      <c r="N511" s="4">
        <v>0</v>
      </c>
      <c r="O511" s="4">
        <v>1</v>
      </c>
      <c r="P511" s="4">
        <v>1</v>
      </c>
      <c r="Q511" s="32">
        <v>808.37805000000003</v>
      </c>
      <c r="R511" s="32">
        <v>775.9760399999999</v>
      </c>
      <c r="S511" s="32">
        <v>52964.929835999996</v>
      </c>
      <c r="T511" s="32">
        <v>50841.950140799992</v>
      </c>
      <c r="U511" s="33">
        <v>2.8009082128108171E-3</v>
      </c>
      <c r="V511" s="34">
        <v>2.6986484398025378E-3</v>
      </c>
      <c r="W511" s="34">
        <v>-1.0225977300827929E-4</v>
      </c>
      <c r="X511" s="35">
        <v>-220.44446556756463</v>
      </c>
      <c r="Y511" s="36">
        <v>-3364537.0202619755</v>
      </c>
      <c r="Z511" s="37">
        <v>0</v>
      </c>
      <c r="AA511" s="38">
        <v>0</v>
      </c>
      <c r="AB511" s="38">
        <v>0</v>
      </c>
      <c r="AC511" s="39">
        <v>0</v>
      </c>
      <c r="AD511" s="40">
        <v>0</v>
      </c>
      <c r="AE511" s="37">
        <v>5.6684683345483034E-3</v>
      </c>
      <c r="AF511" s="38">
        <v>5.4653736863205559E-3</v>
      </c>
      <c r="AG511" s="38">
        <v>-2.0309464822774754E-4</v>
      </c>
      <c r="AH511" s="39">
        <v>-2.8465080402465337</v>
      </c>
      <c r="AI511" s="40">
        <v>-43444.872409135132</v>
      </c>
      <c r="AJ511" s="39">
        <v>-223.29097360781117</v>
      </c>
      <c r="AK511" s="28">
        <v>-3407981.8926711106</v>
      </c>
      <c r="AL511" s="41">
        <f t="shared" si="7"/>
        <v>-780.37067314010449</v>
      </c>
      <c r="AM511" s="28">
        <v>3302048.5</v>
      </c>
      <c r="AN511" s="42">
        <v>-1.0320811134879184</v>
      </c>
      <c r="AP511" s="30"/>
      <c r="AR511" s="30"/>
    </row>
    <row r="512" spans="1:44" x14ac:dyDescent="0.2">
      <c r="A512" s="3" t="s">
        <v>1206</v>
      </c>
      <c r="B512" s="3" t="s">
        <v>442</v>
      </c>
      <c r="C512" s="3" t="s">
        <v>2047</v>
      </c>
      <c r="D512" s="27"/>
      <c r="E512" s="3" t="s">
        <v>16</v>
      </c>
      <c r="F512" s="133" t="s">
        <v>1055</v>
      </c>
      <c r="G512" s="3" t="s">
        <v>878</v>
      </c>
      <c r="H512" s="29">
        <v>110.76</v>
      </c>
      <c r="I512" s="30">
        <v>255.87100000000001</v>
      </c>
      <c r="J512" s="30">
        <v>255.87100000000001</v>
      </c>
      <c r="K512" s="31">
        <v>1</v>
      </c>
      <c r="L512" s="31">
        <v>0.95</v>
      </c>
      <c r="M512" s="4">
        <v>1</v>
      </c>
      <c r="N512" s="4">
        <v>1</v>
      </c>
      <c r="O512" s="4">
        <v>0</v>
      </c>
      <c r="P512" s="4">
        <v>0</v>
      </c>
      <c r="Q512" s="32">
        <v>255.87100000000001</v>
      </c>
      <c r="R512" s="32">
        <v>243.07745</v>
      </c>
      <c r="S512" s="32">
        <v>28340.271960000002</v>
      </c>
      <c r="T512" s="32">
        <v>26923.258362</v>
      </c>
      <c r="U512" s="33">
        <v>1.4986992474424643E-3</v>
      </c>
      <c r="V512" s="34">
        <v>1.4290641679125153E-3</v>
      </c>
      <c r="W512" s="34">
        <v>-6.9635079529948999E-5</v>
      </c>
      <c r="X512" s="35">
        <v>-150.11443346829671</v>
      </c>
      <c r="Y512" s="36">
        <v>-1355312.689312899</v>
      </c>
      <c r="Z512" s="37">
        <v>2.9625635963969159E-3</v>
      </c>
      <c r="AA512" s="38">
        <v>2.822965420654671E-3</v>
      </c>
      <c r="AB512" s="38">
        <v>-1.3959817574224487E-4</v>
      </c>
      <c r="AC512" s="39">
        <v>-2.6708289202410405</v>
      </c>
      <c r="AD512" s="40">
        <v>-24113.659446018784</v>
      </c>
      <c r="AE512" s="37">
        <v>0</v>
      </c>
      <c r="AF512" s="38">
        <v>0</v>
      </c>
      <c r="AG512" s="38">
        <v>0</v>
      </c>
      <c r="AH512" s="39">
        <v>0</v>
      </c>
      <c r="AI512" s="40">
        <v>0</v>
      </c>
      <c r="AJ512" s="39">
        <v>-152.78526238853775</v>
      </c>
      <c r="AK512" s="28">
        <v>-1379426.3487589178</v>
      </c>
      <c r="AL512" s="41">
        <f t="shared" si="7"/>
        <v>-314.35120770110598</v>
      </c>
      <c r="AM512" s="28">
        <v>1308208.75</v>
      </c>
      <c r="AN512" s="42">
        <v>-1.0544390172890357</v>
      </c>
      <c r="AP512" s="30"/>
      <c r="AR512" s="30"/>
    </row>
    <row r="513" spans="1:44" x14ac:dyDescent="0.2">
      <c r="A513" s="3" t="s">
        <v>1087</v>
      </c>
      <c r="B513" s="3" t="s">
        <v>319</v>
      </c>
      <c r="C513" s="3" t="s">
        <v>2048</v>
      </c>
      <c r="D513" s="27"/>
      <c r="E513" s="3" t="s">
        <v>631</v>
      </c>
      <c r="F513" s="133" t="s">
        <v>1059</v>
      </c>
      <c r="G513" s="3" t="s">
        <v>880</v>
      </c>
      <c r="H513" s="29">
        <v>59.43</v>
      </c>
      <c r="I513" s="30">
        <v>1119.0319999999999</v>
      </c>
      <c r="J513" s="30">
        <v>1070.6600000000001</v>
      </c>
      <c r="K513" s="31">
        <v>1</v>
      </c>
      <c r="L513" s="31">
        <v>1</v>
      </c>
      <c r="M513" s="4">
        <v>0</v>
      </c>
      <c r="N513" s="4">
        <v>0</v>
      </c>
      <c r="O513" s="4">
        <v>1</v>
      </c>
      <c r="P513" s="4">
        <v>1</v>
      </c>
      <c r="Q513" s="32">
        <v>1119.0319999999999</v>
      </c>
      <c r="R513" s="32">
        <v>1070.6600000000001</v>
      </c>
      <c r="S513" s="32">
        <v>66504.071759999992</v>
      </c>
      <c r="T513" s="32">
        <v>63629.323800000006</v>
      </c>
      <c r="U513" s="33">
        <v>3.5168894087977418E-3</v>
      </c>
      <c r="V513" s="34">
        <v>3.3773916012864139E-3</v>
      </c>
      <c r="W513" s="34">
        <v>-1.3949780751132792E-4</v>
      </c>
      <c r="X513" s="35">
        <v>-300.71961554414889</v>
      </c>
      <c r="Y513" s="36">
        <v>-5060064.2023245646</v>
      </c>
      <c r="Z513" s="37">
        <v>0</v>
      </c>
      <c r="AA513" s="38">
        <v>0</v>
      </c>
      <c r="AB513" s="38">
        <v>0</v>
      </c>
      <c r="AC513" s="39">
        <v>0</v>
      </c>
      <c r="AD513" s="40">
        <v>0</v>
      </c>
      <c r="AE513" s="37">
        <v>7.1174685977561545E-3</v>
      </c>
      <c r="AF513" s="38">
        <v>6.8399821606335096E-3</v>
      </c>
      <c r="AG513" s="38">
        <v>-2.774864371226449E-4</v>
      </c>
      <c r="AH513" s="39">
        <v>-3.8891589769673622</v>
      </c>
      <c r="AI513" s="40">
        <v>-65441.005838252771</v>
      </c>
      <c r="AJ513" s="39">
        <v>-304.60877452111623</v>
      </c>
      <c r="AK513" s="28">
        <v>-5125505.2081628172</v>
      </c>
      <c r="AL513" s="41">
        <f t="shared" si="7"/>
        <v>-1173.6312259071842</v>
      </c>
      <c r="AM513" s="28">
        <v>4836807.5</v>
      </c>
      <c r="AN513" s="42">
        <v>-1.0596876572331682</v>
      </c>
      <c r="AP513" s="30"/>
      <c r="AR513" s="30"/>
    </row>
    <row r="514" spans="1:44" x14ac:dyDescent="0.2">
      <c r="A514" s="3" t="s">
        <v>750</v>
      </c>
      <c r="B514" s="3" t="s">
        <v>1375</v>
      </c>
      <c r="C514" s="3" t="s">
        <v>2049</v>
      </c>
      <c r="D514" s="27"/>
      <c r="E514" s="3" t="s">
        <v>832</v>
      </c>
      <c r="F514" s="133" t="s">
        <v>1055</v>
      </c>
      <c r="G514" s="3" t="s">
        <v>878</v>
      </c>
      <c r="H514" s="29">
        <v>41.31</v>
      </c>
      <c r="I514" s="30">
        <v>4149.8649999999998</v>
      </c>
      <c r="J514" s="30">
        <v>4122.7299999999996</v>
      </c>
      <c r="K514" s="31">
        <v>0.75</v>
      </c>
      <c r="L514" s="31">
        <v>0.73</v>
      </c>
      <c r="M514" s="4">
        <v>0.5</v>
      </c>
      <c r="N514" s="4">
        <v>0.5</v>
      </c>
      <c r="O514" s="4">
        <v>0.5</v>
      </c>
      <c r="P514" s="4">
        <v>0.5</v>
      </c>
      <c r="Q514" s="32">
        <v>3112.3987499999998</v>
      </c>
      <c r="R514" s="32">
        <v>3009.5928999999996</v>
      </c>
      <c r="S514" s="32">
        <v>128573.19236250001</v>
      </c>
      <c r="T514" s="32">
        <v>124326.28269899999</v>
      </c>
      <c r="U514" s="33">
        <v>6.7992483243253235E-3</v>
      </c>
      <c r="V514" s="34">
        <v>6.5991357118078148E-3</v>
      </c>
      <c r="W514" s="34">
        <v>-2.0011261251750862E-4</v>
      </c>
      <c r="X514" s="35">
        <v>-431.38877216341695</v>
      </c>
      <c r="Y514" s="36">
        <v>-10442720.216979349</v>
      </c>
      <c r="Z514" s="37">
        <v>6.7202294265788776E-3</v>
      </c>
      <c r="AA514" s="38">
        <v>6.51794801763627E-3</v>
      </c>
      <c r="AB514" s="38">
        <v>-2.0228140894260754E-4</v>
      </c>
      <c r="AC514" s="39">
        <v>-3.8701009820397601</v>
      </c>
      <c r="AD514" s="40">
        <v>-93684.361705150324</v>
      </c>
      <c r="AE514" s="37">
        <v>6.8801475979984074E-3</v>
      </c>
      <c r="AF514" s="38">
        <v>6.6823714678470184E-3</v>
      </c>
      <c r="AG514" s="38">
        <v>-1.97776130151389E-4</v>
      </c>
      <c r="AH514" s="39">
        <v>-2.7719654336408972</v>
      </c>
      <c r="AI514" s="40">
        <v>-67101.559758917865</v>
      </c>
      <c r="AJ514" s="39">
        <v>-438.03083857909763</v>
      </c>
      <c r="AK514" s="28">
        <v>-10603506.138443418</v>
      </c>
      <c r="AL514" s="41">
        <f t="shared" si="7"/>
        <v>-2422.0843926108519</v>
      </c>
      <c r="AM514" s="28">
        <v>9693317</v>
      </c>
      <c r="AN514" s="42">
        <v>-1.0938986250468665</v>
      </c>
      <c r="AP514" s="30"/>
      <c r="AR514" s="30"/>
    </row>
    <row r="515" spans="1:44" x14ac:dyDescent="0.2">
      <c r="A515" s="3" t="s">
        <v>289</v>
      </c>
      <c r="B515" s="3" t="s">
        <v>568</v>
      </c>
      <c r="C515" s="3" t="s">
        <v>2050</v>
      </c>
      <c r="D515" s="27"/>
      <c r="E515" s="3" t="s">
        <v>131</v>
      </c>
      <c r="F515" s="133" t="s">
        <v>1054</v>
      </c>
      <c r="G515" s="3" t="s">
        <v>878</v>
      </c>
      <c r="H515" s="29">
        <v>158.9</v>
      </c>
      <c r="I515" s="30">
        <v>80.941000000000003</v>
      </c>
      <c r="J515" s="30">
        <v>80.573999999999998</v>
      </c>
      <c r="K515" s="31">
        <v>1</v>
      </c>
      <c r="L515" s="31">
        <v>0.95</v>
      </c>
      <c r="M515" s="4">
        <v>1</v>
      </c>
      <c r="N515" s="4">
        <v>1</v>
      </c>
      <c r="O515" s="4">
        <v>0</v>
      </c>
      <c r="P515" s="4">
        <v>0</v>
      </c>
      <c r="Q515" s="32">
        <v>80.941000000000003</v>
      </c>
      <c r="R515" s="32">
        <v>76.545299999999997</v>
      </c>
      <c r="S515" s="32">
        <v>12861.5249</v>
      </c>
      <c r="T515" s="32">
        <v>12163.04817</v>
      </c>
      <c r="U515" s="33">
        <v>6.8014723767642052E-4</v>
      </c>
      <c r="V515" s="34">
        <v>6.4560448362646411E-4</v>
      </c>
      <c r="W515" s="34">
        <v>-3.4542754049956409E-5</v>
      </c>
      <c r="X515" s="35">
        <v>-74.464852911006886</v>
      </c>
      <c r="Y515" s="36">
        <v>-468627.14229708549</v>
      </c>
      <c r="Z515" s="37">
        <v>1.3444855263446979E-3</v>
      </c>
      <c r="AA515" s="38">
        <v>1.2753235114412961E-3</v>
      </c>
      <c r="AB515" s="38">
        <v>-6.9162014903401863E-5</v>
      </c>
      <c r="AC515" s="39">
        <v>-1.323225812973486</v>
      </c>
      <c r="AD515" s="40">
        <v>-8327.4122905820386</v>
      </c>
      <c r="AE515" s="37">
        <v>0</v>
      </c>
      <c r="AF515" s="38">
        <v>0</v>
      </c>
      <c r="AG515" s="38">
        <v>0</v>
      </c>
      <c r="AH515" s="39">
        <v>0</v>
      </c>
      <c r="AI515" s="40">
        <v>0</v>
      </c>
      <c r="AJ515" s="39">
        <v>-75.788078723980377</v>
      </c>
      <c r="AK515" s="28">
        <v>-476954.55458766752</v>
      </c>
      <c r="AL515" s="41">
        <f t="shared" si="7"/>
        <v>-108.69337334788045</v>
      </c>
      <c r="AM515" s="28">
        <v>430410.40625</v>
      </c>
      <c r="AN515" s="42">
        <v>-1.1081389939968895</v>
      </c>
      <c r="AP515" s="30"/>
      <c r="AR515" s="30"/>
    </row>
    <row r="516" spans="1:44" x14ac:dyDescent="0.2">
      <c r="A516" s="3" t="s">
        <v>265</v>
      </c>
      <c r="B516" s="3" t="s">
        <v>544</v>
      </c>
      <c r="C516" s="3" t="s">
        <v>2051</v>
      </c>
      <c r="D516" s="27"/>
      <c r="E516" s="3" t="s">
        <v>107</v>
      </c>
      <c r="F516" s="133" t="s">
        <v>1053</v>
      </c>
      <c r="G516" s="3" t="s">
        <v>878</v>
      </c>
      <c r="H516" s="29">
        <v>116.28</v>
      </c>
      <c r="I516" s="30">
        <v>373.98099999999999</v>
      </c>
      <c r="J516" s="30">
        <v>374.30200000000002</v>
      </c>
      <c r="K516" s="31">
        <v>0.84</v>
      </c>
      <c r="L516" s="31">
        <v>0.81</v>
      </c>
      <c r="M516" s="4">
        <v>0.62</v>
      </c>
      <c r="N516" s="4">
        <v>0.62</v>
      </c>
      <c r="O516" s="4">
        <v>0.38</v>
      </c>
      <c r="P516" s="4">
        <v>0.38</v>
      </c>
      <c r="Q516" s="32">
        <v>314.14403999999996</v>
      </c>
      <c r="R516" s="32">
        <v>303.18462000000005</v>
      </c>
      <c r="S516" s="32">
        <v>36528.668971199993</v>
      </c>
      <c r="T516" s="32">
        <v>35254.307613600009</v>
      </c>
      <c r="U516" s="33">
        <v>1.9317206544270692E-3</v>
      </c>
      <c r="V516" s="34">
        <v>1.8712693351511044E-3</v>
      </c>
      <c r="W516" s="34">
        <v>-6.0451319275964819E-5</v>
      </c>
      <c r="X516" s="35">
        <v>-130.31672551791556</v>
      </c>
      <c r="Y516" s="36">
        <v>-1120714.8737350837</v>
      </c>
      <c r="Z516" s="37">
        <v>2.3674957369648553E-3</v>
      </c>
      <c r="AA516" s="38">
        <v>2.2918269323197911E-3</v>
      </c>
      <c r="AB516" s="38">
        <v>-7.566880464506421E-5</v>
      </c>
      <c r="AC516" s="39">
        <v>-1.4477154212907706</v>
      </c>
      <c r="AD516" s="40">
        <v>-12450.253021076458</v>
      </c>
      <c r="AE516" s="37">
        <v>1.4855756351020053E-3</v>
      </c>
      <c r="AF516" s="38">
        <v>1.4401026427653765E-3</v>
      </c>
      <c r="AG516" s="38">
        <v>-4.5472992336628845E-5</v>
      </c>
      <c r="AH516" s="39">
        <v>-0.6373345601659165</v>
      </c>
      <c r="AI516" s="40">
        <v>-5481.033369159929</v>
      </c>
      <c r="AJ516" s="39">
        <v>-132.40177549937226</v>
      </c>
      <c r="AK516" s="28">
        <v>-1138646.1601253203</v>
      </c>
      <c r="AL516" s="41">
        <f t="shared" si="7"/>
        <v>-259.93859337790167</v>
      </c>
      <c r="AM516" s="28">
        <v>954960.6875</v>
      </c>
      <c r="AN516" s="42">
        <v>-1.1923487270519921</v>
      </c>
      <c r="AP516" s="30"/>
      <c r="AR516" s="30"/>
    </row>
    <row r="517" spans="1:44" x14ac:dyDescent="0.2">
      <c r="A517" s="3" t="s">
        <v>1108</v>
      </c>
      <c r="B517" s="3" t="s">
        <v>342</v>
      </c>
      <c r="C517" s="3" t="s">
        <v>2052</v>
      </c>
      <c r="D517" s="27"/>
      <c r="E517" s="3" t="s">
        <v>650</v>
      </c>
      <c r="F517" s="133" t="s">
        <v>1057</v>
      </c>
      <c r="G517" s="3" t="s">
        <v>878</v>
      </c>
      <c r="H517" s="29">
        <v>51.06</v>
      </c>
      <c r="I517" s="30">
        <v>231.04</v>
      </c>
      <c r="J517" s="30">
        <v>224.83600000000001</v>
      </c>
      <c r="K517" s="31">
        <v>0.87</v>
      </c>
      <c r="L517" s="31">
        <v>0.85</v>
      </c>
      <c r="M517" s="4">
        <v>1</v>
      </c>
      <c r="N517" s="4">
        <v>1</v>
      </c>
      <c r="O517" s="4">
        <v>0</v>
      </c>
      <c r="P517" s="4">
        <v>0</v>
      </c>
      <c r="Q517" s="32">
        <v>201.00479999999999</v>
      </c>
      <c r="R517" s="32">
        <v>191.11060000000001</v>
      </c>
      <c r="S517" s="32">
        <v>10263.305087999999</v>
      </c>
      <c r="T517" s="32">
        <v>9758.1072359999998</v>
      </c>
      <c r="U517" s="33">
        <v>5.4274735377867606E-4</v>
      </c>
      <c r="V517" s="34">
        <v>5.1795221849141476E-4</v>
      </c>
      <c r="W517" s="34">
        <v>-2.4795135287261302E-5</v>
      </c>
      <c r="X517" s="35">
        <v>-53.451618229518651</v>
      </c>
      <c r="Y517" s="36">
        <v>-1046839.3699474863</v>
      </c>
      <c r="Z517" s="37">
        <v>1.072879401981012E-3</v>
      </c>
      <c r="AA517" s="38">
        <v>1.0231599358400173E-3</v>
      </c>
      <c r="AB517" s="38">
        <v>-4.9719466140994662E-5</v>
      </c>
      <c r="AC517" s="39">
        <v>-0.9512458695269933</v>
      </c>
      <c r="AD517" s="40">
        <v>-18629.962192068026</v>
      </c>
      <c r="AE517" s="37">
        <v>0</v>
      </c>
      <c r="AF517" s="38">
        <v>0</v>
      </c>
      <c r="AG517" s="38">
        <v>0</v>
      </c>
      <c r="AH517" s="39">
        <v>0</v>
      </c>
      <c r="AI517" s="40">
        <v>0</v>
      </c>
      <c r="AJ517" s="39">
        <v>-54.402864099045644</v>
      </c>
      <c r="AK517" s="28">
        <v>-1065469.3321395544</v>
      </c>
      <c r="AL517" s="41">
        <f t="shared" si="7"/>
        <v>-242.80390998101547</v>
      </c>
      <c r="AM517" s="28">
        <v>880157.375</v>
      </c>
      <c r="AN517" s="42">
        <v>-1.2105441167717925</v>
      </c>
      <c r="AP517" s="30"/>
      <c r="AR517" s="30"/>
    </row>
    <row r="518" spans="1:44" x14ac:dyDescent="0.2">
      <c r="A518" s="3" t="s">
        <v>286</v>
      </c>
      <c r="B518" s="3" t="s">
        <v>565</v>
      </c>
      <c r="C518" s="3" t="s">
        <v>2053</v>
      </c>
      <c r="D518" s="27"/>
      <c r="E518" s="3" t="s">
        <v>128</v>
      </c>
      <c r="F518" s="133" t="s">
        <v>1060</v>
      </c>
      <c r="G518" s="3" t="s">
        <v>878</v>
      </c>
      <c r="H518" s="29">
        <v>102.72</v>
      </c>
      <c r="I518" s="30">
        <v>188.77099999999999</v>
      </c>
      <c r="J518" s="30">
        <v>188.82599999999999</v>
      </c>
      <c r="K518" s="31">
        <v>0.94</v>
      </c>
      <c r="L518" s="31">
        <v>0.9</v>
      </c>
      <c r="M518" s="4">
        <v>0.49</v>
      </c>
      <c r="N518" s="4">
        <v>0.49</v>
      </c>
      <c r="O518" s="4">
        <v>0.51</v>
      </c>
      <c r="P518" s="4">
        <v>0.51</v>
      </c>
      <c r="Q518" s="32">
        <v>177.44473999999997</v>
      </c>
      <c r="R518" s="32">
        <v>169.9434</v>
      </c>
      <c r="S518" s="32">
        <v>18227.123692799996</v>
      </c>
      <c r="T518" s="32">
        <v>17456.586048000001</v>
      </c>
      <c r="U518" s="33">
        <v>9.6389253427051666E-4</v>
      </c>
      <c r="V518" s="34">
        <v>9.2658107276080768E-4</v>
      </c>
      <c r="W518" s="34">
        <v>-3.7311461509708971E-5</v>
      </c>
      <c r="X518" s="35">
        <v>-80.433438781314521</v>
      </c>
      <c r="Y518" s="36">
        <v>-783035.81368102145</v>
      </c>
      <c r="Z518" s="37">
        <v>9.3363664490618971E-4</v>
      </c>
      <c r="AA518" s="38">
        <v>8.9687792152278584E-4</v>
      </c>
      <c r="AB518" s="38">
        <v>-3.6758723383403867E-5</v>
      </c>
      <c r="AC518" s="39">
        <v>-0.70327753899025891</v>
      </c>
      <c r="AD518" s="40">
        <v>-6846.5492502945772</v>
      </c>
      <c r="AE518" s="37">
        <v>9.9486840895002975E-4</v>
      </c>
      <c r="AF518" s="38">
        <v>9.5703352340954393E-4</v>
      </c>
      <c r="AG518" s="38">
        <v>-3.783488554048582E-5</v>
      </c>
      <c r="AH518" s="39">
        <v>-0.53028135813815203</v>
      </c>
      <c r="AI518" s="40">
        <v>-5162.3963993200159</v>
      </c>
      <c r="AJ518" s="39">
        <v>-81.666997678442939</v>
      </c>
      <c r="AK518" s="28">
        <v>-795044.75933063601</v>
      </c>
      <c r="AL518" s="41">
        <f t="shared" si="7"/>
        <v>-181.61731653869245</v>
      </c>
      <c r="AM518" s="28">
        <v>625969.125</v>
      </c>
      <c r="AN518" s="42">
        <v>-1.2701021944662783</v>
      </c>
      <c r="AP518" s="30"/>
      <c r="AR518" s="30"/>
    </row>
    <row r="519" spans="1:44" x14ac:dyDescent="0.2">
      <c r="A519" s="3" t="s">
        <v>1476</v>
      </c>
      <c r="B519" s="3" t="s">
        <v>1522</v>
      </c>
      <c r="C519" s="3" t="s">
        <v>2054</v>
      </c>
      <c r="D519" s="27"/>
      <c r="E519" s="3" t="s">
        <v>2121</v>
      </c>
      <c r="F519" s="133" t="s">
        <v>1072</v>
      </c>
      <c r="G519" s="3" t="s">
        <v>878</v>
      </c>
      <c r="H519" s="29">
        <v>25.05</v>
      </c>
      <c r="I519" s="30">
        <v>798.52099999999996</v>
      </c>
      <c r="J519" s="30">
        <v>798.52099999999996</v>
      </c>
      <c r="K519" s="31">
        <v>0.54</v>
      </c>
      <c r="L519" s="31">
        <v>0.5</v>
      </c>
      <c r="M519" s="4">
        <v>0.53</v>
      </c>
      <c r="N519" s="4">
        <v>0.53</v>
      </c>
      <c r="O519" s="4">
        <v>0.47</v>
      </c>
      <c r="P519" s="4">
        <v>0.47</v>
      </c>
      <c r="Q519" s="32">
        <v>431.20134000000002</v>
      </c>
      <c r="R519" s="32">
        <v>399.26049999999998</v>
      </c>
      <c r="S519" s="32">
        <v>10801.593567</v>
      </c>
      <c r="T519" s="32">
        <v>10001.475525</v>
      </c>
      <c r="U519" s="33">
        <v>5.7121329579655391E-4</v>
      </c>
      <c r="V519" s="34">
        <v>5.308700049175538E-4</v>
      </c>
      <c r="W519" s="34">
        <v>-4.0343290879000116E-5</v>
      </c>
      <c r="X519" s="35">
        <v>-86.969244458795558</v>
      </c>
      <c r="Y519" s="36">
        <v>-3471826.1260996228</v>
      </c>
      <c r="Z519" s="37">
        <v>5.9844930926607578E-4</v>
      </c>
      <c r="AA519" s="38">
        <v>5.5579915948427154E-4</v>
      </c>
      <c r="AB519" s="38">
        <v>-4.2650149781804235E-5</v>
      </c>
      <c r="AC519" s="39">
        <v>-0.81599385439091598</v>
      </c>
      <c r="AD519" s="40">
        <v>-32574.604965705232</v>
      </c>
      <c r="AE519" s="37">
        <v>5.4332915959277308E-4</v>
      </c>
      <c r="AF519" s="38">
        <v>5.0531198102054869E-4</v>
      </c>
      <c r="AG519" s="38">
        <v>-3.8017178572224389E-5</v>
      </c>
      <c r="AH519" s="39">
        <v>-0.53283631753788407</v>
      </c>
      <c r="AI519" s="40">
        <v>-21270.910879755851</v>
      </c>
      <c r="AJ519" s="39">
        <v>-88.318074630724354</v>
      </c>
      <c r="AK519" s="28">
        <v>-3525671.6419450841</v>
      </c>
      <c r="AL519" s="41">
        <f t="shared" si="7"/>
        <v>-805.25530696607018</v>
      </c>
      <c r="AM519" s="28">
        <v>2737634</v>
      </c>
      <c r="AN519" s="42">
        <v>-1.28785354139563</v>
      </c>
      <c r="AP519" s="30"/>
      <c r="AR519" s="30"/>
    </row>
    <row r="520" spans="1:44" x14ac:dyDescent="0.2">
      <c r="A520" s="3" t="s">
        <v>739</v>
      </c>
      <c r="B520" s="3" t="s">
        <v>167</v>
      </c>
      <c r="C520" s="3" t="s">
        <v>2055</v>
      </c>
      <c r="D520" s="27"/>
      <c r="E520" s="3" t="s">
        <v>1426</v>
      </c>
      <c r="F520" s="133" t="s">
        <v>1068</v>
      </c>
      <c r="G520" s="3" t="s">
        <v>878</v>
      </c>
      <c r="H520" s="29">
        <v>64.78</v>
      </c>
      <c r="I520" s="30">
        <v>180.71600000000001</v>
      </c>
      <c r="J520" s="30">
        <v>181.09299999999999</v>
      </c>
      <c r="K520" s="31">
        <v>1</v>
      </c>
      <c r="L520" s="31">
        <v>0.92</v>
      </c>
      <c r="M520" s="4">
        <v>0.63</v>
      </c>
      <c r="N520" s="4">
        <v>0.63</v>
      </c>
      <c r="O520" s="4">
        <v>0.37</v>
      </c>
      <c r="P520" s="4">
        <v>0.37</v>
      </c>
      <c r="Q520" s="32">
        <v>180.71600000000001</v>
      </c>
      <c r="R520" s="32">
        <v>166.60556</v>
      </c>
      <c r="S520" s="32">
        <v>11706.78248</v>
      </c>
      <c r="T520" s="32">
        <v>10792.708176800001</v>
      </c>
      <c r="U520" s="33">
        <v>6.1908178289579914E-4</v>
      </c>
      <c r="V520" s="34">
        <v>5.7286797618709764E-4</v>
      </c>
      <c r="W520" s="34">
        <v>-4.6213806708701494E-5</v>
      </c>
      <c r="X520" s="35">
        <v>-99.624491841162339</v>
      </c>
      <c r="Y520" s="36">
        <v>-1537889.6548496811</v>
      </c>
      <c r="Z520" s="37">
        <v>7.709776117440152E-4</v>
      </c>
      <c r="AA520" s="38">
        <v>7.1293333772093359E-4</v>
      </c>
      <c r="AB520" s="38">
        <v>-5.8044274023081612E-5</v>
      </c>
      <c r="AC520" s="39">
        <v>-1.1105182778425695</v>
      </c>
      <c r="AD520" s="40">
        <v>-17142.918768795455</v>
      </c>
      <c r="AE520" s="37">
        <v>4.6357135971549288E-4</v>
      </c>
      <c r="AF520" s="38">
        <v>4.2926928945089779E-4</v>
      </c>
      <c r="AG520" s="38">
        <v>-3.4302070264595084E-5</v>
      </c>
      <c r="AH520" s="39">
        <v>-0.48076657685129176</v>
      </c>
      <c r="AI520" s="40">
        <v>-7421.5278921162671</v>
      </c>
      <c r="AJ520" s="39">
        <v>-101.21577669585621</v>
      </c>
      <c r="AK520" s="28">
        <v>-1562454.1015105927</v>
      </c>
      <c r="AL520" s="41">
        <f t="shared" si="7"/>
        <v>-356.69810673588682</v>
      </c>
      <c r="AM520" s="28">
        <v>1163129</v>
      </c>
      <c r="AN520" s="42">
        <v>-1.3433197018650491</v>
      </c>
      <c r="AP520" s="30"/>
      <c r="AR520" s="30"/>
    </row>
    <row r="521" spans="1:44" x14ac:dyDescent="0.2">
      <c r="A521" s="3" t="s">
        <v>1231</v>
      </c>
      <c r="B521" s="3" t="s">
        <v>466</v>
      </c>
      <c r="C521" s="3" t="s">
        <v>2056</v>
      </c>
      <c r="D521" s="27"/>
      <c r="E521" s="3" t="s">
        <v>38</v>
      </c>
      <c r="F521" s="133" t="s">
        <v>1061</v>
      </c>
      <c r="G521" s="3" t="s">
        <v>878</v>
      </c>
      <c r="H521" s="29">
        <v>34.35</v>
      </c>
      <c r="I521" s="30">
        <v>105.402</v>
      </c>
      <c r="J521" s="30">
        <v>103.627</v>
      </c>
      <c r="K521" s="31">
        <v>1</v>
      </c>
      <c r="L521" s="31">
        <v>0.9</v>
      </c>
      <c r="M521" s="4">
        <v>0</v>
      </c>
      <c r="N521" s="4">
        <v>0</v>
      </c>
      <c r="O521" s="4">
        <v>1</v>
      </c>
      <c r="P521" s="4">
        <v>1</v>
      </c>
      <c r="Q521" s="32">
        <v>105.402</v>
      </c>
      <c r="R521" s="32">
        <v>93.264299999999992</v>
      </c>
      <c r="S521" s="32">
        <v>3620.5587</v>
      </c>
      <c r="T521" s="32">
        <v>3203.6287049999996</v>
      </c>
      <c r="U521" s="33">
        <v>1.9146353311887083E-4</v>
      </c>
      <c r="V521" s="34">
        <v>1.7004594793300424E-4</v>
      </c>
      <c r="W521" s="34">
        <v>-2.141758518586659E-5</v>
      </c>
      <c r="X521" s="35">
        <v>-46.170531980976435</v>
      </c>
      <c r="Y521" s="36">
        <v>-1344120.2905669995</v>
      </c>
      <c r="Z521" s="37">
        <v>0</v>
      </c>
      <c r="AA521" s="38">
        <v>0</v>
      </c>
      <c r="AB521" s="38">
        <v>0</v>
      </c>
      <c r="AC521" s="39">
        <v>0</v>
      </c>
      <c r="AD521" s="40">
        <v>0</v>
      </c>
      <c r="AE521" s="37">
        <v>3.8748323480972455E-4</v>
      </c>
      <c r="AF521" s="38">
        <v>3.4438151913054633E-4</v>
      </c>
      <c r="AG521" s="38">
        <v>-4.3101715679178226E-5</v>
      </c>
      <c r="AH521" s="39">
        <v>-0.60409952354637486</v>
      </c>
      <c r="AI521" s="40">
        <v>-17586.594571946865</v>
      </c>
      <c r="AJ521" s="39">
        <v>-46.774631504522809</v>
      </c>
      <c r="AK521" s="28">
        <v>-1361706.8851389464</v>
      </c>
      <c r="AL521" s="41">
        <f t="shared" si="7"/>
        <v>-311.75524288015413</v>
      </c>
      <c r="AM521" s="28">
        <v>996228.625</v>
      </c>
      <c r="AN521" s="42">
        <v>-1.3668618336869676</v>
      </c>
      <c r="AP521" s="30"/>
      <c r="AR521" s="30"/>
    </row>
    <row r="522" spans="1:44" x14ac:dyDescent="0.2">
      <c r="A522" s="3" t="s">
        <v>1374</v>
      </c>
      <c r="B522" s="3" t="s">
        <v>1373</v>
      </c>
      <c r="C522" s="3" t="s">
        <v>2057</v>
      </c>
      <c r="D522" s="27"/>
      <c r="E522" s="3" t="s">
        <v>2122</v>
      </c>
      <c r="F522" s="133" t="s">
        <v>1067</v>
      </c>
      <c r="G522" s="3" t="s">
        <v>878</v>
      </c>
      <c r="H522" s="29">
        <v>52.67</v>
      </c>
      <c r="I522" s="30">
        <v>360.80500000000001</v>
      </c>
      <c r="J522" s="30">
        <v>357.346</v>
      </c>
      <c r="K522" s="31">
        <v>1</v>
      </c>
      <c r="L522" s="31">
        <v>0.94</v>
      </c>
      <c r="M522" s="4">
        <v>0.67</v>
      </c>
      <c r="N522" s="4">
        <v>0.67</v>
      </c>
      <c r="O522" s="4">
        <v>0.33</v>
      </c>
      <c r="P522" s="4">
        <v>0.33</v>
      </c>
      <c r="Q522" s="32">
        <v>360.80500000000001</v>
      </c>
      <c r="R522" s="32">
        <v>335.90523999999999</v>
      </c>
      <c r="S522" s="32">
        <v>19003.59935</v>
      </c>
      <c r="T522" s="32">
        <v>17692.1289908</v>
      </c>
      <c r="U522" s="33">
        <v>1.004954366166326E-3</v>
      </c>
      <c r="V522" s="34">
        <v>9.3908349631720886E-4</v>
      </c>
      <c r="W522" s="34">
        <v>-6.5870869849117097E-5</v>
      </c>
      <c r="X522" s="35">
        <v>-141.99981354528887</v>
      </c>
      <c r="Y522" s="36">
        <v>-2696028.3566601262</v>
      </c>
      <c r="Z522" s="37">
        <v>1.330988603375802E-3</v>
      </c>
      <c r="AA522" s="38">
        <v>1.2428904165485194E-3</v>
      </c>
      <c r="AB522" s="38">
        <v>-8.809818682728259E-5</v>
      </c>
      <c r="AC522" s="39">
        <v>-1.6855176219032793</v>
      </c>
      <c r="AD522" s="40">
        <v>-32001.473740331861</v>
      </c>
      <c r="AE522" s="37">
        <v>6.7116164398184537E-4</v>
      </c>
      <c r="AF522" s="38">
        <v>6.2761266377988213E-4</v>
      </c>
      <c r="AG522" s="38">
        <v>-4.3548980201963241E-5</v>
      </c>
      <c r="AH522" s="39">
        <v>-0.61036823653972216</v>
      </c>
      <c r="AI522" s="40">
        <v>-11588.536862345209</v>
      </c>
      <c r="AJ522" s="39">
        <v>-144.29569940373187</v>
      </c>
      <c r="AK522" s="28">
        <v>-2739618.3672628035</v>
      </c>
      <c r="AL522" s="41">
        <f t="shared" si="7"/>
        <v>-625.316782315522</v>
      </c>
      <c r="AM522" s="28">
        <v>1426280.875</v>
      </c>
      <c r="AN522" s="42">
        <v>-1.9208126640994212</v>
      </c>
      <c r="AP522" s="30"/>
      <c r="AR522" s="30"/>
    </row>
    <row r="523" spans="1:44" x14ac:dyDescent="0.2">
      <c r="A523" s="3" t="s">
        <v>1413</v>
      </c>
      <c r="B523" s="3" t="s">
        <v>1395</v>
      </c>
      <c r="C523" s="3" t="s">
        <v>2058</v>
      </c>
      <c r="D523" s="27"/>
      <c r="E523" s="3" t="s">
        <v>1422</v>
      </c>
      <c r="F523" s="133" t="s">
        <v>1060</v>
      </c>
      <c r="G523" s="3" t="s">
        <v>878</v>
      </c>
      <c r="H523" s="29">
        <v>29.43</v>
      </c>
      <c r="I523" s="30">
        <v>883.197</v>
      </c>
      <c r="J523" s="30">
        <v>884.73800000000006</v>
      </c>
      <c r="K523" s="31">
        <v>0.66</v>
      </c>
      <c r="L523" s="31">
        <v>0.56999999999999995</v>
      </c>
      <c r="M523" s="4">
        <v>0.61</v>
      </c>
      <c r="N523" s="4">
        <v>0.61</v>
      </c>
      <c r="O523" s="4">
        <v>0.39</v>
      </c>
      <c r="P523" s="4">
        <v>0.39</v>
      </c>
      <c r="Q523" s="32">
        <v>582.91002000000003</v>
      </c>
      <c r="R523" s="32">
        <v>504.30065999999999</v>
      </c>
      <c r="S523" s="32">
        <v>17155.041888600001</v>
      </c>
      <c r="T523" s="32">
        <v>14841.568423799999</v>
      </c>
      <c r="U523" s="33">
        <v>9.0719836438326012E-4</v>
      </c>
      <c r="V523" s="34">
        <v>7.8777811158288241E-4</v>
      </c>
      <c r="W523" s="34">
        <v>-1.1942025280037771E-4</v>
      </c>
      <c r="X523" s="35">
        <v>-257.43782752570087</v>
      </c>
      <c r="Y523" s="36">
        <v>-8747462.7089942545</v>
      </c>
      <c r="Z523" s="37">
        <v>1.0939193041617037E-3</v>
      </c>
      <c r="AA523" s="38">
        <v>9.4926522897240942E-4</v>
      </c>
      <c r="AB523" s="38">
        <v>-1.4465407518929427E-4</v>
      </c>
      <c r="AC523" s="39">
        <v>-2.7675597148177769</v>
      </c>
      <c r="AD523" s="40">
        <v>-94038.726293502448</v>
      </c>
      <c r="AE523" s="37">
        <v>7.1603411331889512E-4</v>
      </c>
      <c r="AF523" s="38">
        <v>6.2221727821189416E-4</v>
      </c>
      <c r="AG523" s="38">
        <v>-9.3816835107000951E-5</v>
      </c>
      <c r="AH523" s="39">
        <v>-1.3149060193013795</v>
      </c>
      <c r="AI523" s="40">
        <v>-44679.103612007457</v>
      </c>
      <c r="AJ523" s="39">
        <v>-261.52029325981999</v>
      </c>
      <c r="AK523" s="28">
        <v>-8886180.5388997644</v>
      </c>
      <c r="AL523" s="41">
        <f t="shared" si="7"/>
        <v>-2028.8863880458325</v>
      </c>
      <c r="AM523" s="28">
        <v>3858654.5</v>
      </c>
      <c r="AN523" s="42">
        <v>-2.3029220519483578</v>
      </c>
      <c r="AP523" s="30"/>
      <c r="AR523" s="30"/>
    </row>
    <row r="524" spans="1:44" x14ac:dyDescent="0.2">
      <c r="A524" s="3" t="s">
        <v>774</v>
      </c>
      <c r="B524" s="3" t="s">
        <v>1048</v>
      </c>
      <c r="C524" s="3" t="s">
        <v>2059</v>
      </c>
      <c r="D524" s="27"/>
      <c r="E524" s="3" t="s">
        <v>972</v>
      </c>
      <c r="F524" s="133" t="s">
        <v>1055</v>
      </c>
      <c r="G524" s="3" t="s">
        <v>878</v>
      </c>
      <c r="H524" s="29">
        <v>9.69</v>
      </c>
      <c r="I524" s="30">
        <v>1013</v>
      </c>
      <c r="J524" s="30">
        <v>1013.304</v>
      </c>
      <c r="K524" s="31">
        <v>0.94</v>
      </c>
      <c r="L524" s="31">
        <v>0.84</v>
      </c>
      <c r="M524" s="4">
        <v>0</v>
      </c>
      <c r="N524" s="4">
        <v>0</v>
      </c>
      <c r="O524" s="4">
        <v>1</v>
      </c>
      <c r="P524" s="4">
        <v>1</v>
      </c>
      <c r="Q524" s="32">
        <v>952.21999999999991</v>
      </c>
      <c r="R524" s="32">
        <v>851.17535999999996</v>
      </c>
      <c r="S524" s="32">
        <v>9227.0117999999984</v>
      </c>
      <c r="T524" s="32">
        <v>8247.8892383999992</v>
      </c>
      <c r="U524" s="33">
        <v>4.879457635523246E-4</v>
      </c>
      <c r="V524" s="34">
        <v>4.3779110288317652E-4</v>
      </c>
      <c r="W524" s="34">
        <v>-5.0154660669148087E-5</v>
      </c>
      <c r="X524" s="35">
        <v>-108.11990914587446</v>
      </c>
      <c r="Y524" s="36">
        <v>-11157885.360771358</v>
      </c>
      <c r="Z524" s="37">
        <v>0</v>
      </c>
      <c r="AA524" s="38">
        <v>0</v>
      </c>
      <c r="AB524" s="38">
        <v>0</v>
      </c>
      <c r="AC524" s="39">
        <v>0</v>
      </c>
      <c r="AD524" s="40">
        <v>0</v>
      </c>
      <c r="AE524" s="37">
        <v>9.875029453027507E-4</v>
      </c>
      <c r="AF524" s="38">
        <v>8.8662603787622045E-4</v>
      </c>
      <c r="AG524" s="38">
        <v>-1.0087690742653025E-4</v>
      </c>
      <c r="AH524" s="39">
        <v>-1.413857679513155</v>
      </c>
      <c r="AI524" s="40">
        <v>-145908.94525419557</v>
      </c>
      <c r="AJ524" s="39">
        <v>-109.53376682538762</v>
      </c>
      <c r="AK524" s="28">
        <v>-11303794.306025553</v>
      </c>
      <c r="AL524" s="41">
        <f t="shared" si="7"/>
        <v>-2587.9597868497467</v>
      </c>
      <c r="AM524" s="28">
        <v>4820071</v>
      </c>
      <c r="AN524" s="42">
        <v>-2.3451509959138681</v>
      </c>
      <c r="AP524" s="30"/>
      <c r="AR524" s="30"/>
    </row>
    <row r="525" spans="1:44" x14ac:dyDescent="0.2">
      <c r="D525" s="27"/>
      <c r="I525" s="32"/>
      <c r="J525" s="32"/>
      <c r="K525" s="31"/>
      <c r="L525" s="31"/>
      <c r="M525" s="43"/>
      <c r="N525" s="43"/>
      <c r="O525" s="43"/>
      <c r="P525" s="43"/>
      <c r="Q525" s="32"/>
      <c r="R525" s="32"/>
      <c r="S525" s="32"/>
      <c r="T525" s="32"/>
      <c r="U525" s="37"/>
      <c r="V525" s="38"/>
      <c r="W525" s="38"/>
      <c r="X525" s="39"/>
      <c r="Y525" s="40"/>
      <c r="Z525" s="37"/>
      <c r="AA525" s="38"/>
      <c r="AB525" s="38"/>
      <c r="AC525" s="39"/>
      <c r="AD525" s="40"/>
      <c r="AE525" s="37"/>
      <c r="AF525" s="38"/>
      <c r="AG525" s="38"/>
      <c r="AH525" s="39"/>
      <c r="AI525" s="40"/>
      <c r="AJ525" s="39"/>
      <c r="AK525" s="28"/>
      <c r="AL525" s="28"/>
      <c r="AM525" s="28"/>
      <c r="AN525" s="42"/>
      <c r="AR525" s="30"/>
    </row>
    <row r="526" spans="1:44" x14ac:dyDescent="0.2">
      <c r="D526" s="27"/>
      <c r="I526" s="32"/>
      <c r="J526" s="32"/>
      <c r="K526" s="31"/>
      <c r="L526" s="31"/>
      <c r="M526" s="43"/>
      <c r="N526" s="43"/>
      <c r="O526" s="43"/>
      <c r="P526" s="43"/>
      <c r="Q526" s="32"/>
      <c r="R526" s="32"/>
      <c r="S526" s="32"/>
      <c r="T526" s="32"/>
      <c r="U526" s="37"/>
      <c r="V526" s="38"/>
      <c r="W526" s="38"/>
      <c r="X526" s="39"/>
      <c r="Y526" s="40"/>
      <c r="Z526" s="37"/>
      <c r="AA526" s="38"/>
      <c r="AB526" s="38"/>
      <c r="AC526" s="39"/>
      <c r="AD526" s="40"/>
      <c r="AE526" s="37"/>
      <c r="AF526" s="38"/>
      <c r="AG526" s="38"/>
      <c r="AH526" s="39"/>
      <c r="AI526" s="40"/>
      <c r="AJ526" s="39"/>
      <c r="AK526" s="28"/>
      <c r="AL526" s="28"/>
      <c r="AM526" s="28"/>
      <c r="AN526" s="42"/>
      <c r="AR526" s="30"/>
    </row>
    <row r="527" spans="1:44" x14ac:dyDescent="0.2">
      <c r="A527" s="44" t="s">
        <v>1482</v>
      </c>
      <c r="D527" s="27"/>
      <c r="I527" s="32"/>
      <c r="J527" s="32"/>
      <c r="K527" s="31"/>
      <c r="L527" s="31"/>
      <c r="M527" s="43"/>
      <c r="N527" s="43"/>
      <c r="O527" s="43"/>
      <c r="P527" s="43"/>
      <c r="Q527" s="32"/>
      <c r="R527" s="32"/>
      <c r="S527" s="32"/>
      <c r="T527" s="32"/>
      <c r="U527" s="37"/>
      <c r="V527" s="38"/>
      <c r="W527" s="38"/>
      <c r="X527" s="39"/>
      <c r="Y527" s="40"/>
      <c r="Z527" s="37"/>
      <c r="AA527" s="38"/>
      <c r="AB527" s="38"/>
      <c r="AC527" s="39"/>
      <c r="AD527" s="40"/>
      <c r="AE527" s="37"/>
      <c r="AF527" s="38"/>
      <c r="AG527" s="38"/>
      <c r="AH527" s="39"/>
      <c r="AI527" s="40"/>
      <c r="AJ527" s="39"/>
      <c r="AK527" s="28"/>
      <c r="AL527" s="28"/>
      <c r="AM527" s="28"/>
      <c r="AN527" s="42"/>
      <c r="AR527" s="30"/>
    </row>
    <row r="528" spans="1:44" x14ac:dyDescent="0.2">
      <c r="A528" s="44" t="s">
        <v>1332</v>
      </c>
      <c r="D528" s="27"/>
      <c r="I528" s="32"/>
      <c r="J528" s="32"/>
      <c r="K528" s="31"/>
      <c r="L528" s="31"/>
      <c r="M528" s="43"/>
      <c r="N528" s="43"/>
      <c r="O528" s="43"/>
      <c r="P528" s="43"/>
      <c r="Q528" s="32"/>
      <c r="R528" s="32"/>
      <c r="S528" s="32"/>
      <c r="T528" s="32"/>
      <c r="U528" s="37"/>
      <c r="V528" s="38"/>
      <c r="W528" s="38"/>
      <c r="X528" s="39"/>
      <c r="Y528" s="40"/>
      <c r="Z528" s="37"/>
      <c r="AA528" s="38"/>
      <c r="AB528" s="38"/>
      <c r="AC528" s="39"/>
      <c r="AD528" s="40"/>
      <c r="AE528" s="37"/>
      <c r="AF528" s="38"/>
      <c r="AG528" s="38"/>
      <c r="AH528" s="39"/>
      <c r="AI528" s="40"/>
      <c r="AJ528" s="39"/>
      <c r="AK528" s="28"/>
      <c r="AL528" s="28"/>
      <c r="AM528" s="28"/>
      <c r="AN528" s="42"/>
      <c r="AR528" s="30"/>
    </row>
    <row r="529" spans="1:44" x14ac:dyDescent="0.2">
      <c r="A529" s="44"/>
      <c r="D529" s="27"/>
      <c r="I529" s="32"/>
      <c r="J529" s="32"/>
      <c r="K529" s="31"/>
      <c r="L529" s="31"/>
      <c r="M529" s="43"/>
      <c r="N529" s="43"/>
      <c r="O529" s="43"/>
      <c r="P529" s="43"/>
      <c r="Q529" s="32"/>
      <c r="R529" s="32"/>
      <c r="S529" s="32"/>
      <c r="T529" s="32"/>
      <c r="U529" s="37"/>
      <c r="V529" s="38"/>
      <c r="W529" s="38"/>
      <c r="X529" s="39"/>
      <c r="Y529" s="40"/>
      <c r="Z529" s="37"/>
      <c r="AA529" s="38"/>
      <c r="AB529" s="38"/>
      <c r="AC529" s="39"/>
      <c r="AD529" s="40"/>
      <c r="AE529" s="37"/>
      <c r="AF529" s="38"/>
      <c r="AG529" s="38"/>
      <c r="AH529" s="39"/>
      <c r="AI529" s="40"/>
      <c r="AJ529" s="39"/>
      <c r="AK529" s="28"/>
      <c r="AL529" s="28"/>
      <c r="AM529" s="28"/>
      <c r="AN529" s="42"/>
      <c r="AR529" s="30"/>
    </row>
    <row r="530" spans="1:44" x14ac:dyDescent="0.2">
      <c r="D530" s="27"/>
      <c r="I530" s="32"/>
      <c r="J530" s="32"/>
      <c r="K530" s="31"/>
      <c r="L530" s="31"/>
      <c r="M530" s="43"/>
      <c r="N530" s="43"/>
      <c r="O530" s="43"/>
      <c r="P530" s="43"/>
      <c r="Q530" s="32"/>
      <c r="R530" s="32"/>
      <c r="S530" s="32"/>
      <c r="T530" s="32"/>
      <c r="U530" s="37"/>
      <c r="V530" s="38"/>
      <c r="W530" s="38"/>
      <c r="X530" s="39"/>
      <c r="Y530" s="40"/>
      <c r="Z530" s="37"/>
      <c r="AA530" s="38"/>
      <c r="AB530" s="38"/>
      <c r="AC530" s="39"/>
      <c r="AD530" s="40"/>
      <c r="AE530" s="37"/>
      <c r="AF530" s="38"/>
      <c r="AG530" s="38"/>
      <c r="AH530" s="39"/>
      <c r="AI530" s="40"/>
      <c r="AJ530" s="39"/>
      <c r="AK530" s="28"/>
      <c r="AL530" s="28"/>
      <c r="AM530" s="28"/>
      <c r="AN530" s="42"/>
      <c r="AR530" s="30"/>
    </row>
    <row r="531" spans="1:44" x14ac:dyDescent="0.2">
      <c r="D531" s="27"/>
      <c r="I531" s="32"/>
      <c r="J531" s="32"/>
      <c r="K531" s="31"/>
      <c r="L531" s="31"/>
      <c r="M531" s="43"/>
      <c r="N531" s="43"/>
      <c r="O531" s="43"/>
      <c r="P531" s="43"/>
      <c r="Q531" s="32"/>
      <c r="R531" s="32"/>
      <c r="S531" s="32"/>
      <c r="T531" s="32"/>
      <c r="U531" s="37"/>
      <c r="V531" s="38"/>
      <c r="W531" s="38"/>
      <c r="X531" s="39"/>
      <c r="Y531" s="40"/>
      <c r="Z531" s="37"/>
      <c r="AA531" s="38"/>
      <c r="AB531" s="38"/>
      <c r="AC531" s="39"/>
      <c r="AD531" s="40"/>
      <c r="AE531" s="37"/>
      <c r="AF531" s="38"/>
      <c r="AG531" s="38"/>
      <c r="AH531" s="39"/>
      <c r="AI531" s="40"/>
      <c r="AJ531" s="39"/>
      <c r="AK531" s="28"/>
      <c r="AL531" s="28"/>
      <c r="AM531" s="28"/>
      <c r="AN531" s="42"/>
      <c r="AR531" s="30"/>
    </row>
    <row r="532" spans="1:44" x14ac:dyDescent="0.2">
      <c r="D532" s="27"/>
      <c r="I532" s="32"/>
      <c r="J532" s="32"/>
      <c r="K532" s="31"/>
      <c r="L532" s="31"/>
      <c r="M532" s="43"/>
      <c r="N532" s="43"/>
      <c r="O532" s="43"/>
      <c r="P532" s="43"/>
      <c r="Q532" s="32"/>
      <c r="R532" s="32"/>
      <c r="S532" s="32"/>
      <c r="T532" s="32"/>
      <c r="U532" s="37"/>
      <c r="V532" s="38"/>
      <c r="W532" s="38"/>
      <c r="X532" s="39"/>
      <c r="Y532" s="40"/>
      <c r="Z532" s="37"/>
      <c r="AA532" s="38"/>
      <c r="AB532" s="38"/>
      <c r="AC532" s="39"/>
      <c r="AD532" s="40"/>
      <c r="AE532" s="37"/>
      <c r="AF532" s="38"/>
      <c r="AG532" s="38"/>
      <c r="AH532" s="39"/>
      <c r="AI532" s="40"/>
      <c r="AJ532" s="39"/>
      <c r="AK532" s="28"/>
      <c r="AL532" s="28"/>
      <c r="AM532" s="28"/>
      <c r="AN532" s="42"/>
      <c r="AR532" s="30"/>
    </row>
    <row r="533" spans="1:44" x14ac:dyDescent="0.2">
      <c r="D533" s="27"/>
      <c r="I533" s="32"/>
      <c r="J533" s="32"/>
      <c r="K533" s="31"/>
      <c r="L533" s="31"/>
      <c r="M533" s="43"/>
      <c r="N533" s="43"/>
      <c r="O533" s="43"/>
      <c r="P533" s="43"/>
      <c r="Q533" s="32"/>
      <c r="R533" s="32"/>
      <c r="S533" s="32"/>
      <c r="T533" s="32"/>
      <c r="U533" s="37"/>
      <c r="V533" s="38"/>
      <c r="W533" s="38"/>
      <c r="X533" s="39"/>
      <c r="Y533" s="40"/>
      <c r="Z533" s="37"/>
      <c r="AA533" s="38"/>
      <c r="AB533" s="38"/>
      <c r="AC533" s="39"/>
      <c r="AD533" s="40"/>
      <c r="AE533" s="37"/>
      <c r="AF533" s="38"/>
      <c r="AG533" s="38"/>
      <c r="AH533" s="39"/>
      <c r="AI533" s="40"/>
      <c r="AJ533" s="39"/>
      <c r="AK533" s="28"/>
      <c r="AL533" s="28"/>
      <c r="AM533" s="28"/>
      <c r="AN533" s="42"/>
      <c r="AR533" s="30"/>
    </row>
    <row r="534" spans="1:44" x14ac:dyDescent="0.2">
      <c r="D534" s="27"/>
      <c r="I534" s="32"/>
      <c r="J534" s="32"/>
      <c r="K534" s="31"/>
      <c r="L534" s="31"/>
      <c r="M534" s="43"/>
      <c r="N534" s="43"/>
      <c r="O534" s="43"/>
      <c r="P534" s="43"/>
      <c r="Q534" s="32"/>
      <c r="R534" s="32"/>
      <c r="S534" s="32"/>
      <c r="T534" s="32"/>
      <c r="U534" s="37"/>
      <c r="V534" s="38"/>
      <c r="W534" s="38"/>
      <c r="X534" s="39"/>
      <c r="Y534" s="40"/>
      <c r="Z534" s="37"/>
      <c r="AA534" s="38"/>
      <c r="AB534" s="38"/>
      <c r="AC534" s="39"/>
      <c r="AD534" s="40"/>
      <c r="AE534" s="37"/>
      <c r="AF534" s="38"/>
      <c r="AG534" s="38"/>
      <c r="AH534" s="39"/>
      <c r="AI534" s="40"/>
      <c r="AJ534" s="39"/>
      <c r="AK534" s="28"/>
      <c r="AL534" s="28"/>
      <c r="AM534" s="28"/>
      <c r="AN534" s="42"/>
      <c r="AR534" s="30"/>
    </row>
    <row r="535" spans="1:44" x14ac:dyDescent="0.2">
      <c r="D535" s="27"/>
      <c r="I535" s="32"/>
      <c r="J535" s="32"/>
      <c r="K535" s="31"/>
      <c r="L535" s="31"/>
      <c r="M535" s="43"/>
      <c r="N535" s="43"/>
      <c r="O535" s="43"/>
      <c r="P535" s="43"/>
      <c r="Q535" s="32"/>
      <c r="R535" s="32"/>
      <c r="S535" s="32"/>
      <c r="T535" s="32"/>
      <c r="U535" s="37"/>
      <c r="V535" s="38"/>
      <c r="W535" s="38"/>
      <c r="X535" s="39"/>
      <c r="Y535" s="40"/>
      <c r="Z535" s="37"/>
      <c r="AA535" s="38"/>
      <c r="AB535" s="38"/>
      <c r="AC535" s="39"/>
      <c r="AD535" s="40"/>
      <c r="AE535" s="37"/>
      <c r="AF535" s="38"/>
      <c r="AG535" s="38"/>
      <c r="AH535" s="39"/>
      <c r="AI535" s="40"/>
      <c r="AJ535" s="39"/>
      <c r="AK535" s="28"/>
      <c r="AL535" s="28"/>
      <c r="AM535" s="28"/>
      <c r="AN535" s="42"/>
      <c r="AR535" s="30"/>
    </row>
    <row r="536" spans="1:44" x14ac:dyDescent="0.2">
      <c r="D536" s="27"/>
      <c r="I536" s="32"/>
      <c r="J536" s="32"/>
      <c r="K536" s="31"/>
      <c r="L536" s="31"/>
      <c r="M536" s="43"/>
      <c r="N536" s="43"/>
      <c r="O536" s="43"/>
      <c r="P536" s="43"/>
      <c r="Q536" s="32"/>
      <c r="R536" s="32"/>
      <c r="S536" s="32"/>
      <c r="T536" s="32"/>
      <c r="U536" s="37"/>
      <c r="V536" s="38"/>
      <c r="W536" s="38"/>
      <c r="X536" s="39"/>
      <c r="Y536" s="40"/>
      <c r="Z536" s="37"/>
      <c r="AA536" s="38"/>
      <c r="AB536" s="38"/>
      <c r="AC536" s="39"/>
      <c r="AD536" s="40"/>
      <c r="AE536" s="37"/>
      <c r="AF536" s="38"/>
      <c r="AG536" s="38"/>
      <c r="AH536" s="39"/>
      <c r="AI536" s="40"/>
      <c r="AJ536" s="39"/>
      <c r="AK536" s="28"/>
      <c r="AL536" s="28"/>
      <c r="AM536" s="28"/>
      <c r="AN536" s="42"/>
      <c r="AR536" s="30"/>
    </row>
    <row r="537" spans="1:44" x14ac:dyDescent="0.2">
      <c r="D537" s="27"/>
      <c r="I537" s="32"/>
      <c r="J537" s="32"/>
      <c r="K537" s="31"/>
      <c r="L537" s="31"/>
      <c r="M537" s="43"/>
      <c r="N537" s="43"/>
      <c r="O537" s="43"/>
      <c r="P537" s="43"/>
      <c r="Q537" s="32"/>
      <c r="R537" s="32"/>
      <c r="S537" s="32"/>
      <c r="T537" s="32"/>
      <c r="U537" s="37"/>
      <c r="V537" s="38"/>
      <c r="W537" s="38"/>
      <c r="X537" s="39"/>
      <c r="Y537" s="40"/>
      <c r="Z537" s="37"/>
      <c r="AA537" s="38"/>
      <c r="AB537" s="38"/>
      <c r="AC537" s="39"/>
      <c r="AD537" s="40"/>
      <c r="AE537" s="37"/>
      <c r="AF537" s="38"/>
      <c r="AG537" s="38"/>
      <c r="AH537" s="39"/>
      <c r="AI537" s="40"/>
      <c r="AJ537" s="39"/>
      <c r="AK537" s="28"/>
      <c r="AL537" s="28"/>
      <c r="AM537" s="28"/>
      <c r="AN537" s="42"/>
      <c r="AR537" s="30"/>
    </row>
    <row r="538" spans="1:44" x14ac:dyDescent="0.2">
      <c r="D538" s="27"/>
      <c r="I538" s="32"/>
      <c r="J538" s="32"/>
      <c r="K538" s="31"/>
      <c r="L538" s="31"/>
      <c r="M538" s="43"/>
      <c r="N538" s="43"/>
      <c r="O538" s="43"/>
      <c r="P538" s="43"/>
      <c r="Q538" s="32"/>
      <c r="R538" s="32"/>
      <c r="S538" s="32"/>
      <c r="T538" s="32"/>
      <c r="U538" s="37"/>
      <c r="V538" s="38"/>
      <c r="W538" s="38"/>
      <c r="X538" s="39"/>
      <c r="Y538" s="40"/>
      <c r="Z538" s="37"/>
      <c r="AA538" s="38"/>
      <c r="AB538" s="38"/>
      <c r="AC538" s="39"/>
      <c r="AD538" s="40"/>
      <c r="AE538" s="37"/>
      <c r="AF538" s="38"/>
      <c r="AG538" s="38"/>
      <c r="AH538" s="39"/>
      <c r="AI538" s="40"/>
      <c r="AJ538" s="39"/>
      <c r="AK538" s="28"/>
      <c r="AL538" s="28"/>
      <c r="AM538" s="28"/>
      <c r="AN538" s="42"/>
      <c r="AR538" s="30"/>
    </row>
    <row r="539" spans="1:44" x14ac:dyDescent="0.2">
      <c r="D539" s="27"/>
      <c r="I539" s="32"/>
      <c r="J539" s="32"/>
      <c r="K539" s="31"/>
      <c r="L539" s="31"/>
      <c r="M539" s="43"/>
      <c r="N539" s="43"/>
      <c r="O539" s="43"/>
      <c r="P539" s="43"/>
      <c r="Q539" s="32"/>
      <c r="R539" s="32"/>
      <c r="S539" s="32"/>
      <c r="T539" s="32"/>
      <c r="U539" s="37"/>
      <c r="V539" s="38"/>
      <c r="W539" s="38"/>
      <c r="X539" s="39"/>
      <c r="Y539" s="40"/>
      <c r="Z539" s="37"/>
      <c r="AA539" s="38"/>
      <c r="AB539" s="38"/>
      <c r="AC539" s="39"/>
      <c r="AD539" s="40"/>
      <c r="AE539" s="37"/>
      <c r="AF539" s="38"/>
      <c r="AG539" s="38"/>
      <c r="AH539" s="39"/>
      <c r="AI539" s="40"/>
      <c r="AJ539" s="39"/>
      <c r="AK539" s="28"/>
      <c r="AL539" s="28"/>
      <c r="AM539" s="28"/>
      <c r="AN539" s="42"/>
      <c r="AR539" s="30"/>
    </row>
    <row r="540" spans="1:44" x14ac:dyDescent="0.2">
      <c r="D540" s="27"/>
      <c r="I540" s="32"/>
      <c r="J540" s="32"/>
      <c r="K540" s="31"/>
      <c r="L540" s="31"/>
      <c r="M540" s="43"/>
      <c r="N540" s="43"/>
      <c r="O540" s="43"/>
      <c r="P540" s="43"/>
      <c r="Q540" s="32"/>
      <c r="R540" s="32"/>
      <c r="S540" s="32"/>
      <c r="T540" s="32"/>
      <c r="U540" s="37"/>
      <c r="V540" s="38"/>
      <c r="W540" s="38"/>
      <c r="X540" s="39"/>
      <c r="Y540" s="40"/>
      <c r="Z540" s="37"/>
      <c r="AA540" s="38"/>
      <c r="AB540" s="38"/>
      <c r="AC540" s="39"/>
      <c r="AD540" s="40"/>
      <c r="AE540" s="37"/>
      <c r="AF540" s="38"/>
      <c r="AG540" s="38"/>
      <c r="AH540" s="39"/>
      <c r="AI540" s="40"/>
      <c r="AJ540" s="39"/>
      <c r="AK540" s="28"/>
      <c r="AL540" s="28"/>
      <c r="AM540" s="28"/>
      <c r="AN540" s="42"/>
      <c r="AR540" s="30"/>
    </row>
    <row r="541" spans="1:44" x14ac:dyDescent="0.2">
      <c r="D541" s="27"/>
      <c r="I541" s="32"/>
      <c r="J541" s="32"/>
      <c r="K541" s="31"/>
      <c r="L541" s="31"/>
      <c r="M541" s="43"/>
      <c r="N541" s="43"/>
      <c r="O541" s="43"/>
      <c r="P541" s="43"/>
      <c r="Q541" s="32"/>
      <c r="R541" s="32"/>
      <c r="S541" s="32"/>
      <c r="T541" s="32"/>
      <c r="U541" s="37"/>
      <c r="V541" s="38"/>
      <c r="W541" s="38"/>
      <c r="X541" s="39"/>
      <c r="Y541" s="40"/>
      <c r="Z541" s="37"/>
      <c r="AA541" s="38"/>
      <c r="AB541" s="38"/>
      <c r="AC541" s="39"/>
      <c r="AD541" s="40"/>
      <c r="AE541" s="37"/>
      <c r="AF541" s="38"/>
      <c r="AG541" s="38"/>
      <c r="AH541" s="39"/>
      <c r="AI541" s="40"/>
      <c r="AJ541" s="39"/>
      <c r="AK541" s="28"/>
      <c r="AL541" s="28"/>
      <c r="AM541" s="28"/>
      <c r="AN541" s="42"/>
      <c r="AR541" s="30"/>
    </row>
    <row r="542" spans="1:44" x14ac:dyDescent="0.2">
      <c r="D542" s="27"/>
      <c r="I542" s="32"/>
      <c r="J542" s="32"/>
      <c r="K542" s="31"/>
      <c r="L542" s="31"/>
      <c r="M542" s="43"/>
      <c r="N542" s="43"/>
      <c r="O542" s="43"/>
      <c r="P542" s="43"/>
      <c r="Q542" s="32"/>
      <c r="R542" s="32"/>
      <c r="S542" s="32"/>
      <c r="T542" s="32"/>
      <c r="U542" s="37"/>
      <c r="V542" s="38"/>
      <c r="W542" s="38"/>
      <c r="X542" s="39"/>
      <c r="Y542" s="40"/>
      <c r="Z542" s="37"/>
      <c r="AA542" s="38"/>
      <c r="AB542" s="38"/>
      <c r="AC542" s="39"/>
      <c r="AD542" s="40"/>
      <c r="AE542" s="37"/>
      <c r="AF542" s="38"/>
      <c r="AG542" s="38"/>
      <c r="AH542" s="39"/>
      <c r="AI542" s="40"/>
      <c r="AJ542" s="39"/>
      <c r="AK542" s="28"/>
      <c r="AL542" s="28"/>
      <c r="AM542" s="28"/>
      <c r="AN542" s="42"/>
      <c r="AR542" s="30"/>
    </row>
    <row r="543" spans="1:44" x14ac:dyDescent="0.2">
      <c r="D543" s="27"/>
      <c r="I543" s="32"/>
      <c r="J543" s="32"/>
      <c r="K543" s="31"/>
      <c r="L543" s="31"/>
      <c r="M543" s="43"/>
      <c r="N543" s="43"/>
      <c r="O543" s="43"/>
      <c r="P543" s="43"/>
      <c r="Q543" s="32"/>
      <c r="R543" s="32"/>
      <c r="S543" s="32"/>
      <c r="T543" s="32"/>
      <c r="U543" s="37"/>
      <c r="V543" s="38"/>
      <c r="W543" s="38"/>
      <c r="X543" s="39"/>
      <c r="Y543" s="40"/>
      <c r="Z543" s="37"/>
      <c r="AA543" s="38"/>
      <c r="AB543" s="38"/>
      <c r="AC543" s="39"/>
      <c r="AD543" s="40"/>
      <c r="AE543" s="37"/>
      <c r="AF543" s="38"/>
      <c r="AG543" s="38"/>
      <c r="AH543" s="39"/>
      <c r="AI543" s="40"/>
      <c r="AJ543" s="39"/>
      <c r="AK543" s="28"/>
      <c r="AL543" s="28"/>
      <c r="AM543" s="28"/>
      <c r="AN543" s="42"/>
      <c r="AR543" s="30"/>
    </row>
    <row r="544" spans="1:44" x14ac:dyDescent="0.2">
      <c r="D544" s="27"/>
      <c r="I544" s="32"/>
      <c r="J544" s="32"/>
      <c r="K544" s="31"/>
      <c r="L544" s="31"/>
      <c r="M544" s="43"/>
      <c r="N544" s="43"/>
      <c r="O544" s="43"/>
      <c r="P544" s="43"/>
      <c r="Q544" s="32"/>
      <c r="R544" s="32"/>
      <c r="S544" s="32"/>
      <c r="T544" s="32"/>
      <c r="U544" s="37"/>
      <c r="V544" s="38"/>
      <c r="W544" s="38"/>
      <c r="X544" s="39"/>
      <c r="Y544" s="40"/>
      <c r="Z544" s="37"/>
      <c r="AA544" s="38"/>
      <c r="AB544" s="38"/>
      <c r="AC544" s="39"/>
      <c r="AD544" s="40"/>
      <c r="AE544" s="37"/>
      <c r="AF544" s="38"/>
      <c r="AG544" s="38"/>
      <c r="AH544" s="39"/>
      <c r="AI544" s="40"/>
      <c r="AJ544" s="39"/>
      <c r="AK544" s="28"/>
      <c r="AL544" s="28"/>
      <c r="AM544" s="28"/>
      <c r="AN544" s="42"/>
      <c r="AR544" s="30"/>
    </row>
    <row r="545" spans="4:44" x14ac:dyDescent="0.2">
      <c r="D545" s="27"/>
      <c r="I545" s="32"/>
      <c r="J545" s="32"/>
      <c r="K545" s="31"/>
      <c r="L545" s="31"/>
      <c r="M545" s="43"/>
      <c r="N545" s="43"/>
      <c r="O545" s="43"/>
      <c r="P545" s="43"/>
      <c r="Q545" s="32"/>
      <c r="R545" s="32"/>
      <c r="S545" s="32"/>
      <c r="T545" s="32"/>
      <c r="U545" s="37"/>
      <c r="V545" s="38"/>
      <c r="W545" s="38"/>
      <c r="X545" s="39"/>
      <c r="Y545" s="40"/>
      <c r="Z545" s="37"/>
      <c r="AA545" s="38"/>
      <c r="AB545" s="38"/>
      <c r="AC545" s="39"/>
      <c r="AD545" s="40"/>
      <c r="AE545" s="37"/>
      <c r="AF545" s="38"/>
      <c r="AG545" s="38"/>
      <c r="AH545" s="39"/>
      <c r="AI545" s="40"/>
      <c r="AJ545" s="39"/>
      <c r="AK545" s="28"/>
      <c r="AL545" s="28"/>
      <c r="AM545" s="28"/>
      <c r="AN545" s="42"/>
      <c r="AR545" s="30"/>
    </row>
    <row r="546" spans="4:44" x14ac:dyDescent="0.2">
      <c r="D546" s="27"/>
      <c r="I546" s="32"/>
      <c r="J546" s="32"/>
      <c r="K546" s="31"/>
      <c r="L546" s="31"/>
      <c r="M546" s="43"/>
      <c r="N546" s="43"/>
      <c r="O546" s="43"/>
      <c r="P546" s="43"/>
      <c r="Q546" s="32"/>
      <c r="R546" s="32"/>
      <c r="S546" s="32"/>
      <c r="T546" s="32"/>
      <c r="U546" s="37"/>
      <c r="V546" s="38"/>
      <c r="W546" s="38"/>
      <c r="X546" s="39"/>
      <c r="Y546" s="40"/>
      <c r="Z546" s="37"/>
      <c r="AA546" s="38"/>
      <c r="AB546" s="38"/>
      <c r="AC546" s="39"/>
      <c r="AD546" s="40"/>
      <c r="AE546" s="37"/>
      <c r="AF546" s="38"/>
      <c r="AG546" s="38"/>
      <c r="AH546" s="39"/>
      <c r="AI546" s="40"/>
      <c r="AJ546" s="39"/>
      <c r="AK546" s="28"/>
      <c r="AL546" s="28"/>
      <c r="AM546" s="28"/>
      <c r="AN546" s="42"/>
      <c r="AR546" s="30"/>
    </row>
    <row r="547" spans="4:44" x14ac:dyDescent="0.2">
      <c r="D547" s="27"/>
      <c r="I547" s="32"/>
      <c r="J547" s="32"/>
      <c r="K547" s="31"/>
      <c r="L547" s="31"/>
      <c r="M547" s="43"/>
      <c r="N547" s="43"/>
      <c r="O547" s="43"/>
      <c r="P547" s="43"/>
      <c r="Q547" s="32"/>
      <c r="R547" s="32"/>
      <c r="S547" s="32"/>
      <c r="T547" s="32"/>
      <c r="U547" s="37"/>
      <c r="V547" s="38"/>
      <c r="W547" s="38"/>
      <c r="X547" s="39"/>
      <c r="Y547" s="40"/>
      <c r="Z547" s="37"/>
      <c r="AA547" s="38"/>
      <c r="AB547" s="38"/>
      <c r="AC547" s="39"/>
      <c r="AD547" s="40"/>
      <c r="AE547" s="37"/>
      <c r="AF547" s="38"/>
      <c r="AG547" s="38"/>
      <c r="AH547" s="39"/>
      <c r="AI547" s="40"/>
      <c r="AJ547" s="39"/>
      <c r="AK547" s="28"/>
      <c r="AL547" s="28"/>
      <c r="AM547" s="28"/>
      <c r="AN547" s="42"/>
      <c r="AR547" s="30"/>
    </row>
    <row r="548" spans="4:44" x14ac:dyDescent="0.2">
      <c r="D548" s="27"/>
      <c r="I548" s="32"/>
      <c r="J548" s="32"/>
      <c r="K548" s="31"/>
      <c r="L548" s="31"/>
      <c r="M548" s="43"/>
      <c r="N548" s="43"/>
      <c r="O548" s="43"/>
      <c r="P548" s="43"/>
      <c r="Q548" s="32"/>
      <c r="R548" s="32"/>
      <c r="S548" s="32"/>
      <c r="T548" s="32"/>
      <c r="U548" s="37"/>
      <c r="V548" s="38"/>
      <c r="W548" s="38"/>
      <c r="X548" s="39"/>
      <c r="Y548" s="40"/>
      <c r="Z548" s="37"/>
      <c r="AA548" s="38"/>
      <c r="AB548" s="38"/>
      <c r="AC548" s="39"/>
      <c r="AD548" s="40"/>
      <c r="AE548" s="37"/>
      <c r="AF548" s="38"/>
      <c r="AG548" s="38"/>
      <c r="AH548" s="39"/>
      <c r="AI548" s="40"/>
      <c r="AJ548" s="39"/>
      <c r="AK548" s="28"/>
      <c r="AL548" s="28"/>
      <c r="AM548" s="28"/>
      <c r="AN548" s="42"/>
      <c r="AR548" s="30"/>
    </row>
    <row r="549" spans="4:44" x14ac:dyDescent="0.2">
      <c r="D549" s="27"/>
      <c r="I549" s="32"/>
      <c r="J549" s="32"/>
      <c r="K549" s="31"/>
      <c r="L549" s="31"/>
      <c r="M549" s="43"/>
      <c r="N549" s="43"/>
      <c r="O549" s="43"/>
      <c r="P549" s="43"/>
      <c r="Q549" s="32"/>
      <c r="R549" s="32"/>
      <c r="S549" s="32"/>
      <c r="T549" s="32"/>
      <c r="U549" s="37"/>
      <c r="V549" s="38"/>
      <c r="W549" s="38"/>
      <c r="X549" s="39"/>
      <c r="Y549" s="40"/>
      <c r="Z549" s="37"/>
      <c r="AA549" s="38"/>
      <c r="AB549" s="38"/>
      <c r="AC549" s="39"/>
      <c r="AD549" s="40"/>
      <c r="AE549" s="37"/>
      <c r="AF549" s="38"/>
      <c r="AG549" s="38"/>
      <c r="AH549" s="39"/>
      <c r="AI549" s="40"/>
      <c r="AJ549" s="39"/>
      <c r="AK549" s="28"/>
      <c r="AL549" s="28"/>
      <c r="AM549" s="28"/>
      <c r="AN549" s="42"/>
      <c r="AR549" s="30"/>
    </row>
    <row r="550" spans="4:44" x14ac:dyDescent="0.2">
      <c r="D550" s="27"/>
      <c r="I550" s="32"/>
      <c r="J550" s="32"/>
      <c r="K550" s="31"/>
      <c r="L550" s="31"/>
      <c r="M550" s="43"/>
      <c r="N550" s="43"/>
      <c r="O550" s="43"/>
      <c r="P550" s="43"/>
      <c r="Q550" s="32"/>
      <c r="R550" s="32"/>
      <c r="S550" s="32"/>
      <c r="T550" s="32"/>
      <c r="U550" s="37"/>
      <c r="V550" s="38"/>
      <c r="W550" s="38"/>
      <c r="X550" s="39"/>
      <c r="Y550" s="40"/>
      <c r="Z550" s="37"/>
      <c r="AA550" s="38"/>
      <c r="AB550" s="38"/>
      <c r="AC550" s="39"/>
      <c r="AD550" s="40"/>
      <c r="AE550" s="37"/>
      <c r="AF550" s="38"/>
      <c r="AG550" s="38"/>
      <c r="AH550" s="39"/>
      <c r="AI550" s="40"/>
      <c r="AJ550" s="39"/>
      <c r="AK550" s="28"/>
      <c r="AL550" s="28"/>
      <c r="AM550" s="28"/>
      <c r="AN550" s="42"/>
      <c r="AR550" s="30"/>
    </row>
    <row r="551" spans="4:44" x14ac:dyDescent="0.2">
      <c r="D551" s="27"/>
      <c r="I551" s="32"/>
      <c r="J551" s="32"/>
      <c r="K551" s="31"/>
      <c r="L551" s="31"/>
      <c r="M551" s="43"/>
      <c r="N551" s="43"/>
      <c r="O551" s="43"/>
      <c r="P551" s="43"/>
      <c r="Q551" s="32"/>
      <c r="R551" s="32"/>
      <c r="S551" s="32"/>
      <c r="T551" s="32"/>
      <c r="U551" s="37"/>
      <c r="V551" s="38"/>
      <c r="W551" s="38"/>
      <c r="X551" s="39"/>
      <c r="Y551" s="40"/>
      <c r="Z551" s="37"/>
      <c r="AA551" s="38"/>
      <c r="AB551" s="38"/>
      <c r="AC551" s="39"/>
      <c r="AD551" s="40"/>
      <c r="AE551" s="37"/>
      <c r="AF551" s="38"/>
      <c r="AG551" s="38"/>
      <c r="AH551" s="39"/>
      <c r="AI551" s="40"/>
      <c r="AJ551" s="39"/>
      <c r="AK551" s="28"/>
      <c r="AL551" s="28"/>
      <c r="AM551" s="28"/>
      <c r="AN551" s="42"/>
      <c r="AR551" s="30"/>
    </row>
    <row r="552" spans="4:44" x14ac:dyDescent="0.2">
      <c r="D552" s="27"/>
      <c r="I552" s="32"/>
      <c r="J552" s="32"/>
      <c r="K552" s="31"/>
      <c r="L552" s="31"/>
      <c r="M552" s="43"/>
      <c r="N552" s="43"/>
      <c r="O552" s="43"/>
      <c r="P552" s="43"/>
      <c r="Q552" s="32"/>
      <c r="R552" s="32"/>
      <c r="S552" s="32"/>
      <c r="T552" s="32"/>
      <c r="U552" s="37"/>
      <c r="V552" s="38"/>
      <c r="W552" s="38"/>
      <c r="X552" s="39"/>
      <c r="Y552" s="40"/>
      <c r="Z552" s="37"/>
      <c r="AA552" s="38"/>
      <c r="AB552" s="38"/>
      <c r="AC552" s="39"/>
      <c r="AD552" s="40"/>
      <c r="AE552" s="37"/>
      <c r="AF552" s="38"/>
      <c r="AG552" s="38"/>
      <c r="AH552" s="39"/>
      <c r="AI552" s="40"/>
      <c r="AJ552" s="39"/>
      <c r="AK552" s="28"/>
      <c r="AL552" s="28"/>
      <c r="AM552" s="28"/>
      <c r="AN552" s="42"/>
      <c r="AR552" s="30"/>
    </row>
    <row r="553" spans="4:44" x14ac:dyDescent="0.2">
      <c r="D553" s="27"/>
      <c r="I553" s="32"/>
      <c r="J553" s="32"/>
      <c r="K553" s="31"/>
      <c r="L553" s="31"/>
      <c r="M553" s="43"/>
      <c r="N553" s="43"/>
      <c r="O553" s="43"/>
      <c r="P553" s="43"/>
      <c r="Q553" s="32"/>
      <c r="R553" s="32"/>
      <c r="S553" s="32"/>
      <c r="T553" s="32"/>
      <c r="U553" s="37"/>
      <c r="V553" s="38"/>
      <c r="W553" s="38"/>
      <c r="X553" s="39"/>
      <c r="Y553" s="40"/>
      <c r="Z553" s="37"/>
      <c r="AA553" s="38"/>
      <c r="AB553" s="38"/>
      <c r="AC553" s="39"/>
      <c r="AD553" s="40"/>
      <c r="AE553" s="37"/>
      <c r="AF553" s="38"/>
      <c r="AG553" s="38"/>
      <c r="AH553" s="39"/>
      <c r="AI553" s="40"/>
      <c r="AJ553" s="39"/>
      <c r="AK553" s="28"/>
      <c r="AL553" s="28"/>
      <c r="AM553" s="28"/>
      <c r="AN553" s="42"/>
      <c r="AR553" s="30"/>
    </row>
    <row r="554" spans="4:44" x14ac:dyDescent="0.2">
      <c r="D554" s="27"/>
      <c r="I554" s="32"/>
      <c r="J554" s="32"/>
      <c r="K554" s="31"/>
      <c r="L554" s="31"/>
      <c r="M554" s="43"/>
      <c r="N554" s="43"/>
      <c r="O554" s="43"/>
      <c r="P554" s="43"/>
      <c r="Q554" s="32"/>
      <c r="R554" s="32"/>
      <c r="S554" s="32"/>
      <c r="T554" s="32"/>
      <c r="U554" s="37"/>
      <c r="V554" s="38"/>
      <c r="W554" s="38"/>
      <c r="X554" s="39"/>
      <c r="Y554" s="40"/>
      <c r="Z554" s="37"/>
      <c r="AA554" s="38"/>
      <c r="AB554" s="38"/>
      <c r="AC554" s="39"/>
      <c r="AD554" s="40"/>
      <c r="AE554" s="37"/>
      <c r="AF554" s="38"/>
      <c r="AG554" s="38"/>
      <c r="AH554" s="39"/>
      <c r="AI554" s="40"/>
      <c r="AJ554" s="39"/>
      <c r="AK554" s="28"/>
      <c r="AL554" s="28"/>
      <c r="AM554" s="28"/>
      <c r="AN554" s="42"/>
      <c r="AR554" s="30"/>
    </row>
    <row r="555" spans="4:44" x14ac:dyDescent="0.2">
      <c r="D555" s="27"/>
      <c r="I555" s="32"/>
      <c r="J555" s="32"/>
      <c r="K555" s="31"/>
      <c r="L555" s="31"/>
      <c r="M555" s="43"/>
      <c r="N555" s="43"/>
      <c r="O555" s="43"/>
      <c r="P555" s="43"/>
      <c r="Q555" s="32"/>
      <c r="R555" s="32"/>
      <c r="S555" s="32"/>
      <c r="T555" s="32"/>
      <c r="U555" s="37"/>
      <c r="V555" s="38"/>
      <c r="W555" s="38"/>
      <c r="X555" s="39"/>
      <c r="Y555" s="40"/>
      <c r="Z555" s="37"/>
      <c r="AA555" s="38"/>
      <c r="AB555" s="38"/>
      <c r="AC555" s="39"/>
      <c r="AD555" s="40"/>
      <c r="AE555" s="37"/>
      <c r="AF555" s="38"/>
      <c r="AG555" s="38"/>
      <c r="AH555" s="39"/>
      <c r="AI555" s="40"/>
      <c r="AJ555" s="39"/>
      <c r="AK555" s="28"/>
      <c r="AL555" s="28"/>
      <c r="AM555" s="28"/>
      <c r="AN555" s="42"/>
      <c r="AR555" s="30"/>
    </row>
    <row r="556" spans="4:44" x14ac:dyDescent="0.2">
      <c r="D556" s="27"/>
      <c r="I556" s="32"/>
      <c r="J556" s="32"/>
      <c r="K556" s="31"/>
      <c r="L556" s="31"/>
      <c r="M556" s="43"/>
      <c r="N556" s="43"/>
      <c r="O556" s="43"/>
      <c r="P556" s="43"/>
      <c r="Q556" s="32"/>
      <c r="R556" s="32"/>
      <c r="S556" s="32"/>
      <c r="T556" s="32"/>
      <c r="U556" s="37"/>
      <c r="V556" s="38"/>
      <c r="W556" s="38"/>
      <c r="X556" s="39"/>
      <c r="Y556" s="40"/>
      <c r="Z556" s="37"/>
      <c r="AA556" s="38"/>
      <c r="AB556" s="38"/>
      <c r="AC556" s="39"/>
      <c r="AD556" s="40"/>
      <c r="AE556" s="37"/>
      <c r="AF556" s="38"/>
      <c r="AG556" s="38"/>
      <c r="AH556" s="39"/>
      <c r="AI556" s="40"/>
      <c r="AJ556" s="39"/>
      <c r="AK556" s="28"/>
      <c r="AL556" s="28"/>
      <c r="AM556" s="28"/>
      <c r="AN556" s="42"/>
      <c r="AR556" s="30"/>
    </row>
    <row r="557" spans="4:44" x14ac:dyDescent="0.2">
      <c r="D557" s="27"/>
      <c r="I557" s="32"/>
      <c r="J557" s="32"/>
      <c r="K557" s="31"/>
      <c r="L557" s="31"/>
      <c r="M557" s="43"/>
      <c r="N557" s="43"/>
      <c r="O557" s="43"/>
      <c r="P557" s="43"/>
      <c r="Q557" s="32"/>
      <c r="R557" s="32"/>
      <c r="S557" s="32"/>
      <c r="T557" s="32"/>
      <c r="U557" s="37"/>
      <c r="V557" s="38"/>
      <c r="W557" s="38"/>
      <c r="X557" s="39"/>
      <c r="Y557" s="40"/>
      <c r="Z557" s="37"/>
      <c r="AA557" s="38"/>
      <c r="AB557" s="38"/>
      <c r="AC557" s="39"/>
      <c r="AD557" s="40"/>
      <c r="AE557" s="37"/>
      <c r="AF557" s="38"/>
      <c r="AG557" s="38"/>
      <c r="AH557" s="39"/>
      <c r="AI557" s="40"/>
      <c r="AJ557" s="39"/>
      <c r="AK557" s="28"/>
      <c r="AL557" s="28"/>
      <c r="AM557" s="28"/>
      <c r="AN557" s="42"/>
      <c r="AR557" s="30"/>
    </row>
    <row r="558" spans="4:44" x14ac:dyDescent="0.2">
      <c r="D558" s="27"/>
      <c r="I558" s="32"/>
      <c r="J558" s="32"/>
      <c r="K558" s="31"/>
      <c r="L558" s="31"/>
      <c r="M558" s="43"/>
      <c r="N558" s="43"/>
      <c r="O558" s="43"/>
      <c r="P558" s="43"/>
      <c r="Q558" s="32"/>
      <c r="R558" s="32"/>
      <c r="S558" s="32"/>
      <c r="T558" s="32"/>
      <c r="U558" s="37"/>
      <c r="V558" s="38"/>
      <c r="W558" s="38"/>
      <c r="X558" s="39"/>
      <c r="Y558" s="40"/>
      <c r="Z558" s="37"/>
      <c r="AA558" s="38"/>
      <c r="AB558" s="38"/>
      <c r="AC558" s="39"/>
      <c r="AD558" s="40"/>
      <c r="AE558" s="37"/>
      <c r="AF558" s="38"/>
      <c r="AG558" s="38"/>
      <c r="AH558" s="39"/>
      <c r="AI558" s="40"/>
      <c r="AJ558" s="39"/>
      <c r="AK558" s="28"/>
      <c r="AL558" s="28"/>
      <c r="AM558" s="28"/>
      <c r="AN558" s="42"/>
      <c r="AR558" s="30"/>
    </row>
    <row r="559" spans="4:44" x14ac:dyDescent="0.2">
      <c r="D559" s="27"/>
      <c r="I559" s="32"/>
      <c r="J559" s="32"/>
      <c r="K559" s="31"/>
      <c r="L559" s="31"/>
      <c r="M559" s="43"/>
      <c r="N559" s="43"/>
      <c r="O559" s="43"/>
      <c r="P559" s="43"/>
      <c r="Q559" s="32"/>
      <c r="R559" s="32"/>
      <c r="S559" s="32"/>
      <c r="T559" s="32"/>
      <c r="U559" s="37"/>
      <c r="V559" s="38"/>
      <c r="W559" s="38"/>
      <c r="X559" s="39"/>
      <c r="Y559" s="40"/>
      <c r="Z559" s="37"/>
      <c r="AA559" s="38"/>
      <c r="AB559" s="38"/>
      <c r="AC559" s="39"/>
      <c r="AD559" s="40"/>
      <c r="AE559" s="37"/>
      <c r="AF559" s="38"/>
      <c r="AG559" s="38"/>
      <c r="AH559" s="39"/>
      <c r="AI559" s="40"/>
      <c r="AJ559" s="39"/>
      <c r="AK559" s="28"/>
      <c r="AL559" s="28"/>
      <c r="AM559" s="28"/>
      <c r="AN559" s="42"/>
      <c r="AR559" s="30"/>
    </row>
    <row r="560" spans="4:44" x14ac:dyDescent="0.2">
      <c r="D560" s="27"/>
      <c r="I560" s="32"/>
      <c r="J560" s="32"/>
      <c r="K560" s="31"/>
      <c r="L560" s="31"/>
      <c r="M560" s="43"/>
      <c r="N560" s="43"/>
      <c r="O560" s="43"/>
      <c r="P560" s="43"/>
      <c r="Q560" s="32"/>
      <c r="R560" s="32"/>
      <c r="S560" s="32"/>
      <c r="T560" s="32"/>
      <c r="U560" s="37"/>
      <c r="V560" s="38"/>
      <c r="W560" s="38"/>
      <c r="X560" s="39"/>
      <c r="Y560" s="40"/>
      <c r="Z560" s="37"/>
      <c r="AA560" s="38"/>
      <c r="AB560" s="38"/>
      <c r="AC560" s="39"/>
      <c r="AD560" s="40"/>
      <c r="AE560" s="37"/>
      <c r="AF560" s="38"/>
      <c r="AG560" s="38"/>
      <c r="AH560" s="39"/>
      <c r="AI560" s="40"/>
      <c r="AJ560" s="39"/>
      <c r="AK560" s="28"/>
      <c r="AL560" s="28"/>
      <c r="AM560" s="28"/>
      <c r="AN560" s="42"/>
      <c r="AR560" s="30"/>
    </row>
    <row r="561" spans="4:44" x14ac:dyDescent="0.2">
      <c r="D561" s="27"/>
      <c r="I561" s="32"/>
      <c r="J561" s="32"/>
      <c r="K561" s="31"/>
      <c r="L561" s="31"/>
      <c r="M561" s="43"/>
      <c r="N561" s="43"/>
      <c r="O561" s="43"/>
      <c r="P561" s="43"/>
      <c r="Q561" s="32"/>
      <c r="R561" s="32"/>
      <c r="S561" s="32"/>
      <c r="T561" s="32"/>
      <c r="U561" s="37"/>
      <c r="V561" s="38"/>
      <c r="W561" s="38"/>
      <c r="X561" s="39"/>
      <c r="Y561" s="40"/>
      <c r="Z561" s="37"/>
      <c r="AA561" s="38"/>
      <c r="AB561" s="38"/>
      <c r="AC561" s="39"/>
      <c r="AD561" s="40"/>
      <c r="AE561" s="37"/>
      <c r="AF561" s="38"/>
      <c r="AG561" s="38"/>
      <c r="AH561" s="39"/>
      <c r="AI561" s="40"/>
      <c r="AJ561" s="39"/>
      <c r="AK561" s="28"/>
      <c r="AL561" s="28"/>
      <c r="AM561" s="28"/>
      <c r="AN561" s="42"/>
      <c r="AR561" s="30"/>
    </row>
    <row r="562" spans="4:44" x14ac:dyDescent="0.2">
      <c r="D562" s="27"/>
      <c r="I562" s="32"/>
      <c r="J562" s="32"/>
      <c r="K562" s="31"/>
      <c r="L562" s="31"/>
      <c r="M562" s="43"/>
      <c r="N562" s="43"/>
      <c r="O562" s="43"/>
      <c r="P562" s="43"/>
      <c r="Q562" s="32"/>
      <c r="R562" s="32"/>
      <c r="S562" s="32"/>
      <c r="T562" s="32"/>
      <c r="U562" s="37"/>
      <c r="V562" s="38"/>
      <c r="W562" s="38"/>
      <c r="X562" s="39"/>
      <c r="Y562" s="40"/>
      <c r="Z562" s="37"/>
      <c r="AA562" s="38"/>
      <c r="AB562" s="38"/>
      <c r="AC562" s="39"/>
      <c r="AD562" s="40"/>
      <c r="AE562" s="37"/>
      <c r="AF562" s="38"/>
      <c r="AG562" s="38"/>
      <c r="AH562" s="39"/>
      <c r="AI562" s="40"/>
      <c r="AJ562" s="39"/>
      <c r="AK562" s="28"/>
      <c r="AL562" s="28"/>
      <c r="AM562" s="28"/>
      <c r="AN562" s="42"/>
      <c r="AR562" s="30"/>
    </row>
    <row r="563" spans="4:44" x14ac:dyDescent="0.2">
      <c r="D563" s="27"/>
      <c r="I563" s="32"/>
      <c r="J563" s="32"/>
      <c r="K563" s="31"/>
      <c r="L563" s="31"/>
      <c r="M563" s="43"/>
      <c r="N563" s="43"/>
      <c r="O563" s="43"/>
      <c r="P563" s="43"/>
      <c r="Q563" s="32"/>
      <c r="R563" s="32"/>
      <c r="S563" s="32"/>
      <c r="T563" s="32"/>
      <c r="U563" s="37"/>
      <c r="V563" s="38"/>
      <c r="W563" s="38"/>
      <c r="X563" s="39"/>
      <c r="Y563" s="40"/>
      <c r="Z563" s="37"/>
      <c r="AA563" s="38"/>
      <c r="AB563" s="38"/>
      <c r="AC563" s="39"/>
      <c r="AD563" s="40"/>
      <c r="AE563" s="37"/>
      <c r="AF563" s="38"/>
      <c r="AG563" s="38"/>
      <c r="AH563" s="39"/>
      <c r="AI563" s="40"/>
      <c r="AJ563" s="39"/>
      <c r="AK563" s="28"/>
      <c r="AL563" s="28"/>
      <c r="AM563" s="28"/>
      <c r="AN563" s="42"/>
      <c r="AR563" s="30"/>
    </row>
    <row r="564" spans="4:44" x14ac:dyDescent="0.2">
      <c r="D564" s="27"/>
      <c r="I564" s="32"/>
      <c r="J564" s="32"/>
      <c r="K564" s="31"/>
      <c r="L564" s="31"/>
      <c r="M564" s="43"/>
      <c r="N564" s="43"/>
      <c r="O564" s="43"/>
      <c r="P564" s="43"/>
      <c r="Q564" s="32"/>
      <c r="R564" s="32"/>
      <c r="S564" s="32"/>
      <c r="T564" s="32"/>
      <c r="U564" s="37"/>
      <c r="V564" s="38"/>
      <c r="W564" s="38"/>
      <c r="X564" s="39"/>
      <c r="Y564" s="40"/>
      <c r="Z564" s="37"/>
      <c r="AA564" s="38"/>
      <c r="AB564" s="38"/>
      <c r="AC564" s="39"/>
      <c r="AD564" s="40"/>
      <c r="AE564" s="37"/>
      <c r="AF564" s="38"/>
      <c r="AG564" s="38"/>
      <c r="AH564" s="39"/>
      <c r="AI564" s="40"/>
      <c r="AJ564" s="39"/>
      <c r="AK564" s="28"/>
      <c r="AL564" s="28"/>
      <c r="AM564" s="28"/>
      <c r="AN564" s="42"/>
      <c r="AR564" s="30"/>
    </row>
    <row r="565" spans="4:44" x14ac:dyDescent="0.2">
      <c r="D565" s="27"/>
      <c r="I565" s="32"/>
      <c r="J565" s="32"/>
      <c r="K565" s="31"/>
      <c r="L565" s="31"/>
      <c r="M565" s="43"/>
      <c r="N565" s="43"/>
      <c r="O565" s="43"/>
      <c r="P565" s="43"/>
      <c r="Q565" s="32"/>
      <c r="R565" s="32"/>
      <c r="S565" s="32"/>
      <c r="T565" s="32"/>
      <c r="U565" s="37"/>
      <c r="V565" s="38"/>
      <c r="W565" s="38"/>
      <c r="X565" s="39"/>
      <c r="Y565" s="40"/>
      <c r="Z565" s="37"/>
      <c r="AA565" s="38"/>
      <c r="AB565" s="38"/>
      <c r="AC565" s="39"/>
      <c r="AD565" s="40"/>
      <c r="AE565" s="37"/>
      <c r="AF565" s="38"/>
      <c r="AG565" s="38"/>
      <c r="AH565" s="39"/>
      <c r="AI565" s="40"/>
      <c r="AJ565" s="39"/>
      <c r="AK565" s="28"/>
      <c r="AL565" s="28"/>
      <c r="AM565" s="28"/>
      <c r="AN565" s="42"/>
      <c r="AR565" s="30"/>
    </row>
    <row r="566" spans="4:44" x14ac:dyDescent="0.2">
      <c r="D566" s="27"/>
      <c r="I566" s="32"/>
      <c r="J566" s="32"/>
      <c r="K566" s="31"/>
      <c r="L566" s="31"/>
      <c r="M566" s="43"/>
      <c r="N566" s="43"/>
      <c r="O566" s="43"/>
      <c r="P566" s="43"/>
      <c r="Q566" s="32"/>
      <c r="R566" s="32"/>
      <c r="S566" s="32"/>
      <c r="T566" s="32"/>
      <c r="U566" s="37"/>
      <c r="V566" s="38"/>
      <c r="W566" s="38"/>
      <c r="X566" s="39"/>
      <c r="Y566" s="40"/>
      <c r="Z566" s="37"/>
      <c r="AA566" s="38"/>
      <c r="AB566" s="38"/>
      <c r="AC566" s="39"/>
      <c r="AD566" s="40"/>
      <c r="AE566" s="37"/>
      <c r="AF566" s="38"/>
      <c r="AG566" s="38"/>
      <c r="AH566" s="39"/>
      <c r="AI566" s="40"/>
      <c r="AJ566" s="39"/>
      <c r="AK566" s="28"/>
      <c r="AL566" s="28"/>
      <c r="AM566" s="28"/>
      <c r="AN566" s="42"/>
      <c r="AR566" s="30"/>
    </row>
    <row r="567" spans="4:44" x14ac:dyDescent="0.2">
      <c r="D567" s="27"/>
      <c r="I567" s="32"/>
      <c r="J567" s="32"/>
      <c r="K567" s="31"/>
      <c r="L567" s="31"/>
      <c r="M567" s="43"/>
      <c r="N567" s="43"/>
      <c r="O567" s="43"/>
      <c r="P567" s="43"/>
      <c r="Q567" s="32"/>
      <c r="R567" s="32"/>
      <c r="S567" s="32"/>
      <c r="T567" s="32"/>
      <c r="U567" s="37"/>
      <c r="V567" s="38"/>
      <c r="W567" s="38"/>
      <c r="X567" s="39"/>
      <c r="Y567" s="40"/>
      <c r="Z567" s="37"/>
      <c r="AA567" s="38"/>
      <c r="AB567" s="38"/>
      <c r="AC567" s="39"/>
      <c r="AD567" s="40"/>
      <c r="AE567" s="37"/>
      <c r="AF567" s="38"/>
      <c r="AG567" s="38"/>
      <c r="AH567" s="39"/>
      <c r="AI567" s="40"/>
      <c r="AJ567" s="39"/>
      <c r="AK567" s="28"/>
      <c r="AL567" s="28"/>
      <c r="AM567" s="28"/>
      <c r="AN567" s="42"/>
      <c r="AR567" s="30"/>
    </row>
    <row r="568" spans="4:44" x14ac:dyDescent="0.2">
      <c r="D568" s="27"/>
      <c r="I568" s="32"/>
      <c r="J568" s="32"/>
      <c r="K568" s="31"/>
      <c r="L568" s="31"/>
      <c r="M568" s="43"/>
      <c r="N568" s="43"/>
      <c r="O568" s="43"/>
      <c r="P568" s="43"/>
      <c r="Q568" s="32"/>
      <c r="R568" s="32"/>
      <c r="S568" s="32"/>
      <c r="T568" s="32"/>
      <c r="U568" s="37"/>
      <c r="V568" s="38"/>
      <c r="W568" s="38"/>
      <c r="X568" s="39"/>
      <c r="Y568" s="40"/>
      <c r="Z568" s="37"/>
      <c r="AA568" s="38"/>
      <c r="AB568" s="38"/>
      <c r="AC568" s="39"/>
      <c r="AD568" s="40"/>
      <c r="AE568" s="37"/>
      <c r="AF568" s="38"/>
      <c r="AG568" s="38"/>
      <c r="AH568" s="39"/>
      <c r="AI568" s="40"/>
      <c r="AJ568" s="39"/>
      <c r="AK568" s="28"/>
      <c r="AL568" s="28"/>
      <c r="AM568" s="28"/>
      <c r="AN568" s="42"/>
      <c r="AR568" s="30"/>
    </row>
    <row r="569" spans="4:44" x14ac:dyDescent="0.2">
      <c r="D569" s="27"/>
      <c r="I569" s="32"/>
      <c r="J569" s="32"/>
      <c r="K569" s="31"/>
      <c r="L569" s="31"/>
      <c r="M569" s="43"/>
      <c r="N569" s="43"/>
      <c r="O569" s="43"/>
      <c r="P569" s="43"/>
      <c r="Q569" s="32"/>
      <c r="R569" s="32"/>
      <c r="S569" s="32"/>
      <c r="T569" s="32"/>
      <c r="U569" s="37"/>
      <c r="V569" s="38"/>
      <c r="W569" s="38"/>
      <c r="X569" s="39"/>
      <c r="Y569" s="40"/>
      <c r="Z569" s="37"/>
      <c r="AA569" s="38"/>
      <c r="AB569" s="38"/>
      <c r="AC569" s="39"/>
      <c r="AD569" s="40"/>
      <c r="AE569" s="37"/>
      <c r="AF569" s="38"/>
      <c r="AG569" s="38"/>
      <c r="AH569" s="39"/>
      <c r="AI569" s="40"/>
      <c r="AJ569" s="39"/>
      <c r="AK569" s="28"/>
      <c r="AL569" s="28"/>
      <c r="AM569" s="28"/>
      <c r="AN569" s="42"/>
      <c r="AR569" s="30"/>
    </row>
    <row r="570" spans="4:44" x14ac:dyDescent="0.2">
      <c r="D570" s="27"/>
      <c r="I570" s="32"/>
      <c r="J570" s="32"/>
      <c r="K570" s="31"/>
      <c r="L570" s="31"/>
      <c r="M570" s="43"/>
      <c r="N570" s="43"/>
      <c r="O570" s="43"/>
      <c r="P570" s="43"/>
      <c r="Q570" s="32"/>
      <c r="R570" s="32"/>
      <c r="S570" s="32"/>
      <c r="T570" s="32"/>
      <c r="U570" s="37"/>
      <c r="V570" s="38"/>
      <c r="W570" s="38"/>
      <c r="X570" s="39"/>
      <c r="Y570" s="40"/>
      <c r="Z570" s="37"/>
      <c r="AA570" s="38"/>
      <c r="AB570" s="38"/>
      <c r="AC570" s="39"/>
      <c r="AD570" s="40"/>
      <c r="AE570" s="37"/>
      <c r="AF570" s="38"/>
      <c r="AG570" s="38"/>
      <c r="AH570" s="39"/>
      <c r="AI570" s="40"/>
      <c r="AJ570" s="39"/>
      <c r="AK570" s="28"/>
      <c r="AL570" s="28"/>
      <c r="AM570" s="28"/>
      <c r="AN570" s="42"/>
      <c r="AR570" s="30"/>
    </row>
    <row r="571" spans="4:44" x14ac:dyDescent="0.2">
      <c r="D571" s="27"/>
      <c r="I571" s="32"/>
      <c r="J571" s="32"/>
      <c r="K571" s="31"/>
      <c r="L571" s="31"/>
      <c r="M571" s="43"/>
      <c r="N571" s="43"/>
      <c r="O571" s="43"/>
      <c r="P571" s="43"/>
      <c r="Q571" s="32"/>
      <c r="R571" s="32"/>
      <c r="S571" s="32"/>
      <c r="T571" s="32"/>
      <c r="U571" s="37"/>
      <c r="V571" s="38"/>
      <c r="W571" s="38"/>
      <c r="X571" s="39"/>
      <c r="Y571" s="40"/>
      <c r="Z571" s="37"/>
      <c r="AA571" s="38"/>
      <c r="AB571" s="38"/>
      <c r="AC571" s="39"/>
      <c r="AD571" s="40"/>
      <c r="AE571" s="37"/>
      <c r="AF571" s="38"/>
      <c r="AG571" s="38"/>
      <c r="AH571" s="39"/>
      <c r="AI571" s="40"/>
      <c r="AJ571" s="39"/>
      <c r="AK571" s="28"/>
      <c r="AL571" s="28"/>
      <c r="AM571" s="28"/>
      <c r="AN571" s="42"/>
      <c r="AR571" s="30"/>
    </row>
    <row r="572" spans="4:44" x14ac:dyDescent="0.2">
      <c r="D572" s="27"/>
      <c r="I572" s="32"/>
      <c r="J572" s="32"/>
      <c r="K572" s="31"/>
      <c r="L572" s="31"/>
      <c r="M572" s="43"/>
      <c r="N572" s="43"/>
      <c r="O572" s="43"/>
      <c r="P572" s="43"/>
      <c r="Q572" s="32"/>
      <c r="R572" s="32"/>
      <c r="S572" s="32"/>
      <c r="T572" s="32"/>
      <c r="U572" s="37"/>
      <c r="V572" s="38"/>
      <c r="W572" s="38"/>
      <c r="X572" s="39"/>
      <c r="Y572" s="40"/>
      <c r="Z572" s="37"/>
      <c r="AA572" s="38"/>
      <c r="AB572" s="38"/>
      <c r="AC572" s="39"/>
      <c r="AD572" s="40"/>
      <c r="AE572" s="37"/>
      <c r="AF572" s="38"/>
      <c r="AG572" s="38"/>
      <c r="AH572" s="39"/>
      <c r="AI572" s="40"/>
      <c r="AJ572" s="39"/>
      <c r="AK572" s="28"/>
      <c r="AL572" s="28"/>
      <c r="AM572" s="28"/>
      <c r="AN572" s="42"/>
      <c r="AR572" s="30"/>
    </row>
    <row r="573" spans="4:44" x14ac:dyDescent="0.2">
      <c r="D573" s="27"/>
      <c r="I573" s="32"/>
      <c r="J573" s="32"/>
      <c r="K573" s="31"/>
      <c r="L573" s="31"/>
      <c r="M573" s="43"/>
      <c r="N573" s="43"/>
      <c r="O573" s="43"/>
      <c r="P573" s="43"/>
      <c r="Q573" s="32"/>
      <c r="R573" s="32"/>
      <c r="S573" s="32"/>
      <c r="T573" s="32"/>
      <c r="U573" s="37"/>
      <c r="V573" s="38"/>
      <c r="W573" s="38"/>
      <c r="X573" s="39"/>
      <c r="Y573" s="40"/>
      <c r="Z573" s="37"/>
      <c r="AA573" s="38"/>
      <c r="AB573" s="38"/>
      <c r="AC573" s="39"/>
      <c r="AD573" s="40"/>
      <c r="AE573" s="37"/>
      <c r="AF573" s="38"/>
      <c r="AG573" s="38"/>
      <c r="AH573" s="39"/>
      <c r="AI573" s="40"/>
      <c r="AJ573" s="39"/>
      <c r="AK573" s="28"/>
      <c r="AL573" s="28"/>
      <c r="AM573" s="28"/>
      <c r="AN573" s="42"/>
      <c r="AR573" s="30"/>
    </row>
    <row r="574" spans="4:44" x14ac:dyDescent="0.2">
      <c r="D574" s="27"/>
      <c r="I574" s="32"/>
      <c r="J574" s="32"/>
      <c r="K574" s="31"/>
      <c r="L574" s="31"/>
      <c r="M574" s="43"/>
      <c r="N574" s="43"/>
      <c r="O574" s="43"/>
      <c r="P574" s="43"/>
      <c r="Q574" s="32"/>
      <c r="R574" s="32"/>
      <c r="S574" s="32"/>
      <c r="T574" s="32"/>
      <c r="U574" s="37"/>
      <c r="V574" s="38"/>
      <c r="W574" s="38"/>
      <c r="X574" s="39"/>
      <c r="Y574" s="40"/>
      <c r="Z574" s="37"/>
      <c r="AA574" s="38"/>
      <c r="AB574" s="38"/>
      <c r="AC574" s="39"/>
      <c r="AD574" s="40"/>
      <c r="AE574" s="37"/>
      <c r="AF574" s="38"/>
      <c r="AG574" s="38"/>
      <c r="AH574" s="39"/>
      <c r="AI574" s="40"/>
      <c r="AJ574" s="39"/>
      <c r="AK574" s="28"/>
      <c r="AL574" s="28"/>
      <c r="AM574" s="28"/>
      <c r="AN574" s="42"/>
      <c r="AR574" s="30"/>
    </row>
    <row r="575" spans="4:44" x14ac:dyDescent="0.2">
      <c r="D575" s="27"/>
      <c r="I575" s="32"/>
      <c r="J575" s="32"/>
      <c r="K575" s="31"/>
      <c r="L575" s="31"/>
      <c r="M575" s="43"/>
      <c r="N575" s="43"/>
      <c r="O575" s="43"/>
      <c r="P575" s="43"/>
      <c r="Q575" s="32"/>
      <c r="R575" s="32"/>
      <c r="S575" s="32"/>
      <c r="T575" s="32"/>
      <c r="U575" s="37"/>
      <c r="V575" s="38"/>
      <c r="W575" s="38"/>
      <c r="X575" s="39"/>
      <c r="Y575" s="40"/>
      <c r="Z575" s="37"/>
      <c r="AA575" s="38"/>
      <c r="AB575" s="38"/>
      <c r="AC575" s="39"/>
      <c r="AD575" s="40"/>
      <c r="AE575" s="37"/>
      <c r="AF575" s="38"/>
      <c r="AG575" s="38"/>
      <c r="AH575" s="39"/>
      <c r="AI575" s="40"/>
      <c r="AJ575" s="39"/>
      <c r="AK575" s="28"/>
      <c r="AL575" s="28"/>
      <c r="AM575" s="28"/>
      <c r="AN575" s="42"/>
      <c r="AR575" s="30"/>
    </row>
    <row r="576" spans="4:44" x14ac:dyDescent="0.2">
      <c r="D576" s="27"/>
      <c r="I576" s="32"/>
      <c r="J576" s="32"/>
      <c r="K576" s="31"/>
      <c r="L576" s="31"/>
      <c r="M576" s="43"/>
      <c r="N576" s="43"/>
      <c r="O576" s="43"/>
      <c r="P576" s="43"/>
      <c r="Q576" s="32"/>
      <c r="R576" s="32"/>
      <c r="S576" s="32"/>
      <c r="T576" s="32"/>
      <c r="U576" s="37"/>
      <c r="V576" s="38"/>
      <c r="W576" s="38"/>
      <c r="X576" s="39"/>
      <c r="Y576" s="40"/>
      <c r="Z576" s="37"/>
      <c r="AA576" s="38"/>
      <c r="AB576" s="38"/>
      <c r="AC576" s="39"/>
      <c r="AD576" s="40"/>
      <c r="AE576" s="37"/>
      <c r="AF576" s="38"/>
      <c r="AG576" s="38"/>
      <c r="AH576" s="39"/>
      <c r="AI576" s="40"/>
      <c r="AJ576" s="39"/>
      <c r="AK576" s="28"/>
      <c r="AL576" s="28"/>
      <c r="AM576" s="28"/>
      <c r="AN576" s="42"/>
      <c r="AR576" s="30"/>
    </row>
    <row r="577" spans="4:44" x14ac:dyDescent="0.2">
      <c r="D577" s="27"/>
      <c r="I577" s="32"/>
      <c r="J577" s="32"/>
      <c r="K577" s="31"/>
      <c r="L577" s="31"/>
      <c r="M577" s="43"/>
      <c r="N577" s="43"/>
      <c r="O577" s="43"/>
      <c r="P577" s="43"/>
      <c r="Q577" s="32"/>
      <c r="R577" s="32"/>
      <c r="S577" s="32"/>
      <c r="T577" s="32"/>
      <c r="U577" s="37"/>
      <c r="V577" s="38"/>
      <c r="W577" s="38"/>
      <c r="X577" s="39"/>
      <c r="Y577" s="40"/>
      <c r="Z577" s="37"/>
      <c r="AA577" s="38"/>
      <c r="AB577" s="38"/>
      <c r="AC577" s="39"/>
      <c r="AD577" s="40"/>
      <c r="AE577" s="37"/>
      <c r="AF577" s="38"/>
      <c r="AG577" s="38"/>
      <c r="AH577" s="39"/>
      <c r="AI577" s="40"/>
      <c r="AJ577" s="39"/>
      <c r="AK577" s="28"/>
      <c r="AL577" s="28"/>
      <c r="AM577" s="28"/>
      <c r="AN577" s="42"/>
      <c r="AR577" s="30"/>
    </row>
    <row r="578" spans="4:44" x14ac:dyDescent="0.2">
      <c r="D578" s="27"/>
      <c r="I578" s="32"/>
      <c r="J578" s="32"/>
      <c r="K578" s="31"/>
      <c r="L578" s="31"/>
      <c r="M578" s="43"/>
      <c r="N578" s="43"/>
      <c r="O578" s="43"/>
      <c r="P578" s="43"/>
      <c r="Q578" s="32"/>
      <c r="R578" s="32"/>
      <c r="S578" s="32"/>
      <c r="T578" s="32"/>
      <c r="U578" s="37"/>
      <c r="V578" s="38"/>
      <c r="W578" s="38"/>
      <c r="X578" s="39"/>
      <c r="Y578" s="40"/>
      <c r="Z578" s="37"/>
      <c r="AA578" s="38"/>
      <c r="AB578" s="38"/>
      <c r="AC578" s="39"/>
      <c r="AD578" s="40"/>
      <c r="AE578" s="37"/>
      <c r="AF578" s="38"/>
      <c r="AG578" s="38"/>
      <c r="AH578" s="39"/>
      <c r="AI578" s="40"/>
      <c r="AJ578" s="39"/>
      <c r="AK578" s="28"/>
      <c r="AL578" s="28"/>
      <c r="AM578" s="28"/>
      <c r="AN578" s="42"/>
      <c r="AR578" s="30"/>
    </row>
    <row r="579" spans="4:44" x14ac:dyDescent="0.2">
      <c r="D579" s="27"/>
      <c r="I579" s="32"/>
      <c r="J579" s="32"/>
      <c r="K579" s="31"/>
      <c r="L579" s="31"/>
      <c r="M579" s="43"/>
      <c r="N579" s="43"/>
      <c r="O579" s="43"/>
      <c r="P579" s="43"/>
      <c r="Q579" s="32"/>
      <c r="R579" s="32"/>
      <c r="S579" s="32"/>
      <c r="T579" s="32"/>
      <c r="U579" s="37"/>
      <c r="V579" s="38"/>
      <c r="W579" s="38"/>
      <c r="X579" s="39"/>
      <c r="Y579" s="40"/>
      <c r="Z579" s="37"/>
      <c r="AA579" s="38"/>
      <c r="AB579" s="38"/>
      <c r="AC579" s="39"/>
      <c r="AD579" s="40"/>
      <c r="AE579" s="37"/>
      <c r="AF579" s="38"/>
      <c r="AG579" s="38"/>
      <c r="AH579" s="39"/>
      <c r="AI579" s="40"/>
      <c r="AJ579" s="39"/>
      <c r="AK579" s="28"/>
      <c r="AL579" s="28"/>
      <c r="AM579" s="28"/>
      <c r="AN579" s="42"/>
      <c r="AR579" s="30"/>
    </row>
    <row r="580" spans="4:44" x14ac:dyDescent="0.2">
      <c r="D580" s="27"/>
      <c r="I580" s="32"/>
      <c r="J580" s="32"/>
      <c r="K580" s="31"/>
      <c r="L580" s="31"/>
      <c r="M580" s="43"/>
      <c r="N580" s="43"/>
      <c r="O580" s="43"/>
      <c r="P580" s="43"/>
      <c r="Q580" s="32"/>
      <c r="R580" s="32"/>
      <c r="S580" s="32"/>
      <c r="T580" s="32"/>
      <c r="U580" s="37"/>
      <c r="V580" s="38"/>
      <c r="W580" s="38"/>
      <c r="X580" s="39"/>
      <c r="Y580" s="40"/>
      <c r="Z580" s="37"/>
      <c r="AA580" s="38"/>
      <c r="AB580" s="38"/>
      <c r="AC580" s="39"/>
      <c r="AD580" s="40"/>
      <c r="AE580" s="37"/>
      <c r="AF580" s="38"/>
      <c r="AG580" s="38"/>
      <c r="AH580" s="39"/>
      <c r="AI580" s="40"/>
      <c r="AJ580" s="39"/>
      <c r="AK580" s="28"/>
      <c r="AL580" s="28"/>
      <c r="AM580" s="28"/>
      <c r="AN580" s="42"/>
      <c r="AR580" s="30"/>
    </row>
    <row r="581" spans="4:44" x14ac:dyDescent="0.2">
      <c r="D581" s="27"/>
      <c r="I581" s="32"/>
      <c r="J581" s="32"/>
      <c r="K581" s="31"/>
      <c r="L581" s="31"/>
      <c r="M581" s="43"/>
      <c r="N581" s="43"/>
      <c r="O581" s="43"/>
      <c r="P581" s="43"/>
      <c r="Q581" s="32"/>
      <c r="R581" s="32"/>
      <c r="S581" s="32"/>
      <c r="T581" s="32"/>
      <c r="U581" s="37"/>
      <c r="V581" s="38"/>
      <c r="W581" s="38"/>
      <c r="X581" s="39"/>
      <c r="Y581" s="40"/>
      <c r="Z581" s="37"/>
      <c r="AA581" s="38"/>
      <c r="AB581" s="38"/>
      <c r="AC581" s="39"/>
      <c r="AD581" s="40"/>
      <c r="AE581" s="37"/>
      <c r="AF581" s="38"/>
      <c r="AG581" s="38"/>
      <c r="AH581" s="39"/>
      <c r="AI581" s="40"/>
      <c r="AJ581" s="39"/>
      <c r="AK581" s="28"/>
      <c r="AL581" s="28"/>
      <c r="AM581" s="28"/>
      <c r="AN581" s="42"/>
      <c r="AR581" s="30"/>
    </row>
    <row r="582" spans="4:44" x14ac:dyDescent="0.2">
      <c r="D582" s="27"/>
      <c r="I582" s="32"/>
      <c r="J582" s="32"/>
      <c r="K582" s="31"/>
      <c r="L582" s="31"/>
      <c r="M582" s="43"/>
      <c r="N582" s="43"/>
      <c r="O582" s="43"/>
      <c r="P582" s="43"/>
      <c r="Q582" s="32"/>
      <c r="R582" s="32"/>
      <c r="S582" s="32"/>
      <c r="T582" s="32"/>
      <c r="U582" s="37"/>
      <c r="V582" s="38"/>
      <c r="W582" s="38"/>
      <c r="X582" s="39"/>
      <c r="Y582" s="40"/>
      <c r="Z582" s="37"/>
      <c r="AA582" s="38"/>
      <c r="AB582" s="38"/>
      <c r="AC582" s="39"/>
      <c r="AD582" s="40"/>
      <c r="AE582" s="37"/>
      <c r="AF582" s="38"/>
      <c r="AG582" s="38"/>
      <c r="AH582" s="39"/>
      <c r="AI582" s="40"/>
      <c r="AJ582" s="39"/>
      <c r="AK582" s="28"/>
      <c r="AL582" s="28"/>
      <c r="AM582" s="28"/>
      <c r="AN582" s="42"/>
      <c r="AR582" s="30"/>
    </row>
    <row r="583" spans="4:44" x14ac:dyDescent="0.2">
      <c r="D583" s="27"/>
      <c r="I583" s="32"/>
      <c r="J583" s="32"/>
      <c r="K583" s="31"/>
      <c r="L583" s="31"/>
      <c r="M583" s="43"/>
      <c r="N583" s="43"/>
      <c r="O583" s="43"/>
      <c r="P583" s="43"/>
      <c r="Q583" s="32"/>
      <c r="R583" s="32"/>
      <c r="S583" s="32"/>
      <c r="T583" s="32"/>
      <c r="U583" s="37"/>
      <c r="V583" s="38"/>
      <c r="W583" s="38"/>
      <c r="X583" s="39"/>
      <c r="Y583" s="40"/>
      <c r="Z583" s="37"/>
      <c r="AA583" s="38"/>
      <c r="AB583" s="38"/>
      <c r="AC583" s="39"/>
      <c r="AD583" s="40"/>
      <c r="AE583" s="37"/>
      <c r="AF583" s="38"/>
      <c r="AG583" s="38"/>
      <c r="AH583" s="39"/>
      <c r="AI583" s="40"/>
      <c r="AJ583" s="39"/>
      <c r="AK583" s="28"/>
      <c r="AL583" s="28"/>
      <c r="AM583" s="28"/>
      <c r="AN583" s="42"/>
      <c r="AR583" s="30"/>
    </row>
    <row r="584" spans="4:44" x14ac:dyDescent="0.2">
      <c r="D584" s="27"/>
      <c r="I584" s="32"/>
      <c r="J584" s="32"/>
      <c r="K584" s="31"/>
      <c r="L584" s="31"/>
      <c r="M584" s="43"/>
      <c r="N584" s="43"/>
      <c r="O584" s="43"/>
      <c r="P584" s="43"/>
      <c r="Q584" s="32"/>
      <c r="R584" s="32"/>
      <c r="S584" s="32"/>
      <c r="T584" s="32"/>
      <c r="U584" s="37"/>
      <c r="V584" s="38"/>
      <c r="W584" s="38"/>
      <c r="X584" s="39"/>
      <c r="Y584" s="40"/>
      <c r="Z584" s="37"/>
      <c r="AA584" s="38"/>
      <c r="AB584" s="38"/>
      <c r="AC584" s="39"/>
      <c r="AD584" s="40"/>
      <c r="AE584" s="37"/>
      <c r="AF584" s="38"/>
      <c r="AG584" s="38"/>
      <c r="AH584" s="39"/>
      <c r="AI584" s="40"/>
      <c r="AJ584" s="39"/>
      <c r="AK584" s="28"/>
      <c r="AL584" s="28"/>
      <c r="AM584" s="28"/>
      <c r="AN584" s="42"/>
      <c r="AR584" s="30"/>
    </row>
    <row r="585" spans="4:44" x14ac:dyDescent="0.2">
      <c r="D585" s="27"/>
      <c r="I585" s="32"/>
      <c r="J585" s="32"/>
      <c r="K585" s="31"/>
      <c r="L585" s="31"/>
      <c r="M585" s="43"/>
      <c r="N585" s="43"/>
      <c r="O585" s="43"/>
      <c r="P585" s="43"/>
      <c r="Q585" s="32"/>
      <c r="R585" s="32"/>
      <c r="S585" s="32"/>
      <c r="T585" s="32"/>
      <c r="U585" s="37"/>
      <c r="V585" s="38"/>
      <c r="W585" s="38"/>
      <c r="X585" s="39"/>
      <c r="Y585" s="40"/>
      <c r="Z585" s="37"/>
      <c r="AA585" s="38"/>
      <c r="AB585" s="38"/>
      <c r="AC585" s="39"/>
      <c r="AD585" s="40"/>
      <c r="AE585" s="37"/>
      <c r="AF585" s="38"/>
      <c r="AG585" s="38"/>
      <c r="AH585" s="39"/>
      <c r="AI585" s="40"/>
      <c r="AJ585" s="39"/>
      <c r="AK585" s="28"/>
      <c r="AL585" s="28"/>
      <c r="AM585" s="28"/>
      <c r="AN585" s="42"/>
      <c r="AR585" s="30"/>
    </row>
    <row r="586" spans="4:44" x14ac:dyDescent="0.2">
      <c r="D586" s="27"/>
      <c r="I586" s="32"/>
      <c r="J586" s="32"/>
      <c r="K586" s="31"/>
      <c r="L586" s="31"/>
      <c r="M586" s="43"/>
      <c r="N586" s="43"/>
      <c r="O586" s="43"/>
      <c r="P586" s="43"/>
      <c r="Q586" s="32"/>
      <c r="R586" s="32"/>
      <c r="S586" s="32"/>
      <c r="T586" s="32"/>
      <c r="U586" s="37"/>
      <c r="V586" s="38"/>
      <c r="W586" s="38"/>
      <c r="X586" s="39"/>
      <c r="Y586" s="40"/>
      <c r="Z586" s="37"/>
      <c r="AA586" s="38"/>
      <c r="AB586" s="38"/>
      <c r="AC586" s="39"/>
      <c r="AD586" s="40"/>
      <c r="AE586" s="37"/>
      <c r="AF586" s="38"/>
      <c r="AG586" s="38"/>
      <c r="AH586" s="39"/>
      <c r="AI586" s="40"/>
      <c r="AJ586" s="39"/>
      <c r="AK586" s="28"/>
      <c r="AL586" s="28"/>
      <c r="AM586" s="28"/>
      <c r="AN586" s="42"/>
      <c r="AR586" s="30"/>
    </row>
    <row r="587" spans="4:44" x14ac:dyDescent="0.2">
      <c r="D587" s="27"/>
      <c r="I587" s="32"/>
      <c r="J587" s="32"/>
      <c r="K587" s="31"/>
      <c r="L587" s="31"/>
      <c r="M587" s="43"/>
      <c r="N587" s="43"/>
      <c r="O587" s="43"/>
      <c r="P587" s="43"/>
      <c r="Q587" s="32"/>
      <c r="R587" s="32"/>
      <c r="S587" s="32"/>
      <c r="T587" s="32"/>
      <c r="U587" s="37"/>
      <c r="V587" s="38"/>
      <c r="W587" s="38"/>
      <c r="X587" s="39"/>
      <c r="Y587" s="40"/>
      <c r="Z587" s="37"/>
      <c r="AA587" s="38"/>
      <c r="AB587" s="38"/>
      <c r="AC587" s="39"/>
      <c r="AD587" s="40"/>
      <c r="AE587" s="37"/>
      <c r="AF587" s="38"/>
      <c r="AG587" s="38"/>
      <c r="AH587" s="39"/>
      <c r="AI587" s="40"/>
      <c r="AJ587" s="39"/>
      <c r="AK587" s="28"/>
      <c r="AL587" s="28"/>
      <c r="AM587" s="28"/>
      <c r="AN587" s="42"/>
      <c r="AR587" s="30"/>
    </row>
    <row r="588" spans="4:44" x14ac:dyDescent="0.2">
      <c r="D588" s="27"/>
      <c r="I588" s="32"/>
      <c r="J588" s="32"/>
      <c r="K588" s="31"/>
      <c r="L588" s="31"/>
      <c r="M588" s="43"/>
      <c r="N588" s="43"/>
      <c r="O588" s="43"/>
      <c r="P588" s="43"/>
      <c r="Q588" s="32"/>
      <c r="R588" s="32"/>
      <c r="S588" s="32"/>
      <c r="T588" s="32"/>
      <c r="U588" s="37"/>
      <c r="V588" s="38"/>
      <c r="W588" s="38"/>
      <c r="X588" s="39"/>
      <c r="Y588" s="40"/>
      <c r="Z588" s="37"/>
      <c r="AA588" s="38"/>
      <c r="AB588" s="38"/>
      <c r="AC588" s="39"/>
      <c r="AD588" s="40"/>
      <c r="AE588" s="37"/>
      <c r="AF588" s="38"/>
      <c r="AG588" s="38"/>
      <c r="AH588" s="39"/>
      <c r="AI588" s="40"/>
      <c r="AJ588" s="39"/>
      <c r="AK588" s="28"/>
      <c r="AL588" s="28"/>
      <c r="AM588" s="28"/>
      <c r="AN588" s="42"/>
      <c r="AR588" s="30"/>
    </row>
    <row r="589" spans="4:44" x14ac:dyDescent="0.2">
      <c r="D589" s="27"/>
      <c r="I589" s="32"/>
      <c r="J589" s="32"/>
      <c r="K589" s="31"/>
      <c r="L589" s="31"/>
      <c r="M589" s="43"/>
      <c r="N589" s="43"/>
      <c r="O589" s="43"/>
      <c r="P589" s="43"/>
      <c r="Q589" s="32"/>
      <c r="R589" s="32"/>
      <c r="S589" s="32"/>
      <c r="T589" s="32"/>
      <c r="U589" s="37"/>
      <c r="V589" s="38"/>
      <c r="W589" s="38"/>
      <c r="X589" s="39"/>
      <c r="Y589" s="40"/>
      <c r="Z589" s="37"/>
      <c r="AA589" s="38"/>
      <c r="AB589" s="38"/>
      <c r="AC589" s="39"/>
      <c r="AD589" s="40"/>
      <c r="AE589" s="37"/>
      <c r="AF589" s="38"/>
      <c r="AG589" s="38"/>
      <c r="AH589" s="39"/>
      <c r="AI589" s="40"/>
      <c r="AJ589" s="39"/>
      <c r="AK589" s="28"/>
      <c r="AL589" s="28"/>
      <c r="AM589" s="28"/>
      <c r="AN589" s="42"/>
      <c r="AR589" s="30"/>
    </row>
    <row r="590" spans="4:44" x14ac:dyDescent="0.2">
      <c r="D590" s="27"/>
      <c r="I590" s="32"/>
      <c r="J590" s="32"/>
      <c r="K590" s="31"/>
      <c r="L590" s="31"/>
      <c r="M590" s="43"/>
      <c r="N590" s="43"/>
      <c r="O590" s="43"/>
      <c r="P590" s="43"/>
      <c r="Q590" s="32"/>
      <c r="R590" s="32"/>
      <c r="S590" s="32"/>
      <c r="T590" s="32"/>
      <c r="U590" s="37"/>
      <c r="V590" s="38"/>
      <c r="W590" s="38"/>
      <c r="X590" s="39"/>
      <c r="Y590" s="40"/>
      <c r="Z590" s="37"/>
      <c r="AA590" s="38"/>
      <c r="AB590" s="38"/>
      <c r="AC590" s="39"/>
      <c r="AD590" s="40"/>
      <c r="AE590" s="37"/>
      <c r="AF590" s="38"/>
      <c r="AG590" s="38"/>
      <c r="AH590" s="39"/>
      <c r="AI590" s="40"/>
      <c r="AJ590" s="39"/>
      <c r="AK590" s="28"/>
      <c r="AL590" s="28"/>
      <c r="AM590" s="28"/>
      <c r="AN590" s="42"/>
      <c r="AR590" s="30"/>
    </row>
    <row r="591" spans="4:44" x14ac:dyDescent="0.2">
      <c r="D591" s="27"/>
      <c r="I591" s="32"/>
      <c r="J591" s="32"/>
      <c r="K591" s="31"/>
      <c r="L591" s="31"/>
      <c r="M591" s="43"/>
      <c r="N591" s="43"/>
      <c r="O591" s="43"/>
      <c r="P591" s="43"/>
      <c r="Q591" s="32"/>
      <c r="R591" s="32"/>
      <c r="S591" s="32"/>
      <c r="T591" s="32"/>
      <c r="U591" s="37"/>
      <c r="V591" s="38"/>
      <c r="W591" s="38"/>
      <c r="X591" s="39"/>
      <c r="Y591" s="40"/>
      <c r="Z591" s="37"/>
      <c r="AA591" s="38"/>
      <c r="AB591" s="38"/>
      <c r="AC591" s="39"/>
      <c r="AD591" s="40"/>
      <c r="AE591" s="37"/>
      <c r="AF591" s="38"/>
      <c r="AG591" s="38"/>
      <c r="AH591" s="39"/>
      <c r="AI591" s="40"/>
      <c r="AJ591" s="39"/>
      <c r="AK591" s="28"/>
      <c r="AL591" s="28"/>
      <c r="AM591" s="28"/>
      <c r="AN591" s="42"/>
      <c r="AR591" s="30"/>
    </row>
    <row r="592" spans="4:44" x14ac:dyDescent="0.2">
      <c r="D592" s="27"/>
      <c r="I592" s="32"/>
      <c r="J592" s="32"/>
      <c r="K592" s="31"/>
      <c r="L592" s="31"/>
      <c r="M592" s="43"/>
      <c r="N592" s="43"/>
      <c r="O592" s="43"/>
      <c r="P592" s="43"/>
      <c r="Q592" s="32"/>
      <c r="R592" s="32"/>
      <c r="S592" s="32"/>
      <c r="T592" s="32"/>
      <c r="U592" s="37"/>
      <c r="V592" s="38"/>
      <c r="W592" s="38"/>
      <c r="X592" s="39"/>
      <c r="Y592" s="40"/>
      <c r="Z592" s="37"/>
      <c r="AA592" s="38"/>
      <c r="AB592" s="38"/>
      <c r="AC592" s="39"/>
      <c r="AD592" s="40"/>
      <c r="AE592" s="37"/>
      <c r="AF592" s="38"/>
      <c r="AG592" s="38"/>
      <c r="AH592" s="39"/>
      <c r="AI592" s="40"/>
      <c r="AJ592" s="39"/>
      <c r="AK592" s="28"/>
      <c r="AL592" s="28"/>
      <c r="AM592" s="28"/>
      <c r="AN592" s="42"/>
      <c r="AR592" s="30"/>
    </row>
    <row r="593" spans="4:44" x14ac:dyDescent="0.2">
      <c r="D593" s="27"/>
      <c r="I593" s="32"/>
      <c r="J593" s="32"/>
      <c r="K593" s="31"/>
      <c r="L593" s="31"/>
      <c r="M593" s="43"/>
      <c r="N593" s="43"/>
      <c r="O593" s="43"/>
      <c r="P593" s="43"/>
      <c r="Q593" s="32"/>
      <c r="R593" s="32"/>
      <c r="S593" s="32"/>
      <c r="T593" s="32"/>
      <c r="U593" s="37"/>
      <c r="V593" s="38"/>
      <c r="W593" s="38"/>
      <c r="X593" s="39"/>
      <c r="Y593" s="40"/>
      <c r="Z593" s="37"/>
      <c r="AA593" s="38"/>
      <c r="AB593" s="38"/>
      <c r="AC593" s="39"/>
      <c r="AD593" s="40"/>
      <c r="AE593" s="37"/>
      <c r="AF593" s="38"/>
      <c r="AG593" s="38"/>
      <c r="AH593" s="39"/>
      <c r="AI593" s="40"/>
      <c r="AJ593" s="39"/>
      <c r="AK593" s="28"/>
      <c r="AL593" s="28"/>
      <c r="AM593" s="28"/>
      <c r="AN593" s="42"/>
      <c r="AR593" s="30"/>
    </row>
    <row r="594" spans="4:44" x14ac:dyDescent="0.2">
      <c r="D594" s="27"/>
      <c r="I594" s="32"/>
      <c r="J594" s="32"/>
      <c r="K594" s="31"/>
      <c r="L594" s="31"/>
      <c r="M594" s="43"/>
      <c r="N594" s="43"/>
      <c r="O594" s="43"/>
      <c r="P594" s="43"/>
      <c r="Q594" s="32"/>
      <c r="R594" s="32"/>
      <c r="S594" s="32"/>
      <c r="T594" s="32"/>
      <c r="U594" s="37"/>
      <c r="V594" s="38"/>
      <c r="W594" s="38"/>
      <c r="X594" s="39"/>
      <c r="Y594" s="40"/>
      <c r="Z594" s="37"/>
      <c r="AA594" s="38"/>
      <c r="AB594" s="38"/>
      <c r="AC594" s="39"/>
      <c r="AD594" s="40"/>
      <c r="AE594" s="37"/>
      <c r="AF594" s="38"/>
      <c r="AG594" s="38"/>
      <c r="AH594" s="39"/>
      <c r="AI594" s="40"/>
      <c r="AJ594" s="39"/>
      <c r="AK594" s="28"/>
      <c r="AL594" s="28"/>
      <c r="AM594" s="28"/>
      <c r="AN594" s="42"/>
      <c r="AR594" s="30"/>
    </row>
    <row r="595" spans="4:44" x14ac:dyDescent="0.2">
      <c r="D595" s="27"/>
      <c r="I595" s="32"/>
      <c r="J595" s="32"/>
      <c r="K595" s="31"/>
      <c r="L595" s="31"/>
      <c r="M595" s="43"/>
      <c r="N595" s="43"/>
      <c r="O595" s="43"/>
      <c r="P595" s="43"/>
      <c r="Q595" s="32"/>
      <c r="R595" s="32"/>
      <c r="S595" s="32"/>
      <c r="T595" s="32"/>
      <c r="U595" s="37"/>
      <c r="V595" s="38"/>
      <c r="W595" s="38"/>
      <c r="X595" s="39"/>
      <c r="Y595" s="40"/>
      <c r="Z595" s="37"/>
      <c r="AA595" s="38"/>
      <c r="AB595" s="38"/>
      <c r="AC595" s="39"/>
      <c r="AD595" s="40"/>
      <c r="AE595" s="37"/>
      <c r="AF595" s="38"/>
      <c r="AG595" s="38"/>
      <c r="AH595" s="39"/>
      <c r="AI595" s="40"/>
      <c r="AJ595" s="39"/>
      <c r="AK595" s="28"/>
      <c r="AL595" s="28"/>
      <c r="AM595" s="28"/>
      <c r="AN595" s="42"/>
      <c r="AR595" s="30"/>
    </row>
    <row r="596" spans="4:44" x14ac:dyDescent="0.2">
      <c r="D596" s="27"/>
      <c r="I596" s="32"/>
      <c r="J596" s="32"/>
      <c r="K596" s="31"/>
      <c r="L596" s="31"/>
      <c r="M596" s="43"/>
      <c r="N596" s="43"/>
      <c r="O596" s="43"/>
      <c r="P596" s="43"/>
      <c r="Q596" s="32"/>
      <c r="R596" s="32"/>
      <c r="S596" s="32"/>
      <c r="T596" s="32"/>
      <c r="U596" s="37"/>
      <c r="V596" s="38"/>
      <c r="W596" s="38"/>
      <c r="X596" s="39"/>
      <c r="Y596" s="40"/>
      <c r="Z596" s="37"/>
      <c r="AA596" s="38"/>
      <c r="AB596" s="38"/>
      <c r="AC596" s="39"/>
      <c r="AD596" s="40"/>
      <c r="AE596" s="37"/>
      <c r="AF596" s="38"/>
      <c r="AG596" s="38"/>
      <c r="AH596" s="39"/>
      <c r="AI596" s="40"/>
      <c r="AJ596" s="39"/>
      <c r="AK596" s="28"/>
      <c r="AL596" s="28"/>
      <c r="AM596" s="28"/>
      <c r="AN596" s="42"/>
      <c r="AR596" s="30"/>
    </row>
    <row r="597" spans="4:44" x14ac:dyDescent="0.2">
      <c r="D597" s="27"/>
      <c r="I597" s="32"/>
      <c r="J597" s="32"/>
      <c r="K597" s="31"/>
      <c r="L597" s="31"/>
      <c r="M597" s="43"/>
      <c r="N597" s="43"/>
      <c r="O597" s="43"/>
      <c r="P597" s="43"/>
      <c r="Q597" s="32"/>
      <c r="R597" s="32"/>
      <c r="S597" s="32"/>
      <c r="T597" s="32"/>
      <c r="U597" s="37"/>
      <c r="V597" s="38"/>
      <c r="W597" s="38"/>
      <c r="X597" s="39"/>
      <c r="Y597" s="40"/>
      <c r="Z597" s="37"/>
      <c r="AA597" s="38"/>
      <c r="AB597" s="38"/>
      <c r="AC597" s="39"/>
      <c r="AD597" s="40"/>
      <c r="AE597" s="37"/>
      <c r="AF597" s="38"/>
      <c r="AG597" s="38"/>
      <c r="AH597" s="39"/>
      <c r="AI597" s="40"/>
      <c r="AJ597" s="39"/>
      <c r="AK597" s="28"/>
      <c r="AL597" s="28"/>
      <c r="AM597" s="28"/>
      <c r="AN597" s="42"/>
      <c r="AR597" s="30"/>
    </row>
    <row r="598" spans="4:44" x14ac:dyDescent="0.2">
      <c r="D598" s="27"/>
      <c r="I598" s="32"/>
      <c r="J598" s="32"/>
      <c r="K598" s="31"/>
      <c r="L598" s="31"/>
      <c r="M598" s="43"/>
      <c r="N598" s="43"/>
      <c r="O598" s="43"/>
      <c r="P598" s="43"/>
      <c r="Q598" s="32"/>
      <c r="R598" s="32"/>
      <c r="S598" s="32"/>
      <c r="T598" s="32"/>
      <c r="U598" s="37"/>
      <c r="V598" s="38"/>
      <c r="W598" s="38"/>
      <c r="X598" s="39"/>
      <c r="Y598" s="40"/>
      <c r="Z598" s="37"/>
      <c r="AA598" s="38"/>
      <c r="AB598" s="38"/>
      <c r="AC598" s="39"/>
      <c r="AD598" s="40"/>
      <c r="AE598" s="37"/>
      <c r="AF598" s="38"/>
      <c r="AG598" s="38"/>
      <c r="AH598" s="39"/>
      <c r="AI598" s="40"/>
      <c r="AJ598" s="39"/>
      <c r="AK598" s="28"/>
      <c r="AL598" s="28"/>
      <c r="AM598" s="28"/>
      <c r="AN598" s="42"/>
      <c r="AR598" s="30"/>
    </row>
    <row r="599" spans="4:44" x14ac:dyDescent="0.2">
      <c r="D599" s="27"/>
      <c r="I599" s="32"/>
      <c r="J599" s="32"/>
      <c r="K599" s="31"/>
      <c r="L599" s="31"/>
      <c r="M599" s="43"/>
      <c r="N599" s="43"/>
      <c r="O599" s="43"/>
      <c r="P599" s="43"/>
      <c r="Q599" s="32"/>
      <c r="R599" s="32"/>
      <c r="S599" s="32"/>
      <c r="T599" s="32"/>
      <c r="U599" s="37"/>
      <c r="V599" s="38"/>
      <c r="W599" s="38"/>
      <c r="X599" s="39"/>
      <c r="Y599" s="40"/>
      <c r="Z599" s="37"/>
      <c r="AA599" s="38"/>
      <c r="AB599" s="38"/>
      <c r="AC599" s="39"/>
      <c r="AD599" s="40"/>
      <c r="AE599" s="37"/>
      <c r="AF599" s="38"/>
      <c r="AG599" s="38"/>
      <c r="AH599" s="39"/>
      <c r="AI599" s="40"/>
      <c r="AJ599" s="39"/>
      <c r="AK599" s="28"/>
      <c r="AL599" s="28"/>
      <c r="AM599" s="28"/>
      <c r="AN599" s="42"/>
      <c r="AR599" s="30"/>
    </row>
    <row r="600" spans="4:44" x14ac:dyDescent="0.2">
      <c r="D600" s="27"/>
      <c r="I600" s="32"/>
      <c r="J600" s="32"/>
      <c r="K600" s="31"/>
      <c r="L600" s="31"/>
      <c r="M600" s="43"/>
      <c r="N600" s="43"/>
      <c r="O600" s="43"/>
      <c r="P600" s="43"/>
      <c r="Q600" s="32"/>
      <c r="R600" s="32"/>
      <c r="S600" s="32"/>
      <c r="T600" s="32"/>
      <c r="U600" s="37"/>
      <c r="V600" s="38"/>
      <c r="W600" s="38"/>
      <c r="X600" s="39"/>
      <c r="Y600" s="40"/>
      <c r="Z600" s="37"/>
      <c r="AA600" s="38"/>
      <c r="AB600" s="38"/>
      <c r="AC600" s="39"/>
      <c r="AD600" s="40"/>
      <c r="AE600" s="37"/>
      <c r="AF600" s="38"/>
      <c r="AG600" s="38"/>
      <c r="AH600" s="39"/>
      <c r="AI600" s="40"/>
      <c r="AJ600" s="39"/>
      <c r="AK600" s="28"/>
      <c r="AL600" s="28"/>
      <c r="AM600" s="28"/>
      <c r="AN600" s="42"/>
      <c r="AR600" s="30"/>
    </row>
    <row r="601" spans="4:44" x14ac:dyDescent="0.2">
      <c r="D601" s="27"/>
      <c r="I601" s="32"/>
      <c r="J601" s="32"/>
      <c r="K601" s="31"/>
      <c r="L601" s="31"/>
      <c r="M601" s="43"/>
      <c r="N601" s="43"/>
      <c r="O601" s="43"/>
      <c r="P601" s="43"/>
      <c r="Q601" s="32"/>
      <c r="R601" s="32"/>
      <c r="S601" s="32"/>
      <c r="T601" s="32"/>
      <c r="U601" s="37"/>
      <c r="V601" s="38"/>
      <c r="W601" s="38"/>
      <c r="X601" s="39"/>
      <c r="Y601" s="40"/>
      <c r="Z601" s="37"/>
      <c r="AA601" s="38"/>
      <c r="AB601" s="38"/>
      <c r="AC601" s="39"/>
      <c r="AD601" s="40"/>
      <c r="AE601" s="37"/>
      <c r="AF601" s="38"/>
      <c r="AG601" s="38"/>
      <c r="AH601" s="39"/>
      <c r="AI601" s="40"/>
      <c r="AJ601" s="39"/>
      <c r="AK601" s="28"/>
      <c r="AL601" s="28"/>
      <c r="AM601" s="28"/>
      <c r="AN601" s="42"/>
      <c r="AR601" s="30"/>
    </row>
    <row r="602" spans="4:44" x14ac:dyDescent="0.2">
      <c r="D602" s="27"/>
      <c r="I602" s="32"/>
      <c r="J602" s="32"/>
      <c r="K602" s="31"/>
      <c r="L602" s="31"/>
      <c r="M602" s="43"/>
      <c r="N602" s="43"/>
      <c r="O602" s="43"/>
      <c r="P602" s="43"/>
      <c r="Q602" s="32"/>
      <c r="R602" s="32"/>
      <c r="S602" s="32"/>
      <c r="T602" s="32"/>
      <c r="U602" s="37"/>
      <c r="V602" s="38"/>
      <c r="W602" s="38"/>
      <c r="X602" s="39"/>
      <c r="Y602" s="40"/>
      <c r="Z602" s="37"/>
      <c r="AA602" s="38"/>
      <c r="AB602" s="38"/>
      <c r="AC602" s="39"/>
      <c r="AD602" s="40"/>
      <c r="AE602" s="37"/>
      <c r="AF602" s="38"/>
      <c r="AG602" s="38"/>
      <c r="AH602" s="39"/>
      <c r="AI602" s="40"/>
      <c r="AJ602" s="39"/>
      <c r="AK602" s="28"/>
      <c r="AL602" s="28"/>
      <c r="AM602" s="28"/>
      <c r="AN602" s="42"/>
      <c r="AR602" s="30"/>
    </row>
    <row r="603" spans="4:44" x14ac:dyDescent="0.2">
      <c r="D603" s="27"/>
      <c r="I603" s="32"/>
      <c r="J603" s="32"/>
      <c r="K603" s="31"/>
      <c r="L603" s="31"/>
      <c r="M603" s="43"/>
      <c r="N603" s="43"/>
      <c r="O603" s="43"/>
      <c r="P603" s="43"/>
      <c r="Q603" s="32"/>
      <c r="R603" s="32"/>
      <c r="S603" s="32"/>
      <c r="T603" s="32"/>
      <c r="U603" s="37"/>
      <c r="V603" s="38"/>
      <c r="W603" s="38"/>
      <c r="X603" s="39"/>
      <c r="Y603" s="40"/>
      <c r="Z603" s="37"/>
      <c r="AA603" s="38"/>
      <c r="AB603" s="38"/>
      <c r="AC603" s="39"/>
      <c r="AD603" s="40"/>
      <c r="AE603" s="37"/>
      <c r="AF603" s="38"/>
      <c r="AG603" s="38"/>
      <c r="AH603" s="39"/>
      <c r="AI603" s="40"/>
      <c r="AJ603" s="39"/>
      <c r="AK603" s="28"/>
      <c r="AL603" s="28"/>
      <c r="AM603" s="28"/>
      <c r="AN603" s="42"/>
      <c r="AR603" s="30"/>
    </row>
    <row r="604" spans="4:44" x14ac:dyDescent="0.2">
      <c r="D604" s="27"/>
      <c r="I604" s="32"/>
      <c r="J604" s="32"/>
      <c r="K604" s="31"/>
      <c r="L604" s="31"/>
      <c r="M604" s="43"/>
      <c r="N604" s="43"/>
      <c r="O604" s="43"/>
      <c r="P604" s="43"/>
      <c r="Q604" s="32"/>
      <c r="R604" s="32"/>
      <c r="S604" s="32"/>
      <c r="T604" s="32"/>
      <c r="U604" s="37"/>
      <c r="V604" s="38"/>
      <c r="W604" s="38"/>
      <c r="X604" s="39"/>
      <c r="Y604" s="40"/>
      <c r="Z604" s="37"/>
      <c r="AA604" s="38"/>
      <c r="AB604" s="38"/>
      <c r="AC604" s="39"/>
      <c r="AD604" s="40"/>
      <c r="AE604" s="37"/>
      <c r="AF604" s="38"/>
      <c r="AG604" s="38"/>
      <c r="AH604" s="39"/>
      <c r="AI604" s="40"/>
      <c r="AJ604" s="39"/>
      <c r="AK604" s="28"/>
      <c r="AL604" s="28"/>
      <c r="AM604" s="28"/>
      <c r="AN604" s="42"/>
      <c r="AR604" s="30"/>
    </row>
    <row r="605" spans="4:44" x14ac:dyDescent="0.2">
      <c r="D605" s="27"/>
      <c r="I605" s="32"/>
      <c r="J605" s="32"/>
      <c r="K605" s="31"/>
      <c r="L605" s="31"/>
      <c r="M605" s="43"/>
      <c r="N605" s="43"/>
      <c r="O605" s="43"/>
      <c r="P605" s="43"/>
      <c r="Q605" s="32"/>
      <c r="R605" s="32"/>
      <c r="S605" s="32"/>
      <c r="T605" s="32"/>
      <c r="U605" s="37"/>
      <c r="V605" s="38"/>
      <c r="W605" s="38"/>
      <c r="X605" s="39"/>
      <c r="Y605" s="40"/>
      <c r="Z605" s="37"/>
      <c r="AA605" s="38"/>
      <c r="AB605" s="38"/>
      <c r="AC605" s="39"/>
      <c r="AD605" s="40"/>
      <c r="AE605" s="37"/>
      <c r="AF605" s="38"/>
      <c r="AG605" s="38"/>
      <c r="AH605" s="39"/>
      <c r="AI605" s="40"/>
      <c r="AJ605" s="39"/>
      <c r="AK605" s="28"/>
      <c r="AL605" s="28"/>
      <c r="AM605" s="28"/>
      <c r="AN605" s="42"/>
      <c r="AR605" s="30"/>
    </row>
    <row r="606" spans="4:44" x14ac:dyDescent="0.2">
      <c r="D606" s="27"/>
      <c r="I606" s="32"/>
      <c r="J606" s="32"/>
      <c r="K606" s="31"/>
      <c r="L606" s="31"/>
      <c r="M606" s="43"/>
      <c r="N606" s="43"/>
      <c r="O606" s="43"/>
      <c r="P606" s="43"/>
      <c r="Q606" s="32"/>
      <c r="R606" s="32"/>
      <c r="S606" s="32"/>
      <c r="T606" s="32"/>
      <c r="U606" s="37"/>
      <c r="V606" s="38"/>
      <c r="W606" s="38"/>
      <c r="X606" s="39"/>
      <c r="Y606" s="40"/>
      <c r="Z606" s="37"/>
      <c r="AA606" s="38"/>
      <c r="AB606" s="38"/>
      <c r="AC606" s="39"/>
      <c r="AD606" s="40"/>
      <c r="AE606" s="37"/>
      <c r="AF606" s="38"/>
      <c r="AG606" s="38"/>
      <c r="AH606" s="39"/>
      <c r="AI606" s="40"/>
      <c r="AJ606" s="39"/>
      <c r="AK606" s="28"/>
      <c r="AL606" s="28"/>
      <c r="AM606" s="28"/>
      <c r="AN606" s="42"/>
      <c r="AR606" s="30"/>
    </row>
    <row r="607" spans="4:44" x14ac:dyDescent="0.2">
      <c r="D607" s="27"/>
      <c r="I607" s="32"/>
      <c r="J607" s="32"/>
      <c r="K607" s="31"/>
      <c r="L607" s="31"/>
      <c r="M607" s="43"/>
      <c r="N607" s="43"/>
      <c r="O607" s="43"/>
      <c r="P607" s="43"/>
      <c r="Q607" s="32"/>
      <c r="R607" s="32"/>
      <c r="S607" s="32"/>
      <c r="T607" s="32"/>
      <c r="U607" s="37"/>
      <c r="V607" s="38"/>
      <c r="W607" s="38"/>
      <c r="X607" s="39"/>
      <c r="Y607" s="40"/>
      <c r="Z607" s="37"/>
      <c r="AA607" s="38"/>
      <c r="AB607" s="38"/>
      <c r="AC607" s="39"/>
      <c r="AD607" s="40"/>
      <c r="AE607" s="37"/>
      <c r="AF607" s="38"/>
      <c r="AG607" s="38"/>
      <c r="AH607" s="39"/>
      <c r="AI607" s="40"/>
      <c r="AJ607" s="39"/>
      <c r="AK607" s="28"/>
      <c r="AL607" s="28"/>
      <c r="AM607" s="28"/>
      <c r="AN607" s="42"/>
      <c r="AR607" s="30"/>
    </row>
    <row r="608" spans="4:44" x14ac:dyDescent="0.2">
      <c r="D608" s="27"/>
      <c r="I608" s="32"/>
      <c r="J608" s="32"/>
      <c r="K608" s="31"/>
      <c r="L608" s="31"/>
      <c r="M608" s="43"/>
      <c r="N608" s="43"/>
      <c r="O608" s="43"/>
      <c r="P608" s="43"/>
      <c r="Q608" s="32"/>
      <c r="R608" s="32"/>
      <c r="S608" s="32"/>
      <c r="T608" s="32"/>
      <c r="U608" s="37"/>
      <c r="V608" s="38"/>
      <c r="W608" s="38"/>
      <c r="X608" s="39"/>
      <c r="Y608" s="40"/>
      <c r="Z608" s="37"/>
      <c r="AA608" s="38"/>
      <c r="AB608" s="38"/>
      <c r="AC608" s="39"/>
      <c r="AD608" s="40"/>
      <c r="AE608" s="37"/>
      <c r="AF608" s="38"/>
      <c r="AG608" s="38"/>
      <c r="AH608" s="39"/>
      <c r="AI608" s="40"/>
      <c r="AJ608" s="39"/>
      <c r="AK608" s="28"/>
      <c r="AL608" s="28"/>
      <c r="AM608" s="28"/>
      <c r="AN608" s="42"/>
      <c r="AR608" s="30"/>
    </row>
    <row r="609" spans="4:44" x14ac:dyDescent="0.2">
      <c r="D609" s="27"/>
      <c r="I609" s="32"/>
      <c r="J609" s="32"/>
      <c r="K609" s="31"/>
      <c r="L609" s="31"/>
      <c r="M609" s="43"/>
      <c r="N609" s="43"/>
      <c r="O609" s="43"/>
      <c r="P609" s="43"/>
      <c r="Q609" s="32"/>
      <c r="R609" s="32"/>
      <c r="S609" s="32"/>
      <c r="T609" s="32"/>
      <c r="U609" s="37"/>
      <c r="V609" s="38"/>
      <c r="W609" s="38"/>
      <c r="X609" s="39"/>
      <c r="Y609" s="40"/>
      <c r="Z609" s="37"/>
      <c r="AA609" s="38"/>
      <c r="AB609" s="38"/>
      <c r="AC609" s="39"/>
      <c r="AD609" s="40"/>
      <c r="AE609" s="37"/>
      <c r="AF609" s="38"/>
      <c r="AG609" s="38"/>
      <c r="AH609" s="39"/>
      <c r="AI609" s="40"/>
      <c r="AJ609" s="39"/>
      <c r="AK609" s="28"/>
      <c r="AL609" s="28"/>
      <c r="AM609" s="28"/>
      <c r="AN609" s="42"/>
      <c r="AR609" s="30"/>
    </row>
    <row r="610" spans="4:44" x14ac:dyDescent="0.2">
      <c r="D610" s="27"/>
      <c r="I610" s="32"/>
      <c r="J610" s="32"/>
      <c r="K610" s="31"/>
      <c r="L610" s="31"/>
      <c r="M610" s="43"/>
      <c r="N610" s="43"/>
      <c r="O610" s="43"/>
      <c r="P610" s="43"/>
      <c r="Q610" s="32"/>
      <c r="R610" s="32"/>
      <c r="S610" s="32"/>
      <c r="T610" s="32"/>
      <c r="U610" s="37"/>
      <c r="V610" s="38"/>
      <c r="W610" s="38"/>
      <c r="X610" s="39"/>
      <c r="Y610" s="40"/>
      <c r="Z610" s="37"/>
      <c r="AA610" s="38"/>
      <c r="AB610" s="38"/>
      <c r="AC610" s="39"/>
      <c r="AD610" s="40"/>
      <c r="AE610" s="37"/>
      <c r="AF610" s="38"/>
      <c r="AG610" s="38"/>
      <c r="AH610" s="39"/>
      <c r="AI610" s="40"/>
      <c r="AJ610" s="39"/>
      <c r="AK610" s="28"/>
      <c r="AL610" s="28"/>
      <c r="AM610" s="28"/>
      <c r="AN610" s="42"/>
      <c r="AR610" s="30"/>
    </row>
    <row r="611" spans="4:44" x14ac:dyDescent="0.2">
      <c r="D611" s="27"/>
      <c r="I611" s="32"/>
      <c r="J611" s="32"/>
      <c r="K611" s="31"/>
      <c r="L611" s="31"/>
      <c r="M611" s="43"/>
      <c r="N611" s="43"/>
      <c r="O611" s="43"/>
      <c r="P611" s="43"/>
      <c r="Q611" s="32"/>
      <c r="R611" s="32"/>
      <c r="S611" s="32"/>
      <c r="T611" s="32"/>
      <c r="U611" s="37"/>
      <c r="V611" s="38"/>
      <c r="W611" s="38"/>
      <c r="X611" s="39"/>
      <c r="Y611" s="40"/>
      <c r="Z611" s="37"/>
      <c r="AA611" s="38"/>
      <c r="AB611" s="38"/>
      <c r="AC611" s="39"/>
      <c r="AD611" s="40"/>
      <c r="AE611" s="37"/>
      <c r="AF611" s="38"/>
      <c r="AG611" s="38"/>
      <c r="AH611" s="39"/>
      <c r="AI611" s="40"/>
      <c r="AJ611" s="39"/>
      <c r="AK611" s="28"/>
      <c r="AL611" s="28"/>
      <c r="AM611" s="28"/>
      <c r="AN611" s="42"/>
      <c r="AR611" s="30"/>
    </row>
    <row r="612" spans="4:44" x14ac:dyDescent="0.2">
      <c r="D612" s="27"/>
      <c r="I612" s="32"/>
      <c r="J612" s="32"/>
      <c r="K612" s="31"/>
      <c r="L612" s="31"/>
      <c r="M612" s="43"/>
      <c r="N612" s="43"/>
      <c r="O612" s="43"/>
      <c r="P612" s="43"/>
      <c r="Q612" s="32"/>
      <c r="R612" s="32"/>
      <c r="S612" s="32"/>
      <c r="T612" s="32"/>
      <c r="U612" s="37"/>
      <c r="V612" s="38"/>
      <c r="W612" s="38"/>
      <c r="X612" s="39"/>
      <c r="Y612" s="40"/>
      <c r="Z612" s="37"/>
      <c r="AA612" s="38"/>
      <c r="AB612" s="38"/>
      <c r="AC612" s="39"/>
      <c r="AD612" s="40"/>
      <c r="AE612" s="37"/>
      <c r="AF612" s="38"/>
      <c r="AG612" s="38"/>
      <c r="AH612" s="39"/>
      <c r="AI612" s="40"/>
      <c r="AJ612" s="39"/>
      <c r="AK612" s="28"/>
      <c r="AL612" s="28"/>
      <c r="AM612" s="28"/>
      <c r="AN612" s="42"/>
      <c r="AR612" s="30"/>
    </row>
    <row r="613" spans="4:44" x14ac:dyDescent="0.2">
      <c r="D613" s="27"/>
      <c r="I613" s="32"/>
      <c r="J613" s="32"/>
      <c r="K613" s="31"/>
      <c r="L613" s="31"/>
      <c r="M613" s="43"/>
      <c r="N613" s="43"/>
      <c r="O613" s="43"/>
      <c r="P613" s="43"/>
      <c r="Q613" s="32"/>
      <c r="R613" s="32"/>
      <c r="S613" s="32"/>
      <c r="T613" s="32"/>
      <c r="U613" s="37"/>
      <c r="V613" s="38"/>
      <c r="W613" s="38"/>
      <c r="X613" s="39"/>
      <c r="Y613" s="40"/>
      <c r="Z613" s="37"/>
      <c r="AA613" s="38"/>
      <c r="AB613" s="38"/>
      <c r="AC613" s="39"/>
      <c r="AD613" s="40"/>
      <c r="AE613" s="37"/>
      <c r="AF613" s="38"/>
      <c r="AG613" s="38"/>
      <c r="AH613" s="39"/>
      <c r="AI613" s="40"/>
      <c r="AJ613" s="39"/>
      <c r="AK613" s="28"/>
      <c r="AL613" s="28"/>
      <c r="AM613" s="28"/>
      <c r="AN613" s="42"/>
      <c r="AR613" s="30"/>
    </row>
    <row r="614" spans="4:44" x14ac:dyDescent="0.2">
      <c r="D614" s="27"/>
      <c r="I614" s="32"/>
      <c r="J614" s="32"/>
      <c r="K614" s="31"/>
      <c r="L614" s="31"/>
      <c r="M614" s="43"/>
      <c r="N614" s="43"/>
      <c r="O614" s="43"/>
      <c r="P614" s="43"/>
      <c r="Q614" s="32"/>
      <c r="R614" s="32"/>
      <c r="S614" s="32"/>
      <c r="T614" s="32"/>
      <c r="U614" s="37"/>
      <c r="V614" s="38"/>
      <c r="W614" s="38"/>
      <c r="X614" s="39"/>
      <c r="Y614" s="40"/>
      <c r="Z614" s="37"/>
      <c r="AA614" s="38"/>
      <c r="AB614" s="38"/>
      <c r="AC614" s="39"/>
      <c r="AD614" s="40"/>
      <c r="AE614" s="37"/>
      <c r="AF614" s="38"/>
      <c r="AG614" s="38"/>
      <c r="AH614" s="39"/>
      <c r="AI614" s="40"/>
      <c r="AJ614" s="39"/>
      <c r="AK614" s="28"/>
      <c r="AL614" s="28"/>
      <c r="AM614" s="28"/>
      <c r="AN614" s="42"/>
      <c r="AR614" s="30"/>
    </row>
    <row r="615" spans="4:44" x14ac:dyDescent="0.2">
      <c r="D615" s="27"/>
      <c r="I615" s="32"/>
      <c r="J615" s="32"/>
      <c r="K615" s="31"/>
      <c r="L615" s="31"/>
      <c r="M615" s="43"/>
      <c r="N615" s="43"/>
      <c r="O615" s="43"/>
      <c r="P615" s="43"/>
      <c r="Q615" s="32"/>
      <c r="R615" s="32"/>
      <c r="S615" s="32"/>
      <c r="T615" s="32"/>
      <c r="U615" s="37"/>
      <c r="V615" s="38"/>
      <c r="W615" s="38"/>
      <c r="X615" s="39"/>
      <c r="Y615" s="40"/>
      <c r="Z615" s="37"/>
      <c r="AA615" s="38"/>
      <c r="AB615" s="38"/>
      <c r="AC615" s="39"/>
      <c r="AD615" s="40"/>
      <c r="AE615" s="37"/>
      <c r="AF615" s="38"/>
      <c r="AG615" s="38"/>
      <c r="AH615" s="39"/>
      <c r="AI615" s="40"/>
      <c r="AJ615" s="39"/>
      <c r="AK615" s="28"/>
      <c r="AL615" s="28"/>
      <c r="AM615" s="28"/>
      <c r="AN615" s="42"/>
      <c r="AR615" s="30"/>
    </row>
    <row r="616" spans="4:44" x14ac:dyDescent="0.2">
      <c r="D616" s="27"/>
      <c r="I616" s="32"/>
      <c r="J616" s="32"/>
      <c r="K616" s="31"/>
      <c r="L616" s="31"/>
      <c r="M616" s="43"/>
      <c r="N616" s="43"/>
      <c r="O616" s="43"/>
      <c r="P616" s="43"/>
      <c r="Q616" s="32"/>
      <c r="R616" s="32"/>
      <c r="S616" s="32"/>
      <c r="T616" s="32"/>
      <c r="U616" s="37"/>
      <c r="V616" s="38"/>
      <c r="W616" s="38"/>
      <c r="X616" s="39"/>
      <c r="Y616" s="40"/>
      <c r="Z616" s="37"/>
      <c r="AA616" s="38"/>
      <c r="AB616" s="38"/>
      <c r="AC616" s="39"/>
      <c r="AD616" s="40"/>
      <c r="AE616" s="37"/>
      <c r="AF616" s="38"/>
      <c r="AG616" s="38"/>
      <c r="AH616" s="39"/>
      <c r="AI616" s="40"/>
      <c r="AJ616" s="39"/>
      <c r="AK616" s="28"/>
      <c r="AL616" s="28"/>
      <c r="AM616" s="28"/>
      <c r="AN616" s="42"/>
      <c r="AR616" s="30"/>
    </row>
    <row r="617" spans="4:44" x14ac:dyDescent="0.2">
      <c r="D617" s="27"/>
      <c r="I617" s="32"/>
      <c r="J617" s="32"/>
      <c r="K617" s="31"/>
      <c r="L617" s="31"/>
      <c r="M617" s="43"/>
      <c r="N617" s="43"/>
      <c r="O617" s="43"/>
      <c r="P617" s="43"/>
      <c r="Q617" s="32"/>
      <c r="R617" s="32"/>
      <c r="S617" s="32"/>
      <c r="T617" s="32"/>
      <c r="U617" s="37"/>
      <c r="V617" s="38"/>
      <c r="W617" s="38"/>
      <c r="X617" s="39"/>
      <c r="Y617" s="40"/>
      <c r="Z617" s="37"/>
      <c r="AA617" s="38"/>
      <c r="AB617" s="38"/>
      <c r="AC617" s="39"/>
      <c r="AD617" s="40"/>
      <c r="AE617" s="37"/>
      <c r="AF617" s="38"/>
      <c r="AG617" s="38"/>
      <c r="AH617" s="39"/>
      <c r="AI617" s="40"/>
      <c r="AJ617" s="39"/>
      <c r="AK617" s="28"/>
      <c r="AL617" s="28"/>
      <c r="AM617" s="28"/>
      <c r="AN617" s="42"/>
      <c r="AR617" s="30"/>
    </row>
    <row r="618" spans="4:44" x14ac:dyDescent="0.2">
      <c r="D618" s="27"/>
      <c r="I618" s="32"/>
      <c r="J618" s="32"/>
      <c r="K618" s="31"/>
      <c r="L618" s="31"/>
      <c r="M618" s="43"/>
      <c r="N618" s="43"/>
      <c r="O618" s="43"/>
      <c r="P618" s="43"/>
      <c r="Q618" s="32"/>
      <c r="R618" s="32"/>
      <c r="S618" s="32"/>
      <c r="T618" s="32"/>
      <c r="U618" s="37"/>
      <c r="V618" s="38"/>
      <c r="W618" s="38"/>
      <c r="X618" s="39"/>
      <c r="Y618" s="40"/>
      <c r="Z618" s="37"/>
      <c r="AA618" s="38"/>
      <c r="AB618" s="38"/>
      <c r="AC618" s="39"/>
      <c r="AD618" s="40"/>
      <c r="AE618" s="37"/>
      <c r="AF618" s="38"/>
      <c r="AG618" s="38"/>
      <c r="AH618" s="39"/>
      <c r="AI618" s="40"/>
      <c r="AJ618" s="39"/>
      <c r="AK618" s="28"/>
      <c r="AL618" s="28"/>
      <c r="AM618" s="28"/>
      <c r="AN618" s="42"/>
      <c r="AR618" s="30"/>
    </row>
    <row r="619" spans="4:44" x14ac:dyDescent="0.2">
      <c r="D619" s="27"/>
      <c r="I619" s="32"/>
      <c r="J619" s="32"/>
      <c r="K619" s="31"/>
      <c r="L619" s="31"/>
      <c r="M619" s="43"/>
      <c r="N619" s="43"/>
      <c r="O619" s="43"/>
      <c r="P619" s="43"/>
      <c r="Q619" s="32"/>
      <c r="R619" s="32"/>
      <c r="S619" s="32"/>
      <c r="T619" s="32"/>
      <c r="U619" s="37"/>
      <c r="V619" s="38"/>
      <c r="W619" s="38"/>
      <c r="X619" s="39"/>
      <c r="Y619" s="40"/>
      <c r="Z619" s="37"/>
      <c r="AA619" s="38"/>
      <c r="AB619" s="38"/>
      <c r="AC619" s="39"/>
      <c r="AD619" s="40"/>
      <c r="AE619" s="37"/>
      <c r="AF619" s="38"/>
      <c r="AG619" s="38"/>
      <c r="AH619" s="39"/>
      <c r="AI619" s="40"/>
      <c r="AJ619" s="39"/>
      <c r="AK619" s="28"/>
      <c r="AL619" s="28"/>
      <c r="AM619" s="28"/>
      <c r="AN619" s="42"/>
      <c r="AR619" s="30"/>
    </row>
    <row r="620" spans="4:44" x14ac:dyDescent="0.2">
      <c r="D620" s="27"/>
      <c r="I620" s="32"/>
      <c r="J620" s="32"/>
      <c r="K620" s="31"/>
      <c r="L620" s="31"/>
      <c r="M620" s="43"/>
      <c r="N620" s="43"/>
      <c r="O620" s="43"/>
      <c r="P620" s="43"/>
      <c r="Q620" s="32"/>
      <c r="R620" s="32"/>
      <c r="S620" s="32"/>
      <c r="T620" s="32"/>
      <c r="U620" s="37"/>
      <c r="V620" s="38"/>
      <c r="W620" s="38"/>
      <c r="X620" s="39"/>
      <c r="Y620" s="40"/>
      <c r="Z620" s="37"/>
      <c r="AA620" s="38"/>
      <c r="AB620" s="38"/>
      <c r="AC620" s="39"/>
      <c r="AD620" s="40"/>
      <c r="AE620" s="37"/>
      <c r="AF620" s="38"/>
      <c r="AG620" s="38"/>
      <c r="AH620" s="39"/>
      <c r="AI620" s="40"/>
      <c r="AJ620" s="39"/>
      <c r="AK620" s="28"/>
      <c r="AL620" s="28"/>
      <c r="AM620" s="28"/>
      <c r="AN620" s="42"/>
      <c r="AR620" s="30"/>
    </row>
    <row r="621" spans="4:44" x14ac:dyDescent="0.2">
      <c r="D621" s="27"/>
      <c r="I621" s="32"/>
      <c r="J621" s="32"/>
      <c r="K621" s="31"/>
      <c r="L621" s="31"/>
      <c r="M621" s="43"/>
      <c r="N621" s="43"/>
      <c r="O621" s="43"/>
      <c r="P621" s="43"/>
      <c r="Q621" s="32"/>
      <c r="R621" s="32"/>
      <c r="S621" s="32"/>
      <c r="T621" s="32"/>
      <c r="U621" s="37"/>
      <c r="V621" s="38"/>
      <c r="W621" s="38"/>
      <c r="X621" s="39"/>
      <c r="Y621" s="40"/>
      <c r="Z621" s="37"/>
      <c r="AA621" s="38"/>
      <c r="AB621" s="38"/>
      <c r="AC621" s="39"/>
      <c r="AD621" s="40"/>
      <c r="AE621" s="37"/>
      <c r="AF621" s="38"/>
      <c r="AG621" s="38"/>
      <c r="AH621" s="39"/>
      <c r="AI621" s="40"/>
      <c r="AJ621" s="39"/>
      <c r="AK621" s="28"/>
      <c r="AL621" s="28"/>
      <c r="AM621" s="28"/>
      <c r="AN621" s="42"/>
      <c r="AR621" s="30"/>
    </row>
    <row r="622" spans="4:44" x14ac:dyDescent="0.2">
      <c r="D622" s="27"/>
      <c r="I622" s="32"/>
      <c r="J622" s="32"/>
      <c r="K622" s="31"/>
      <c r="L622" s="31"/>
      <c r="M622" s="43"/>
      <c r="N622" s="43"/>
      <c r="O622" s="43"/>
      <c r="P622" s="43"/>
      <c r="Q622" s="32"/>
      <c r="R622" s="32"/>
      <c r="S622" s="32"/>
      <c r="T622" s="32"/>
      <c r="U622" s="37"/>
      <c r="V622" s="38"/>
      <c r="W622" s="38"/>
      <c r="X622" s="39"/>
      <c r="Y622" s="40"/>
      <c r="Z622" s="37"/>
      <c r="AA622" s="38"/>
      <c r="AB622" s="38"/>
      <c r="AC622" s="39"/>
      <c r="AD622" s="40"/>
      <c r="AE622" s="37"/>
      <c r="AF622" s="38"/>
      <c r="AG622" s="38"/>
      <c r="AH622" s="39"/>
      <c r="AI622" s="40"/>
      <c r="AJ622" s="39"/>
      <c r="AK622" s="28"/>
      <c r="AL622" s="28"/>
      <c r="AM622" s="28"/>
      <c r="AN622" s="42"/>
      <c r="AR622" s="30"/>
    </row>
    <row r="623" spans="4:44" x14ac:dyDescent="0.2">
      <c r="D623" s="27"/>
      <c r="I623" s="32"/>
      <c r="J623" s="32"/>
      <c r="K623" s="31"/>
      <c r="L623" s="31"/>
      <c r="M623" s="43"/>
      <c r="N623" s="43"/>
      <c r="O623" s="43"/>
      <c r="P623" s="43"/>
      <c r="Q623" s="32"/>
      <c r="R623" s="32"/>
      <c r="S623" s="32"/>
      <c r="T623" s="32"/>
      <c r="U623" s="37"/>
      <c r="V623" s="38"/>
      <c r="W623" s="38"/>
      <c r="X623" s="39"/>
      <c r="Y623" s="40"/>
      <c r="Z623" s="37"/>
      <c r="AA623" s="38"/>
      <c r="AB623" s="38"/>
      <c r="AC623" s="39"/>
      <c r="AD623" s="40"/>
      <c r="AE623" s="37"/>
      <c r="AF623" s="38"/>
      <c r="AG623" s="38"/>
      <c r="AH623" s="39"/>
      <c r="AI623" s="40"/>
      <c r="AJ623" s="39"/>
      <c r="AK623" s="28"/>
      <c r="AL623" s="28"/>
      <c r="AM623" s="28"/>
      <c r="AN623" s="42"/>
      <c r="AR623" s="30"/>
    </row>
    <row r="624" spans="4:44" x14ac:dyDescent="0.2">
      <c r="D624" s="27"/>
      <c r="I624" s="32"/>
      <c r="J624" s="32"/>
      <c r="K624" s="31"/>
      <c r="L624" s="31"/>
      <c r="M624" s="43"/>
      <c r="N624" s="43"/>
      <c r="O624" s="43"/>
      <c r="P624" s="43"/>
      <c r="Q624" s="32"/>
      <c r="R624" s="32"/>
      <c r="S624" s="32"/>
      <c r="T624" s="32"/>
      <c r="U624" s="37"/>
      <c r="V624" s="38"/>
      <c r="W624" s="38"/>
      <c r="X624" s="39"/>
      <c r="Y624" s="40"/>
      <c r="Z624" s="37"/>
      <c r="AA624" s="38"/>
      <c r="AB624" s="38"/>
      <c r="AC624" s="39"/>
      <c r="AD624" s="40"/>
      <c r="AE624" s="37"/>
      <c r="AF624" s="38"/>
      <c r="AG624" s="38"/>
      <c r="AH624" s="39"/>
      <c r="AI624" s="40"/>
      <c r="AJ624" s="39"/>
      <c r="AK624" s="28"/>
      <c r="AL624" s="28"/>
      <c r="AM624" s="28"/>
      <c r="AN624" s="42"/>
      <c r="AR624" s="30"/>
    </row>
    <row r="625" spans="4:44" x14ac:dyDescent="0.2">
      <c r="D625" s="27"/>
      <c r="I625" s="32"/>
      <c r="J625" s="32"/>
      <c r="K625" s="31"/>
      <c r="L625" s="31"/>
      <c r="M625" s="43"/>
      <c r="N625" s="43"/>
      <c r="O625" s="43"/>
      <c r="P625" s="43"/>
      <c r="Q625" s="32"/>
      <c r="R625" s="32"/>
      <c r="S625" s="32"/>
      <c r="T625" s="32"/>
      <c r="U625" s="37"/>
      <c r="V625" s="38"/>
      <c r="W625" s="38"/>
      <c r="X625" s="39"/>
      <c r="Y625" s="40"/>
      <c r="Z625" s="37"/>
      <c r="AA625" s="38"/>
      <c r="AB625" s="38"/>
      <c r="AC625" s="39"/>
      <c r="AD625" s="40"/>
      <c r="AE625" s="37"/>
      <c r="AF625" s="38"/>
      <c r="AG625" s="38"/>
      <c r="AH625" s="39"/>
      <c r="AI625" s="40"/>
      <c r="AJ625" s="39"/>
      <c r="AK625" s="28"/>
      <c r="AL625" s="28"/>
      <c r="AM625" s="28"/>
      <c r="AN625" s="42"/>
      <c r="AR625" s="30"/>
    </row>
    <row r="626" spans="4:44" x14ac:dyDescent="0.2">
      <c r="AR626" s="30"/>
    </row>
    <row r="627" spans="4:44" x14ac:dyDescent="0.2">
      <c r="AR627" s="30"/>
    </row>
    <row r="628" spans="4:44" x14ac:dyDescent="0.2">
      <c r="AR628" s="30"/>
    </row>
    <row r="629" spans="4:44" x14ac:dyDescent="0.2">
      <c r="AR629" s="30"/>
    </row>
    <row r="630" spans="4:44" x14ac:dyDescent="0.2">
      <c r="M630" s="3"/>
      <c r="N630" s="3"/>
      <c r="O630" s="3"/>
      <c r="P630" s="3"/>
      <c r="AM630" s="3"/>
      <c r="AR630" s="30"/>
    </row>
    <row r="631" spans="4:44" x14ac:dyDescent="0.2">
      <c r="M631" s="3"/>
      <c r="N631" s="3"/>
      <c r="O631" s="3"/>
      <c r="P631" s="3"/>
      <c r="AM631" s="3"/>
      <c r="AR631" s="30"/>
    </row>
    <row r="632" spans="4:44" x14ac:dyDescent="0.2">
      <c r="M632" s="3"/>
      <c r="N632" s="3"/>
      <c r="O632" s="3"/>
      <c r="P632" s="3"/>
      <c r="AM632" s="3"/>
      <c r="AR632" s="30"/>
    </row>
    <row r="633" spans="4:44" x14ac:dyDescent="0.2">
      <c r="M633" s="3"/>
      <c r="N633" s="3"/>
      <c r="O633" s="3"/>
      <c r="P633" s="3"/>
      <c r="AM633" s="3"/>
      <c r="AR633" s="30"/>
    </row>
    <row r="634" spans="4:44" x14ac:dyDescent="0.2">
      <c r="M634" s="3"/>
      <c r="N634" s="3"/>
      <c r="O634" s="3"/>
      <c r="P634" s="3"/>
      <c r="AM634" s="3"/>
      <c r="AR634" s="30"/>
    </row>
    <row r="635" spans="4:44" x14ac:dyDescent="0.2">
      <c r="M635" s="3"/>
      <c r="N635" s="3"/>
      <c r="O635" s="3"/>
      <c r="P635" s="3"/>
      <c r="AM635" s="3"/>
      <c r="AR635" s="30"/>
    </row>
    <row r="636" spans="4:44" x14ac:dyDescent="0.2">
      <c r="M636" s="3"/>
      <c r="N636" s="3"/>
      <c r="O636" s="3"/>
      <c r="P636" s="3"/>
      <c r="AM636" s="3"/>
      <c r="AR636" s="30"/>
    </row>
    <row r="637" spans="4:44" x14ac:dyDescent="0.2">
      <c r="M637" s="3"/>
      <c r="N637" s="3"/>
      <c r="O637" s="3"/>
      <c r="P637" s="3"/>
      <c r="AM637" s="3"/>
      <c r="AR637" s="30"/>
    </row>
    <row r="638" spans="4:44" x14ac:dyDescent="0.2">
      <c r="M638" s="3"/>
      <c r="N638" s="3"/>
      <c r="O638" s="3"/>
      <c r="P638" s="3"/>
      <c r="AM638" s="3"/>
      <c r="AR638" s="30"/>
    </row>
    <row r="639" spans="4:44" x14ac:dyDescent="0.2">
      <c r="M639" s="3"/>
      <c r="N639" s="3"/>
      <c r="O639" s="3"/>
      <c r="P639" s="3"/>
      <c r="AM639" s="3"/>
      <c r="AR639" s="30"/>
    </row>
    <row r="640" spans="4:44" x14ac:dyDescent="0.2">
      <c r="M640" s="3"/>
      <c r="N640" s="3"/>
      <c r="O640" s="3"/>
      <c r="P640" s="3"/>
      <c r="AM640" s="3"/>
      <c r="AR640" s="30"/>
    </row>
    <row r="641" spans="13:44" x14ac:dyDescent="0.2">
      <c r="M641" s="3"/>
      <c r="N641" s="3"/>
      <c r="O641" s="3"/>
      <c r="P641" s="3"/>
      <c r="AM641" s="3"/>
      <c r="AR641" s="30"/>
    </row>
    <row r="642" spans="13:44" x14ac:dyDescent="0.2">
      <c r="M642" s="3"/>
      <c r="N642" s="3"/>
      <c r="O642" s="3"/>
      <c r="P642" s="3"/>
      <c r="AM642" s="3"/>
      <c r="AR642" s="30"/>
    </row>
    <row r="643" spans="13:44" x14ac:dyDescent="0.2">
      <c r="M643" s="3"/>
      <c r="N643" s="3"/>
      <c r="O643" s="3"/>
      <c r="P643" s="3"/>
      <c r="AM643" s="3"/>
      <c r="AR643" s="30"/>
    </row>
    <row r="644" spans="13:44" x14ac:dyDescent="0.2">
      <c r="M644" s="3"/>
      <c r="N644" s="3"/>
      <c r="O644" s="3"/>
      <c r="P644" s="3"/>
      <c r="AM644" s="3"/>
      <c r="AR644" s="30"/>
    </row>
    <row r="645" spans="13:44" x14ac:dyDescent="0.2">
      <c r="M645" s="3"/>
      <c r="N645" s="3"/>
      <c r="O645" s="3"/>
      <c r="P645" s="3"/>
      <c r="AM645" s="3"/>
      <c r="AR645" s="30"/>
    </row>
    <row r="646" spans="13:44" x14ac:dyDescent="0.2">
      <c r="M646" s="3"/>
      <c r="N646" s="3"/>
      <c r="O646" s="3"/>
      <c r="P646" s="3"/>
      <c r="AM646" s="3"/>
      <c r="AR646" s="30"/>
    </row>
    <row r="647" spans="13:44" x14ac:dyDescent="0.2">
      <c r="M647" s="3"/>
      <c r="N647" s="3"/>
      <c r="O647" s="3"/>
      <c r="P647" s="3"/>
      <c r="AM647" s="3"/>
      <c r="AR647" s="30"/>
    </row>
    <row r="648" spans="13:44" x14ac:dyDescent="0.2">
      <c r="M648" s="3"/>
      <c r="N648" s="3"/>
      <c r="O648" s="3"/>
      <c r="P648" s="3"/>
      <c r="AM648" s="3"/>
      <c r="AR648" s="30"/>
    </row>
    <row r="649" spans="13:44" x14ac:dyDescent="0.2">
      <c r="M649" s="3"/>
      <c r="N649" s="3"/>
      <c r="O649" s="3"/>
      <c r="P649" s="3"/>
      <c r="AM649" s="3"/>
      <c r="AR649" s="30"/>
    </row>
    <row r="650" spans="13:44" x14ac:dyDescent="0.2">
      <c r="M650" s="3"/>
      <c r="N650" s="3"/>
      <c r="O650" s="3"/>
      <c r="P650" s="3"/>
      <c r="AM650" s="3"/>
      <c r="AR650" s="30"/>
    </row>
    <row r="651" spans="13:44" x14ac:dyDescent="0.2">
      <c r="M651" s="3"/>
      <c r="N651" s="3"/>
      <c r="O651" s="3"/>
      <c r="P651" s="3"/>
      <c r="AM651" s="3"/>
      <c r="AR651" s="30"/>
    </row>
    <row r="652" spans="13:44" x14ac:dyDescent="0.2">
      <c r="M652" s="3"/>
      <c r="N652" s="3"/>
      <c r="O652" s="3"/>
      <c r="P652" s="3"/>
      <c r="AM652" s="3"/>
      <c r="AR652" s="30"/>
    </row>
    <row r="653" spans="13:44" x14ac:dyDescent="0.2">
      <c r="M653" s="3"/>
      <c r="N653" s="3"/>
      <c r="O653" s="3"/>
      <c r="P653" s="3"/>
      <c r="AM653" s="3"/>
      <c r="AR653" s="30"/>
    </row>
    <row r="654" spans="13:44" x14ac:dyDescent="0.2">
      <c r="M654" s="3"/>
      <c r="N654" s="3"/>
      <c r="O654" s="3"/>
      <c r="P654" s="3"/>
      <c r="AM654" s="3"/>
      <c r="AR654" s="30"/>
    </row>
    <row r="655" spans="13:44" x14ac:dyDescent="0.2">
      <c r="M655" s="3"/>
      <c r="N655" s="3"/>
      <c r="O655" s="3"/>
      <c r="P655" s="3"/>
      <c r="AM655" s="3"/>
      <c r="AR655" s="30"/>
    </row>
    <row r="656" spans="13:44" x14ac:dyDescent="0.2">
      <c r="M656" s="3"/>
      <c r="N656" s="3"/>
      <c r="O656" s="3"/>
      <c r="P656" s="3"/>
      <c r="AM656" s="3"/>
      <c r="AR656" s="30"/>
    </row>
    <row r="657" spans="13:44" x14ac:dyDescent="0.2">
      <c r="M657" s="3"/>
      <c r="N657" s="3"/>
      <c r="O657" s="3"/>
      <c r="P657" s="3"/>
      <c r="AM657" s="3"/>
      <c r="AR657" s="30"/>
    </row>
    <row r="658" spans="13:44" x14ac:dyDescent="0.2">
      <c r="M658" s="3"/>
      <c r="N658" s="3"/>
      <c r="O658" s="3"/>
      <c r="P658" s="3"/>
      <c r="AM658" s="3"/>
      <c r="AR658" s="30"/>
    </row>
    <row r="659" spans="13:44" x14ac:dyDescent="0.2">
      <c r="M659" s="3"/>
      <c r="N659" s="3"/>
      <c r="O659" s="3"/>
      <c r="P659" s="3"/>
      <c r="AM659" s="3"/>
      <c r="AR659" s="30"/>
    </row>
    <row r="660" spans="13:44" x14ac:dyDescent="0.2">
      <c r="M660" s="3"/>
      <c r="N660" s="3"/>
      <c r="O660" s="3"/>
      <c r="P660" s="3"/>
      <c r="AM660" s="3"/>
      <c r="AR660" s="30"/>
    </row>
    <row r="661" spans="13:44" x14ac:dyDescent="0.2">
      <c r="M661" s="3"/>
      <c r="N661" s="3"/>
      <c r="O661" s="3"/>
      <c r="P661" s="3"/>
      <c r="AM661" s="3"/>
      <c r="AR661" s="30"/>
    </row>
    <row r="662" spans="13:44" x14ac:dyDescent="0.2">
      <c r="M662" s="3"/>
      <c r="N662" s="3"/>
      <c r="O662" s="3"/>
      <c r="P662" s="3"/>
      <c r="AM662" s="3"/>
      <c r="AR662" s="30"/>
    </row>
    <row r="663" spans="13:44" x14ac:dyDescent="0.2">
      <c r="M663" s="3"/>
      <c r="N663" s="3"/>
      <c r="O663" s="3"/>
      <c r="P663" s="3"/>
      <c r="AM663" s="3"/>
      <c r="AR663" s="30"/>
    </row>
    <row r="664" spans="13:44" x14ac:dyDescent="0.2">
      <c r="M664" s="3"/>
      <c r="N664" s="3"/>
      <c r="O664" s="3"/>
      <c r="P664" s="3"/>
      <c r="AM664" s="3"/>
      <c r="AR664" s="30"/>
    </row>
    <row r="665" spans="13:44" x14ac:dyDescent="0.2">
      <c r="M665" s="3"/>
      <c r="N665" s="3"/>
      <c r="O665" s="3"/>
      <c r="P665" s="3"/>
      <c r="AM665" s="3"/>
      <c r="AR665" s="30"/>
    </row>
    <row r="666" spans="13:44" x14ac:dyDescent="0.2">
      <c r="M666" s="3"/>
      <c r="N666" s="3"/>
      <c r="O666" s="3"/>
      <c r="P666" s="3"/>
      <c r="AM666" s="3"/>
      <c r="AR666" s="30"/>
    </row>
    <row r="667" spans="13:44" x14ac:dyDescent="0.2">
      <c r="M667" s="3"/>
      <c r="N667" s="3"/>
      <c r="O667" s="3"/>
      <c r="P667" s="3"/>
      <c r="AM667" s="3"/>
      <c r="AR667" s="30"/>
    </row>
    <row r="668" spans="13:44" x14ac:dyDescent="0.2">
      <c r="M668" s="3"/>
      <c r="N668" s="3"/>
      <c r="O668" s="3"/>
      <c r="P668" s="3"/>
      <c r="AM668" s="3"/>
      <c r="AR668" s="30"/>
    </row>
    <row r="669" spans="13:44" x14ac:dyDescent="0.2">
      <c r="M669" s="3"/>
      <c r="N669" s="3"/>
      <c r="O669" s="3"/>
      <c r="P669" s="3"/>
      <c r="AM669" s="3"/>
      <c r="AR669" s="30"/>
    </row>
    <row r="670" spans="13:44" x14ac:dyDescent="0.2">
      <c r="M670" s="3"/>
      <c r="N670" s="3"/>
      <c r="O670" s="3"/>
      <c r="P670" s="3"/>
      <c r="AM670" s="3"/>
      <c r="AR670" s="30"/>
    </row>
    <row r="671" spans="13:44" x14ac:dyDescent="0.2">
      <c r="M671" s="3"/>
      <c r="N671" s="3"/>
      <c r="O671" s="3"/>
      <c r="P671" s="3"/>
      <c r="AM671" s="3"/>
      <c r="AR671" s="30"/>
    </row>
    <row r="672" spans="13:44" x14ac:dyDescent="0.2">
      <c r="M672" s="3"/>
      <c r="N672" s="3"/>
      <c r="O672" s="3"/>
      <c r="P672" s="3"/>
      <c r="AM672" s="3"/>
      <c r="AR672" s="30"/>
    </row>
    <row r="673" spans="13:44" x14ac:dyDescent="0.2">
      <c r="M673" s="3"/>
      <c r="N673" s="3"/>
      <c r="O673" s="3"/>
      <c r="P673" s="3"/>
      <c r="AM673" s="3"/>
      <c r="AR673" s="30"/>
    </row>
    <row r="674" spans="13:44" x14ac:dyDescent="0.2">
      <c r="M674" s="3"/>
      <c r="N674" s="3"/>
      <c r="O674" s="3"/>
      <c r="P674" s="3"/>
      <c r="AM674" s="3"/>
      <c r="AR674" s="30"/>
    </row>
    <row r="675" spans="13:44" x14ac:dyDescent="0.2">
      <c r="M675" s="3"/>
      <c r="N675" s="3"/>
      <c r="O675" s="3"/>
      <c r="P675" s="3"/>
      <c r="AM675" s="3"/>
      <c r="AR675" s="30"/>
    </row>
    <row r="676" spans="13:44" x14ac:dyDescent="0.2">
      <c r="M676" s="3"/>
      <c r="N676" s="3"/>
      <c r="O676" s="3"/>
      <c r="P676" s="3"/>
      <c r="AM676" s="3"/>
      <c r="AR676" s="30"/>
    </row>
    <row r="677" spans="13:44" x14ac:dyDescent="0.2">
      <c r="M677" s="3"/>
      <c r="N677" s="3"/>
      <c r="O677" s="3"/>
      <c r="P677" s="3"/>
      <c r="AM677" s="3"/>
      <c r="AR677" s="30"/>
    </row>
    <row r="678" spans="13:44" x14ac:dyDescent="0.2">
      <c r="M678" s="3"/>
      <c r="N678" s="3"/>
      <c r="O678" s="3"/>
      <c r="P678" s="3"/>
      <c r="AM678" s="3"/>
      <c r="AR678" s="30"/>
    </row>
    <row r="679" spans="13:44" x14ac:dyDescent="0.2">
      <c r="M679" s="3"/>
      <c r="N679" s="3"/>
      <c r="O679" s="3"/>
      <c r="P679" s="3"/>
      <c r="AM679" s="3"/>
      <c r="AR679" s="30"/>
    </row>
    <row r="680" spans="13:44" x14ac:dyDescent="0.2">
      <c r="M680" s="3"/>
      <c r="N680" s="3"/>
      <c r="O680" s="3"/>
      <c r="P680" s="3"/>
      <c r="AM680" s="3"/>
      <c r="AR680" s="30"/>
    </row>
    <row r="681" spans="13:44" x14ac:dyDescent="0.2">
      <c r="M681" s="3"/>
      <c r="N681" s="3"/>
      <c r="O681" s="3"/>
      <c r="P681" s="3"/>
      <c r="AM681" s="3"/>
      <c r="AR681" s="30"/>
    </row>
    <row r="682" spans="13:44" x14ac:dyDescent="0.2">
      <c r="M682" s="3"/>
      <c r="N682" s="3"/>
      <c r="O682" s="3"/>
      <c r="P682" s="3"/>
      <c r="AM682" s="3"/>
      <c r="AR682" s="30"/>
    </row>
    <row r="683" spans="13:44" x14ac:dyDescent="0.2">
      <c r="M683" s="3"/>
      <c r="N683" s="3"/>
      <c r="O683" s="3"/>
      <c r="P683" s="3"/>
      <c r="AM683" s="3"/>
      <c r="AR683" s="30"/>
    </row>
    <row r="684" spans="13:44" x14ac:dyDescent="0.2">
      <c r="M684" s="3"/>
      <c r="N684" s="3"/>
      <c r="O684" s="3"/>
      <c r="P684" s="3"/>
      <c r="AM684" s="3"/>
      <c r="AR684" s="30"/>
    </row>
    <row r="685" spans="13:44" x14ac:dyDescent="0.2">
      <c r="M685" s="3"/>
      <c r="N685" s="3"/>
      <c r="O685" s="3"/>
      <c r="P685" s="3"/>
      <c r="AM685" s="3"/>
      <c r="AR685" s="30"/>
    </row>
    <row r="686" spans="13:44" x14ac:dyDescent="0.2">
      <c r="M686" s="3"/>
      <c r="N686" s="3"/>
      <c r="O686" s="3"/>
      <c r="P686" s="3"/>
      <c r="AM686" s="3"/>
      <c r="AR686" s="30"/>
    </row>
    <row r="687" spans="13:44" x14ac:dyDescent="0.2">
      <c r="M687" s="3"/>
      <c r="N687" s="3"/>
      <c r="O687" s="3"/>
      <c r="P687" s="3"/>
      <c r="AM687" s="3"/>
      <c r="AR687" s="30"/>
    </row>
    <row r="688" spans="13:44" x14ac:dyDescent="0.2">
      <c r="M688" s="3"/>
      <c r="N688" s="3"/>
      <c r="O688" s="3"/>
      <c r="P688" s="3"/>
      <c r="AM688" s="3"/>
      <c r="AR688" s="30"/>
    </row>
    <row r="689" spans="13:44" x14ac:dyDescent="0.2">
      <c r="M689" s="3"/>
      <c r="N689" s="3"/>
      <c r="O689" s="3"/>
      <c r="P689" s="3"/>
      <c r="AM689" s="3"/>
      <c r="AR689" s="30"/>
    </row>
    <row r="690" spans="13:44" x14ac:dyDescent="0.2">
      <c r="M690" s="3"/>
      <c r="N690" s="3"/>
      <c r="O690" s="3"/>
      <c r="P690" s="3"/>
      <c r="AM690" s="3"/>
      <c r="AR690" s="30"/>
    </row>
    <row r="691" spans="13:44" x14ac:dyDescent="0.2">
      <c r="M691" s="3"/>
      <c r="N691" s="3"/>
      <c r="O691" s="3"/>
      <c r="P691" s="3"/>
      <c r="AM691" s="3"/>
      <c r="AR691" s="30"/>
    </row>
    <row r="692" spans="13:44" x14ac:dyDescent="0.2">
      <c r="M692" s="3"/>
      <c r="N692" s="3"/>
      <c r="O692" s="3"/>
      <c r="P692" s="3"/>
      <c r="AM692" s="3"/>
      <c r="AR692" s="30"/>
    </row>
    <row r="693" spans="13:44" x14ac:dyDescent="0.2">
      <c r="M693" s="3"/>
      <c r="N693" s="3"/>
      <c r="O693" s="3"/>
      <c r="P693" s="3"/>
      <c r="AM693" s="3"/>
      <c r="AR693" s="30"/>
    </row>
    <row r="694" spans="13:44" x14ac:dyDescent="0.2">
      <c r="M694" s="3"/>
      <c r="N694" s="3"/>
      <c r="O694" s="3"/>
      <c r="P694" s="3"/>
      <c r="AM694" s="3"/>
      <c r="AR694" s="30"/>
    </row>
    <row r="695" spans="13:44" x14ac:dyDescent="0.2">
      <c r="M695" s="3"/>
      <c r="N695" s="3"/>
      <c r="O695" s="3"/>
      <c r="P695" s="3"/>
      <c r="AM695" s="3"/>
      <c r="AR695" s="30"/>
    </row>
    <row r="696" spans="13:44" x14ac:dyDescent="0.2">
      <c r="M696" s="3"/>
      <c r="N696" s="3"/>
      <c r="O696" s="3"/>
      <c r="P696" s="3"/>
      <c r="AM696" s="3"/>
      <c r="AR696" s="30"/>
    </row>
    <row r="697" spans="13:44" x14ac:dyDescent="0.2">
      <c r="M697" s="3"/>
      <c r="N697" s="3"/>
      <c r="O697" s="3"/>
      <c r="P697" s="3"/>
      <c r="AM697" s="3"/>
      <c r="AR697" s="30"/>
    </row>
    <row r="698" spans="13:44" x14ac:dyDescent="0.2">
      <c r="M698" s="3"/>
      <c r="N698" s="3"/>
      <c r="O698" s="3"/>
      <c r="P698" s="3"/>
      <c r="AM698" s="3"/>
      <c r="AR698" s="30"/>
    </row>
    <row r="699" spans="13:44" x14ac:dyDescent="0.2">
      <c r="M699" s="3"/>
      <c r="N699" s="3"/>
      <c r="O699" s="3"/>
      <c r="P699" s="3"/>
      <c r="AM699" s="3"/>
      <c r="AR699" s="30"/>
    </row>
    <row r="700" spans="13:44" x14ac:dyDescent="0.2">
      <c r="M700" s="3"/>
      <c r="N700" s="3"/>
      <c r="O700" s="3"/>
      <c r="P700" s="3"/>
      <c r="AM700" s="3"/>
      <c r="AR700" s="30"/>
    </row>
    <row r="701" spans="13:44" x14ac:dyDescent="0.2">
      <c r="M701" s="3"/>
      <c r="N701" s="3"/>
      <c r="O701" s="3"/>
      <c r="P701" s="3"/>
      <c r="AM701" s="3"/>
      <c r="AR701" s="30"/>
    </row>
    <row r="702" spans="13:44" x14ac:dyDescent="0.2">
      <c r="M702" s="3"/>
      <c r="N702" s="3"/>
      <c r="O702" s="3"/>
      <c r="P702" s="3"/>
      <c r="AM702" s="3"/>
      <c r="AR702" s="30"/>
    </row>
    <row r="703" spans="13:44" x14ac:dyDescent="0.2">
      <c r="M703" s="3"/>
      <c r="N703" s="3"/>
      <c r="O703" s="3"/>
      <c r="P703" s="3"/>
      <c r="AM703" s="3"/>
      <c r="AR703" s="30"/>
    </row>
    <row r="704" spans="13:44" x14ac:dyDescent="0.2">
      <c r="M704" s="3"/>
      <c r="N704" s="3"/>
      <c r="O704" s="3"/>
      <c r="P704" s="3"/>
      <c r="AM704" s="3"/>
      <c r="AR704" s="30"/>
    </row>
    <row r="705" spans="13:44" x14ac:dyDescent="0.2">
      <c r="M705" s="3"/>
      <c r="N705" s="3"/>
      <c r="O705" s="3"/>
      <c r="P705" s="3"/>
      <c r="AM705" s="3"/>
      <c r="AR705" s="30"/>
    </row>
    <row r="706" spans="13:44" x14ac:dyDescent="0.2">
      <c r="M706" s="3"/>
      <c r="N706" s="3"/>
      <c r="O706" s="3"/>
      <c r="P706" s="3"/>
      <c r="AM706" s="3"/>
      <c r="AR706" s="30"/>
    </row>
    <row r="707" spans="13:44" x14ac:dyDescent="0.2">
      <c r="M707" s="3"/>
      <c r="N707" s="3"/>
      <c r="O707" s="3"/>
      <c r="P707" s="3"/>
      <c r="AM707" s="3"/>
      <c r="AR707" s="30"/>
    </row>
    <row r="708" spans="13:44" x14ac:dyDescent="0.2">
      <c r="M708" s="3"/>
      <c r="N708" s="3"/>
      <c r="O708" s="3"/>
      <c r="P708" s="3"/>
      <c r="AM708" s="3"/>
      <c r="AR708" s="30"/>
    </row>
    <row r="709" spans="13:44" x14ac:dyDescent="0.2">
      <c r="M709" s="3"/>
      <c r="N709" s="3"/>
      <c r="O709" s="3"/>
      <c r="P709" s="3"/>
      <c r="AM709" s="3"/>
      <c r="AR709" s="30"/>
    </row>
    <row r="710" spans="13:44" x14ac:dyDescent="0.2">
      <c r="M710" s="3"/>
      <c r="N710" s="3"/>
      <c r="O710" s="3"/>
      <c r="P710" s="3"/>
      <c r="AM710" s="3"/>
      <c r="AR710" s="30"/>
    </row>
    <row r="711" spans="13:44" x14ac:dyDescent="0.2">
      <c r="M711" s="3"/>
      <c r="N711" s="3"/>
      <c r="O711" s="3"/>
      <c r="P711" s="3"/>
      <c r="AM711" s="3"/>
      <c r="AR711" s="30"/>
    </row>
    <row r="712" spans="13:44" x14ac:dyDescent="0.2">
      <c r="M712" s="3"/>
      <c r="N712" s="3"/>
      <c r="O712" s="3"/>
      <c r="P712" s="3"/>
      <c r="AM712" s="3"/>
      <c r="AR712" s="30"/>
    </row>
    <row r="713" spans="13:44" x14ac:dyDescent="0.2">
      <c r="M713" s="3"/>
      <c r="N713" s="3"/>
      <c r="O713" s="3"/>
      <c r="P713" s="3"/>
      <c r="AM713" s="3"/>
      <c r="AR713" s="30"/>
    </row>
    <row r="714" spans="13:44" x14ac:dyDescent="0.2">
      <c r="M714" s="3"/>
      <c r="N714" s="3"/>
      <c r="O714" s="3"/>
      <c r="P714" s="3"/>
      <c r="AM714" s="3"/>
      <c r="AR714" s="30"/>
    </row>
    <row r="715" spans="13:44" x14ac:dyDescent="0.2">
      <c r="M715" s="3"/>
      <c r="N715" s="3"/>
      <c r="O715" s="3"/>
      <c r="P715" s="3"/>
      <c r="AM715" s="3"/>
      <c r="AR715" s="30"/>
    </row>
    <row r="716" spans="13:44" x14ac:dyDescent="0.2">
      <c r="M716" s="3"/>
      <c r="N716" s="3"/>
      <c r="O716" s="3"/>
      <c r="P716" s="3"/>
      <c r="AM716" s="3"/>
      <c r="AR716" s="30"/>
    </row>
    <row r="717" spans="13:44" x14ac:dyDescent="0.2">
      <c r="M717" s="3"/>
      <c r="N717" s="3"/>
      <c r="O717" s="3"/>
      <c r="P717" s="3"/>
      <c r="AM717" s="3"/>
      <c r="AR717" s="30"/>
    </row>
    <row r="718" spans="13:44" x14ac:dyDescent="0.2">
      <c r="M718" s="3"/>
      <c r="N718" s="3"/>
      <c r="O718" s="3"/>
      <c r="P718" s="3"/>
      <c r="AM718" s="3"/>
      <c r="AR718" s="30"/>
    </row>
    <row r="719" spans="13:44" x14ac:dyDescent="0.2">
      <c r="M719" s="3"/>
      <c r="N719" s="3"/>
      <c r="O719" s="3"/>
      <c r="P719" s="3"/>
      <c r="AM719" s="3"/>
      <c r="AR719" s="30"/>
    </row>
    <row r="720" spans="13:44" x14ac:dyDescent="0.2">
      <c r="M720" s="3"/>
      <c r="N720" s="3"/>
      <c r="O720" s="3"/>
      <c r="P720" s="3"/>
      <c r="AM720" s="3"/>
      <c r="AR720" s="30"/>
    </row>
    <row r="721" spans="13:44" x14ac:dyDescent="0.2">
      <c r="M721" s="3"/>
      <c r="N721" s="3"/>
      <c r="O721" s="3"/>
      <c r="P721" s="3"/>
      <c r="AM721" s="3"/>
      <c r="AR721" s="30"/>
    </row>
    <row r="722" spans="13:44" x14ac:dyDescent="0.2">
      <c r="M722" s="3"/>
      <c r="N722" s="3"/>
      <c r="O722" s="3"/>
      <c r="P722" s="3"/>
      <c r="AM722" s="3"/>
      <c r="AR722" s="30"/>
    </row>
    <row r="723" spans="13:44" x14ac:dyDescent="0.2">
      <c r="M723" s="3"/>
      <c r="N723" s="3"/>
      <c r="O723" s="3"/>
      <c r="P723" s="3"/>
      <c r="AM723" s="3"/>
      <c r="AR723" s="30"/>
    </row>
    <row r="724" spans="13:44" x14ac:dyDescent="0.2">
      <c r="M724" s="3"/>
      <c r="N724" s="3"/>
      <c r="O724" s="3"/>
      <c r="P724" s="3"/>
      <c r="AM724" s="3"/>
      <c r="AR724" s="30"/>
    </row>
    <row r="725" spans="13:44" x14ac:dyDescent="0.2">
      <c r="M725" s="3"/>
      <c r="N725" s="3"/>
      <c r="O725" s="3"/>
      <c r="P725" s="3"/>
      <c r="AM725" s="3"/>
      <c r="AR725" s="30"/>
    </row>
    <row r="726" spans="13:44" x14ac:dyDescent="0.2">
      <c r="M726" s="3"/>
      <c r="N726" s="3"/>
      <c r="O726" s="3"/>
      <c r="P726" s="3"/>
      <c r="AM726" s="3"/>
      <c r="AR726" s="30"/>
    </row>
    <row r="727" spans="13:44" x14ac:dyDescent="0.2">
      <c r="M727" s="3"/>
      <c r="N727" s="3"/>
      <c r="O727" s="3"/>
      <c r="P727" s="3"/>
      <c r="AM727" s="3"/>
      <c r="AR727" s="30"/>
    </row>
    <row r="728" spans="13:44" x14ac:dyDescent="0.2">
      <c r="M728" s="3"/>
      <c r="N728" s="3"/>
      <c r="O728" s="3"/>
      <c r="P728" s="3"/>
      <c r="AM728" s="3"/>
      <c r="AR728" s="30"/>
    </row>
    <row r="729" spans="13:44" x14ac:dyDescent="0.2">
      <c r="M729" s="3"/>
      <c r="N729" s="3"/>
      <c r="O729" s="3"/>
      <c r="P729" s="3"/>
      <c r="AM729" s="3"/>
      <c r="AR729" s="30"/>
    </row>
    <row r="730" spans="13:44" x14ac:dyDescent="0.2">
      <c r="M730" s="3"/>
      <c r="N730" s="3"/>
      <c r="O730" s="3"/>
      <c r="P730" s="3"/>
      <c r="AM730" s="3"/>
      <c r="AR730" s="30"/>
    </row>
    <row r="731" spans="13:44" x14ac:dyDescent="0.2">
      <c r="M731" s="3"/>
      <c r="N731" s="3"/>
      <c r="O731" s="3"/>
      <c r="P731" s="3"/>
      <c r="AM731" s="3"/>
      <c r="AR731" s="30"/>
    </row>
    <row r="732" spans="13:44" x14ac:dyDescent="0.2">
      <c r="M732" s="3"/>
      <c r="N732" s="3"/>
      <c r="O732" s="3"/>
      <c r="P732" s="3"/>
      <c r="AM732" s="3"/>
      <c r="AR732" s="30"/>
    </row>
    <row r="733" spans="13:44" x14ac:dyDescent="0.2">
      <c r="M733" s="3"/>
      <c r="N733" s="3"/>
      <c r="O733" s="3"/>
      <c r="P733" s="3"/>
      <c r="AM733" s="3"/>
      <c r="AR733" s="30"/>
    </row>
    <row r="734" spans="13:44" x14ac:dyDescent="0.2">
      <c r="M734" s="3"/>
      <c r="N734" s="3"/>
      <c r="O734" s="3"/>
      <c r="P734" s="3"/>
      <c r="AM734" s="3"/>
      <c r="AR734" s="30"/>
    </row>
    <row r="735" spans="13:44" x14ac:dyDescent="0.2">
      <c r="M735" s="3"/>
      <c r="N735" s="3"/>
      <c r="O735" s="3"/>
      <c r="P735" s="3"/>
      <c r="AM735" s="3"/>
      <c r="AR735" s="30"/>
    </row>
    <row r="736" spans="13:44" x14ac:dyDescent="0.2">
      <c r="M736" s="3"/>
      <c r="N736" s="3"/>
      <c r="O736" s="3"/>
      <c r="P736" s="3"/>
      <c r="AM736" s="3"/>
      <c r="AR736" s="30"/>
    </row>
    <row r="737" spans="13:44" x14ac:dyDescent="0.2">
      <c r="M737" s="3"/>
      <c r="N737" s="3"/>
      <c r="O737" s="3"/>
      <c r="P737" s="3"/>
      <c r="AM737" s="3"/>
      <c r="AR737" s="30"/>
    </row>
    <row r="738" spans="13:44" x14ac:dyDescent="0.2">
      <c r="M738" s="3"/>
      <c r="N738" s="3"/>
      <c r="O738" s="3"/>
      <c r="P738" s="3"/>
      <c r="AM738" s="3"/>
      <c r="AR738" s="30"/>
    </row>
    <row r="739" spans="13:44" x14ac:dyDescent="0.2">
      <c r="M739" s="3"/>
      <c r="N739" s="3"/>
      <c r="O739" s="3"/>
      <c r="P739" s="3"/>
      <c r="AM739" s="3"/>
      <c r="AR739" s="30"/>
    </row>
    <row r="740" spans="13:44" x14ac:dyDescent="0.2">
      <c r="M740" s="3"/>
      <c r="N740" s="3"/>
      <c r="O740" s="3"/>
      <c r="P740" s="3"/>
      <c r="AM740" s="3"/>
      <c r="AR740" s="30"/>
    </row>
    <row r="741" spans="13:44" x14ac:dyDescent="0.2">
      <c r="M741" s="3"/>
      <c r="N741" s="3"/>
      <c r="O741" s="3"/>
      <c r="P741" s="3"/>
      <c r="AM741" s="3"/>
      <c r="AR741" s="30"/>
    </row>
    <row r="742" spans="13:44" x14ac:dyDescent="0.2">
      <c r="M742" s="3"/>
      <c r="N742" s="3"/>
      <c r="O742" s="3"/>
      <c r="P742" s="3"/>
      <c r="AM742" s="3"/>
      <c r="AR742" s="30"/>
    </row>
    <row r="743" spans="13:44" x14ac:dyDescent="0.2">
      <c r="M743" s="3"/>
      <c r="N743" s="3"/>
      <c r="O743" s="3"/>
      <c r="P743" s="3"/>
      <c r="AM743" s="3"/>
      <c r="AR743" s="30"/>
    </row>
    <row r="744" spans="13:44" x14ac:dyDescent="0.2">
      <c r="M744" s="3"/>
      <c r="N744" s="3"/>
      <c r="O744" s="3"/>
      <c r="P744" s="3"/>
      <c r="AM744" s="3"/>
      <c r="AR744" s="30"/>
    </row>
    <row r="745" spans="13:44" x14ac:dyDescent="0.2">
      <c r="M745" s="3"/>
      <c r="N745" s="3"/>
      <c r="O745" s="3"/>
      <c r="P745" s="3"/>
      <c r="AM745" s="3"/>
      <c r="AR745" s="30"/>
    </row>
    <row r="746" spans="13:44" x14ac:dyDescent="0.2">
      <c r="M746" s="3"/>
      <c r="N746" s="3"/>
      <c r="O746" s="3"/>
      <c r="P746" s="3"/>
      <c r="AM746" s="3"/>
      <c r="AR746" s="30"/>
    </row>
    <row r="747" spans="13:44" x14ac:dyDescent="0.2">
      <c r="M747" s="3"/>
      <c r="N747" s="3"/>
      <c r="O747" s="3"/>
      <c r="P747" s="3"/>
      <c r="AM747" s="3"/>
      <c r="AR747" s="30"/>
    </row>
    <row r="748" spans="13:44" x14ac:dyDescent="0.2">
      <c r="M748" s="3"/>
      <c r="N748" s="3"/>
      <c r="O748" s="3"/>
      <c r="P748" s="3"/>
      <c r="AM748" s="3"/>
      <c r="AR748" s="30"/>
    </row>
    <row r="749" spans="13:44" x14ac:dyDescent="0.2">
      <c r="M749" s="3"/>
      <c r="N749" s="3"/>
      <c r="O749" s="3"/>
      <c r="P749" s="3"/>
      <c r="AM749" s="3"/>
      <c r="AR749" s="30"/>
    </row>
    <row r="750" spans="13:44" x14ac:dyDescent="0.2">
      <c r="M750" s="3"/>
      <c r="N750" s="3"/>
      <c r="O750" s="3"/>
      <c r="P750" s="3"/>
      <c r="AM750" s="3"/>
      <c r="AR750" s="30"/>
    </row>
    <row r="751" spans="13:44" x14ac:dyDescent="0.2">
      <c r="M751" s="3"/>
      <c r="N751" s="3"/>
      <c r="O751" s="3"/>
      <c r="P751" s="3"/>
      <c r="AM751" s="3"/>
      <c r="AR751" s="30"/>
    </row>
    <row r="752" spans="13:44" x14ac:dyDescent="0.2">
      <c r="M752" s="3"/>
      <c r="N752" s="3"/>
      <c r="O752" s="3"/>
      <c r="P752" s="3"/>
      <c r="AM752" s="3"/>
      <c r="AR752" s="30"/>
    </row>
    <row r="753" spans="13:44" x14ac:dyDescent="0.2">
      <c r="M753" s="3"/>
      <c r="N753" s="3"/>
      <c r="O753" s="3"/>
      <c r="P753" s="3"/>
      <c r="AM753" s="3"/>
      <c r="AR753" s="30"/>
    </row>
    <row r="754" spans="13:44" x14ac:dyDescent="0.2">
      <c r="M754" s="3"/>
      <c r="N754" s="3"/>
      <c r="O754" s="3"/>
      <c r="P754" s="3"/>
      <c r="AM754" s="3"/>
      <c r="AR754" s="30"/>
    </row>
    <row r="755" spans="13:44" x14ac:dyDescent="0.2">
      <c r="M755" s="3"/>
      <c r="N755" s="3"/>
      <c r="O755" s="3"/>
      <c r="P755" s="3"/>
      <c r="AM755" s="3"/>
      <c r="AR755" s="30"/>
    </row>
    <row r="756" spans="13:44" x14ac:dyDescent="0.2">
      <c r="M756" s="3"/>
      <c r="N756" s="3"/>
      <c r="O756" s="3"/>
      <c r="P756" s="3"/>
      <c r="AM756" s="3"/>
      <c r="AR756" s="30"/>
    </row>
    <row r="757" spans="13:44" x14ac:dyDescent="0.2">
      <c r="M757" s="3"/>
      <c r="N757" s="3"/>
      <c r="O757" s="3"/>
      <c r="P757" s="3"/>
      <c r="AM757" s="3"/>
      <c r="AR757" s="30"/>
    </row>
    <row r="758" spans="13:44" x14ac:dyDescent="0.2">
      <c r="M758" s="3"/>
      <c r="N758" s="3"/>
      <c r="O758" s="3"/>
      <c r="P758" s="3"/>
      <c r="AM758" s="3"/>
      <c r="AR758" s="30"/>
    </row>
    <row r="759" spans="13:44" x14ac:dyDescent="0.2">
      <c r="M759" s="3"/>
      <c r="N759" s="3"/>
      <c r="O759" s="3"/>
      <c r="P759" s="3"/>
      <c r="AM759" s="3"/>
      <c r="AR759" s="30"/>
    </row>
    <row r="760" spans="13:44" x14ac:dyDescent="0.2">
      <c r="M760" s="3"/>
      <c r="N760" s="3"/>
      <c r="O760" s="3"/>
      <c r="P760" s="3"/>
      <c r="AM760" s="3"/>
      <c r="AR760" s="30"/>
    </row>
    <row r="761" spans="13:44" x14ac:dyDescent="0.2">
      <c r="M761" s="3"/>
      <c r="N761" s="3"/>
      <c r="O761" s="3"/>
      <c r="P761" s="3"/>
      <c r="AM761" s="3"/>
      <c r="AR761" s="30"/>
    </row>
    <row r="762" spans="13:44" x14ac:dyDescent="0.2">
      <c r="M762" s="3"/>
      <c r="N762" s="3"/>
      <c r="O762" s="3"/>
      <c r="P762" s="3"/>
      <c r="AM762" s="3"/>
      <c r="AR762" s="30"/>
    </row>
    <row r="763" spans="13:44" x14ac:dyDescent="0.2">
      <c r="M763" s="3"/>
      <c r="N763" s="3"/>
      <c r="O763" s="3"/>
      <c r="P763" s="3"/>
      <c r="AM763" s="3"/>
      <c r="AR763" s="30"/>
    </row>
    <row r="764" spans="13:44" x14ac:dyDescent="0.2">
      <c r="M764" s="3"/>
      <c r="N764" s="3"/>
      <c r="O764" s="3"/>
      <c r="P764" s="3"/>
      <c r="AM764" s="3"/>
      <c r="AR764" s="30"/>
    </row>
    <row r="765" spans="13:44" x14ac:dyDescent="0.2">
      <c r="M765" s="3"/>
      <c r="N765" s="3"/>
      <c r="O765" s="3"/>
      <c r="P765" s="3"/>
      <c r="AM765" s="3"/>
      <c r="AR765" s="30"/>
    </row>
    <row r="766" spans="13:44" x14ac:dyDescent="0.2">
      <c r="M766" s="3"/>
      <c r="N766" s="3"/>
      <c r="O766" s="3"/>
      <c r="P766" s="3"/>
      <c r="AM766" s="3"/>
      <c r="AR766" s="30"/>
    </row>
    <row r="767" spans="13:44" x14ac:dyDescent="0.2">
      <c r="M767" s="3"/>
      <c r="N767" s="3"/>
      <c r="O767" s="3"/>
      <c r="P767" s="3"/>
      <c r="AM767" s="3"/>
      <c r="AR767" s="30"/>
    </row>
    <row r="768" spans="13:44" x14ac:dyDescent="0.2">
      <c r="M768" s="3"/>
      <c r="N768" s="3"/>
      <c r="O768" s="3"/>
      <c r="P768" s="3"/>
      <c r="AM768" s="3"/>
      <c r="AR768" s="30"/>
    </row>
    <row r="769" spans="13:44" x14ac:dyDescent="0.2">
      <c r="M769" s="3"/>
      <c r="N769" s="3"/>
      <c r="O769" s="3"/>
      <c r="P769" s="3"/>
      <c r="AM769" s="3"/>
      <c r="AR769" s="30"/>
    </row>
    <row r="770" spans="13:44" x14ac:dyDescent="0.2">
      <c r="M770" s="3"/>
      <c r="N770" s="3"/>
      <c r="O770" s="3"/>
      <c r="P770" s="3"/>
      <c r="AM770" s="3"/>
      <c r="AR770" s="30"/>
    </row>
    <row r="771" spans="13:44" x14ac:dyDescent="0.2">
      <c r="M771" s="3"/>
      <c r="N771" s="3"/>
      <c r="O771" s="3"/>
      <c r="P771" s="3"/>
      <c r="AM771" s="3"/>
      <c r="AR771" s="30"/>
    </row>
    <row r="772" spans="13:44" x14ac:dyDescent="0.2">
      <c r="M772" s="3"/>
      <c r="N772" s="3"/>
      <c r="O772" s="3"/>
      <c r="P772" s="3"/>
      <c r="AM772" s="3"/>
      <c r="AR772" s="30"/>
    </row>
    <row r="773" spans="13:44" x14ac:dyDescent="0.2">
      <c r="M773" s="3"/>
      <c r="N773" s="3"/>
      <c r="O773" s="3"/>
      <c r="P773" s="3"/>
      <c r="AM773" s="3"/>
      <c r="AR773" s="30"/>
    </row>
    <row r="774" spans="13:44" x14ac:dyDescent="0.2">
      <c r="M774" s="3"/>
      <c r="N774" s="3"/>
      <c r="O774" s="3"/>
      <c r="P774" s="3"/>
      <c r="AM774" s="3"/>
      <c r="AR774" s="30"/>
    </row>
    <row r="775" spans="13:44" x14ac:dyDescent="0.2">
      <c r="M775" s="3"/>
      <c r="N775" s="3"/>
      <c r="O775" s="3"/>
      <c r="P775" s="3"/>
      <c r="AM775" s="3"/>
      <c r="AR775" s="30"/>
    </row>
    <row r="776" spans="13:44" x14ac:dyDescent="0.2">
      <c r="M776" s="3"/>
      <c r="N776" s="3"/>
      <c r="O776" s="3"/>
      <c r="P776" s="3"/>
      <c r="AM776" s="3"/>
      <c r="AR776" s="30"/>
    </row>
    <row r="777" spans="13:44" x14ac:dyDescent="0.2">
      <c r="M777" s="3"/>
      <c r="N777" s="3"/>
      <c r="O777" s="3"/>
      <c r="P777" s="3"/>
      <c r="AM777" s="3"/>
      <c r="AR777" s="30"/>
    </row>
    <row r="778" spans="13:44" x14ac:dyDescent="0.2">
      <c r="M778" s="3"/>
      <c r="N778" s="3"/>
      <c r="O778" s="3"/>
      <c r="P778" s="3"/>
      <c r="AM778" s="3"/>
      <c r="AR778" s="30"/>
    </row>
    <row r="779" spans="13:44" x14ac:dyDescent="0.2">
      <c r="M779" s="3"/>
      <c r="N779" s="3"/>
      <c r="O779" s="3"/>
      <c r="P779" s="3"/>
      <c r="AM779" s="3"/>
      <c r="AR779" s="30"/>
    </row>
    <row r="780" spans="13:44" x14ac:dyDescent="0.2">
      <c r="M780" s="3"/>
      <c r="N780" s="3"/>
      <c r="O780" s="3"/>
      <c r="P780" s="3"/>
      <c r="AM780" s="3"/>
      <c r="AR780" s="30"/>
    </row>
    <row r="781" spans="13:44" x14ac:dyDescent="0.2">
      <c r="M781" s="3"/>
      <c r="N781" s="3"/>
      <c r="O781" s="3"/>
      <c r="P781" s="3"/>
      <c r="AM781" s="3"/>
      <c r="AR781" s="30"/>
    </row>
    <row r="782" spans="13:44" x14ac:dyDescent="0.2">
      <c r="M782" s="3"/>
      <c r="N782" s="3"/>
      <c r="O782" s="3"/>
      <c r="P782" s="3"/>
      <c r="AM782" s="3"/>
      <c r="AR782" s="30"/>
    </row>
    <row r="783" spans="13:44" x14ac:dyDescent="0.2">
      <c r="M783" s="3"/>
      <c r="N783" s="3"/>
      <c r="O783" s="3"/>
      <c r="P783" s="3"/>
      <c r="AM783" s="3"/>
      <c r="AR783" s="30"/>
    </row>
    <row r="784" spans="13:44" x14ac:dyDescent="0.2">
      <c r="M784" s="3"/>
      <c r="N784" s="3"/>
      <c r="O784" s="3"/>
      <c r="P784" s="3"/>
      <c r="AM784" s="3"/>
      <c r="AR784" s="30"/>
    </row>
    <row r="785" spans="13:44" x14ac:dyDescent="0.2">
      <c r="M785" s="3"/>
      <c r="N785" s="3"/>
      <c r="O785" s="3"/>
      <c r="P785" s="3"/>
      <c r="AM785" s="3"/>
      <c r="AR785" s="30"/>
    </row>
    <row r="786" spans="13:44" x14ac:dyDescent="0.2">
      <c r="M786" s="3"/>
      <c r="N786" s="3"/>
      <c r="O786" s="3"/>
      <c r="P786" s="3"/>
      <c r="AM786" s="3"/>
      <c r="AR786" s="30"/>
    </row>
    <row r="787" spans="13:44" x14ac:dyDescent="0.2">
      <c r="M787" s="3"/>
      <c r="N787" s="3"/>
      <c r="O787" s="3"/>
      <c r="P787" s="3"/>
      <c r="AM787" s="3"/>
      <c r="AR787" s="30"/>
    </row>
    <row r="788" spans="13:44" x14ac:dyDescent="0.2">
      <c r="M788" s="3"/>
      <c r="N788" s="3"/>
      <c r="O788" s="3"/>
      <c r="P788" s="3"/>
      <c r="AM788" s="3"/>
      <c r="AR788" s="30"/>
    </row>
    <row r="789" spans="13:44" x14ac:dyDescent="0.2">
      <c r="M789" s="3"/>
      <c r="N789" s="3"/>
      <c r="O789" s="3"/>
      <c r="P789" s="3"/>
      <c r="AM789" s="3"/>
      <c r="AR789" s="30"/>
    </row>
    <row r="790" spans="13:44" x14ac:dyDescent="0.2">
      <c r="M790" s="3"/>
      <c r="N790" s="3"/>
      <c r="O790" s="3"/>
      <c r="P790" s="3"/>
      <c r="AM790" s="3"/>
      <c r="AR790" s="30"/>
    </row>
    <row r="791" spans="13:44" x14ac:dyDescent="0.2">
      <c r="M791" s="3"/>
      <c r="N791" s="3"/>
      <c r="O791" s="3"/>
      <c r="P791" s="3"/>
      <c r="AM791" s="3"/>
      <c r="AR791" s="30"/>
    </row>
    <row r="792" spans="13:44" x14ac:dyDescent="0.2">
      <c r="M792" s="3"/>
      <c r="N792" s="3"/>
      <c r="O792" s="3"/>
      <c r="P792" s="3"/>
      <c r="AM792" s="3"/>
      <c r="AR792" s="30"/>
    </row>
    <row r="793" spans="13:44" x14ac:dyDescent="0.2">
      <c r="M793" s="3"/>
      <c r="N793" s="3"/>
      <c r="O793" s="3"/>
      <c r="P793" s="3"/>
      <c r="AM793" s="3"/>
      <c r="AR793" s="30"/>
    </row>
    <row r="794" spans="13:44" x14ac:dyDescent="0.2">
      <c r="M794" s="3"/>
      <c r="N794" s="3"/>
      <c r="O794" s="3"/>
      <c r="P794" s="3"/>
      <c r="AM794" s="3"/>
      <c r="AR794" s="30"/>
    </row>
    <row r="795" spans="13:44" x14ac:dyDescent="0.2">
      <c r="M795" s="3"/>
      <c r="N795" s="3"/>
      <c r="O795" s="3"/>
      <c r="P795" s="3"/>
      <c r="AM795" s="3"/>
      <c r="AR795" s="30"/>
    </row>
    <row r="796" spans="13:44" x14ac:dyDescent="0.2">
      <c r="M796" s="3"/>
      <c r="N796" s="3"/>
      <c r="O796" s="3"/>
      <c r="P796" s="3"/>
      <c r="AM796" s="3"/>
      <c r="AR796" s="30"/>
    </row>
    <row r="797" spans="13:44" x14ac:dyDescent="0.2">
      <c r="M797" s="3"/>
      <c r="N797" s="3"/>
      <c r="O797" s="3"/>
      <c r="P797" s="3"/>
      <c r="AM797" s="3"/>
      <c r="AR797" s="30"/>
    </row>
    <row r="798" spans="13:44" x14ac:dyDescent="0.2">
      <c r="M798" s="3"/>
      <c r="N798" s="3"/>
      <c r="O798" s="3"/>
      <c r="P798" s="3"/>
      <c r="AM798" s="3"/>
      <c r="AR798" s="30"/>
    </row>
    <row r="799" spans="13:44" x14ac:dyDescent="0.2">
      <c r="M799" s="3"/>
      <c r="N799" s="3"/>
      <c r="O799" s="3"/>
      <c r="P799" s="3"/>
      <c r="AM799" s="3"/>
      <c r="AR799" s="30"/>
    </row>
    <row r="800" spans="13:44" x14ac:dyDescent="0.2">
      <c r="M800" s="3"/>
      <c r="N800" s="3"/>
      <c r="O800" s="3"/>
      <c r="P800" s="3"/>
      <c r="AM800" s="3"/>
      <c r="AR800" s="30"/>
    </row>
    <row r="801" spans="13:44" x14ac:dyDescent="0.2">
      <c r="M801" s="3"/>
      <c r="N801" s="3"/>
      <c r="O801" s="3"/>
      <c r="P801" s="3"/>
      <c r="AM801" s="3"/>
      <c r="AR801" s="30"/>
    </row>
    <row r="802" spans="13:44" x14ac:dyDescent="0.2">
      <c r="M802" s="3"/>
      <c r="N802" s="3"/>
      <c r="O802" s="3"/>
      <c r="P802" s="3"/>
      <c r="AM802" s="3"/>
      <c r="AR802" s="30"/>
    </row>
    <row r="803" spans="13:44" x14ac:dyDescent="0.2">
      <c r="M803" s="3"/>
      <c r="N803" s="3"/>
      <c r="O803" s="3"/>
      <c r="P803" s="3"/>
      <c r="AM803" s="3"/>
      <c r="AR803" s="30"/>
    </row>
    <row r="804" spans="13:44" x14ac:dyDescent="0.2">
      <c r="M804" s="3"/>
      <c r="N804" s="3"/>
      <c r="O804" s="3"/>
      <c r="P804" s="3"/>
      <c r="AM804" s="3"/>
      <c r="AR804" s="30"/>
    </row>
    <row r="805" spans="13:44" x14ac:dyDescent="0.2">
      <c r="M805" s="3"/>
      <c r="N805" s="3"/>
      <c r="O805" s="3"/>
      <c r="P805" s="3"/>
      <c r="AM805" s="3"/>
      <c r="AR805" s="30"/>
    </row>
    <row r="806" spans="13:44" x14ac:dyDescent="0.2">
      <c r="M806" s="3"/>
      <c r="N806" s="3"/>
      <c r="O806" s="3"/>
      <c r="P806" s="3"/>
      <c r="AM806" s="3"/>
      <c r="AR806" s="30"/>
    </row>
    <row r="807" spans="13:44" x14ac:dyDescent="0.2">
      <c r="M807" s="3"/>
      <c r="N807" s="3"/>
      <c r="O807" s="3"/>
      <c r="P807" s="3"/>
      <c r="AM807" s="3"/>
      <c r="AR807" s="30"/>
    </row>
    <row r="808" spans="13:44" x14ac:dyDescent="0.2">
      <c r="M808" s="3"/>
      <c r="N808" s="3"/>
      <c r="O808" s="3"/>
      <c r="P808" s="3"/>
      <c r="AM808" s="3"/>
      <c r="AR808" s="30"/>
    </row>
    <row r="809" spans="13:44" x14ac:dyDescent="0.2">
      <c r="M809" s="3"/>
      <c r="N809" s="3"/>
      <c r="O809" s="3"/>
      <c r="P809" s="3"/>
      <c r="AM809" s="3"/>
      <c r="AR809" s="30"/>
    </row>
    <row r="810" spans="13:44" x14ac:dyDescent="0.2">
      <c r="M810" s="3"/>
      <c r="N810" s="3"/>
      <c r="O810" s="3"/>
      <c r="P810" s="3"/>
      <c r="AM810" s="3"/>
      <c r="AR810" s="30"/>
    </row>
    <row r="811" spans="13:44" x14ac:dyDescent="0.2">
      <c r="M811" s="3"/>
      <c r="N811" s="3"/>
      <c r="O811" s="3"/>
      <c r="P811" s="3"/>
      <c r="AM811" s="3"/>
      <c r="AR811" s="30"/>
    </row>
    <row r="812" spans="13:44" x14ac:dyDescent="0.2">
      <c r="M812" s="3"/>
      <c r="N812" s="3"/>
      <c r="O812" s="3"/>
      <c r="P812" s="3"/>
      <c r="AM812" s="3"/>
      <c r="AR812" s="30"/>
    </row>
    <row r="813" spans="13:44" x14ac:dyDescent="0.2">
      <c r="M813" s="3"/>
      <c r="N813" s="3"/>
      <c r="O813" s="3"/>
      <c r="P813" s="3"/>
      <c r="AM813" s="3"/>
      <c r="AR813" s="30"/>
    </row>
    <row r="814" spans="13:44" x14ac:dyDescent="0.2">
      <c r="M814" s="3"/>
      <c r="N814" s="3"/>
      <c r="O814" s="3"/>
      <c r="P814" s="3"/>
      <c r="AM814" s="3"/>
      <c r="AR814" s="30"/>
    </row>
    <row r="815" spans="13:44" x14ac:dyDescent="0.2">
      <c r="M815" s="3"/>
      <c r="N815" s="3"/>
      <c r="O815" s="3"/>
      <c r="P815" s="3"/>
      <c r="AM815" s="3"/>
      <c r="AR815" s="30"/>
    </row>
    <row r="816" spans="13:44" x14ac:dyDescent="0.2">
      <c r="M816" s="3"/>
      <c r="N816" s="3"/>
      <c r="O816" s="3"/>
      <c r="P816" s="3"/>
      <c r="AM816" s="3"/>
      <c r="AR816" s="30"/>
    </row>
    <row r="817" spans="13:44" x14ac:dyDescent="0.2">
      <c r="M817" s="3"/>
      <c r="N817" s="3"/>
      <c r="O817" s="3"/>
      <c r="P817" s="3"/>
      <c r="AM817" s="3"/>
      <c r="AR817" s="30"/>
    </row>
    <row r="818" spans="13:44" x14ac:dyDescent="0.2">
      <c r="M818" s="3"/>
      <c r="N818" s="3"/>
      <c r="O818" s="3"/>
      <c r="P818" s="3"/>
      <c r="AM818" s="3"/>
      <c r="AR818" s="30"/>
    </row>
    <row r="819" spans="13:44" x14ac:dyDescent="0.2">
      <c r="M819" s="3"/>
      <c r="N819" s="3"/>
      <c r="O819" s="3"/>
      <c r="P819" s="3"/>
      <c r="AM819" s="3"/>
      <c r="AR819" s="30"/>
    </row>
    <row r="820" spans="13:44" x14ac:dyDescent="0.2">
      <c r="M820" s="3"/>
      <c r="N820" s="3"/>
      <c r="O820" s="3"/>
      <c r="P820" s="3"/>
      <c r="AM820" s="3"/>
      <c r="AR820" s="30"/>
    </row>
    <row r="821" spans="13:44" x14ac:dyDescent="0.2">
      <c r="M821" s="3"/>
      <c r="N821" s="3"/>
      <c r="O821" s="3"/>
      <c r="P821" s="3"/>
      <c r="AM821" s="3"/>
      <c r="AR821" s="30"/>
    </row>
    <row r="822" spans="13:44" x14ac:dyDescent="0.2">
      <c r="M822" s="3"/>
      <c r="N822" s="3"/>
      <c r="O822" s="3"/>
      <c r="P822" s="3"/>
      <c r="AM822" s="3"/>
      <c r="AR822" s="30"/>
    </row>
    <row r="823" spans="13:44" x14ac:dyDescent="0.2">
      <c r="M823" s="3"/>
      <c r="N823" s="3"/>
      <c r="O823" s="3"/>
      <c r="P823" s="3"/>
      <c r="AM823" s="3"/>
      <c r="AR823" s="30"/>
    </row>
    <row r="824" spans="13:44" x14ac:dyDescent="0.2">
      <c r="M824" s="3"/>
      <c r="N824" s="3"/>
      <c r="O824" s="3"/>
      <c r="P824" s="3"/>
      <c r="AM824" s="3"/>
      <c r="AR824" s="30"/>
    </row>
    <row r="825" spans="13:44" x14ac:dyDescent="0.2">
      <c r="M825" s="3"/>
      <c r="N825" s="3"/>
      <c r="O825" s="3"/>
      <c r="P825" s="3"/>
      <c r="AM825" s="3"/>
      <c r="AR825" s="30"/>
    </row>
    <row r="826" spans="13:44" x14ac:dyDescent="0.2">
      <c r="M826" s="3"/>
      <c r="N826" s="3"/>
      <c r="O826" s="3"/>
      <c r="P826" s="3"/>
      <c r="AM826" s="3"/>
      <c r="AR826" s="30"/>
    </row>
    <row r="827" spans="13:44" x14ac:dyDescent="0.2">
      <c r="M827" s="3"/>
      <c r="N827" s="3"/>
      <c r="O827" s="3"/>
      <c r="P827" s="3"/>
      <c r="AM827" s="3"/>
      <c r="AR827" s="30"/>
    </row>
    <row r="828" spans="13:44" x14ac:dyDescent="0.2">
      <c r="M828" s="3"/>
      <c r="N828" s="3"/>
      <c r="O828" s="3"/>
      <c r="P828" s="3"/>
      <c r="AM828" s="3"/>
      <c r="AR828" s="30"/>
    </row>
    <row r="829" spans="13:44" x14ac:dyDescent="0.2">
      <c r="M829" s="3"/>
      <c r="N829" s="3"/>
      <c r="O829" s="3"/>
      <c r="P829" s="3"/>
      <c r="AM829" s="3"/>
      <c r="AR829" s="30"/>
    </row>
    <row r="830" spans="13:44" x14ac:dyDescent="0.2">
      <c r="M830" s="3"/>
      <c r="N830" s="3"/>
      <c r="O830" s="3"/>
      <c r="P830" s="3"/>
      <c r="AM830" s="3"/>
      <c r="AR830" s="30"/>
    </row>
    <row r="831" spans="13:44" x14ac:dyDescent="0.2">
      <c r="M831" s="3"/>
      <c r="N831" s="3"/>
      <c r="O831" s="3"/>
      <c r="P831" s="3"/>
      <c r="AM831" s="3"/>
      <c r="AR831" s="30"/>
    </row>
    <row r="832" spans="13:44" x14ac:dyDescent="0.2">
      <c r="M832" s="3"/>
      <c r="N832" s="3"/>
      <c r="O832" s="3"/>
      <c r="P832" s="3"/>
      <c r="AM832" s="3"/>
      <c r="AR832" s="30"/>
    </row>
    <row r="833" spans="13:44" x14ac:dyDescent="0.2">
      <c r="M833" s="3"/>
      <c r="N833" s="3"/>
      <c r="O833" s="3"/>
      <c r="P833" s="3"/>
      <c r="AM833" s="3"/>
      <c r="AR833" s="30"/>
    </row>
    <row r="834" spans="13:44" x14ac:dyDescent="0.2">
      <c r="M834" s="3"/>
      <c r="N834" s="3"/>
      <c r="O834" s="3"/>
      <c r="P834" s="3"/>
      <c r="AM834" s="3"/>
      <c r="AR834" s="30"/>
    </row>
    <row r="835" spans="13:44" x14ac:dyDescent="0.2">
      <c r="M835" s="3"/>
      <c r="N835" s="3"/>
      <c r="O835" s="3"/>
      <c r="P835" s="3"/>
      <c r="AM835" s="3"/>
      <c r="AR835" s="30"/>
    </row>
    <row r="836" spans="13:44" x14ac:dyDescent="0.2">
      <c r="M836" s="3"/>
      <c r="N836" s="3"/>
      <c r="O836" s="3"/>
      <c r="P836" s="3"/>
      <c r="AM836" s="3"/>
      <c r="AR836" s="30"/>
    </row>
    <row r="837" spans="13:44" x14ac:dyDescent="0.2">
      <c r="M837" s="3"/>
      <c r="N837" s="3"/>
      <c r="O837" s="3"/>
      <c r="P837" s="3"/>
      <c r="AM837" s="3"/>
      <c r="AR837" s="30"/>
    </row>
    <row r="838" spans="13:44" x14ac:dyDescent="0.2">
      <c r="M838" s="3"/>
      <c r="N838" s="3"/>
      <c r="O838" s="3"/>
      <c r="P838" s="3"/>
      <c r="AM838" s="3"/>
      <c r="AR838" s="30"/>
    </row>
    <row r="839" spans="13:44" x14ac:dyDescent="0.2">
      <c r="M839" s="3"/>
      <c r="N839" s="3"/>
      <c r="O839" s="3"/>
      <c r="P839" s="3"/>
      <c r="AM839" s="3"/>
      <c r="AR839" s="30"/>
    </row>
    <row r="840" spans="13:44" x14ac:dyDescent="0.2">
      <c r="M840" s="3"/>
      <c r="N840" s="3"/>
      <c r="O840" s="3"/>
      <c r="P840" s="3"/>
      <c r="AM840" s="3"/>
      <c r="AR840" s="30"/>
    </row>
    <row r="841" spans="13:44" x14ac:dyDescent="0.2">
      <c r="M841" s="3"/>
      <c r="N841" s="3"/>
      <c r="O841" s="3"/>
      <c r="P841" s="3"/>
      <c r="AM841" s="3"/>
      <c r="AR841" s="30"/>
    </row>
    <row r="842" spans="13:44" x14ac:dyDescent="0.2">
      <c r="M842" s="3"/>
      <c r="N842" s="3"/>
      <c r="O842" s="3"/>
      <c r="P842" s="3"/>
      <c r="AM842" s="3"/>
      <c r="AR842" s="30"/>
    </row>
    <row r="843" spans="13:44" x14ac:dyDescent="0.2">
      <c r="M843" s="3"/>
      <c r="N843" s="3"/>
      <c r="O843" s="3"/>
      <c r="P843" s="3"/>
      <c r="AM843" s="3"/>
      <c r="AR843" s="30"/>
    </row>
    <row r="844" spans="13:44" x14ac:dyDescent="0.2">
      <c r="M844" s="3"/>
      <c r="N844" s="3"/>
      <c r="O844" s="3"/>
      <c r="P844" s="3"/>
      <c r="AM844" s="3"/>
      <c r="AR844" s="30"/>
    </row>
    <row r="845" spans="13:44" x14ac:dyDescent="0.2">
      <c r="M845" s="3"/>
      <c r="N845" s="3"/>
      <c r="O845" s="3"/>
      <c r="P845" s="3"/>
      <c r="AM845" s="3"/>
      <c r="AR845" s="30"/>
    </row>
    <row r="846" spans="13:44" x14ac:dyDescent="0.2">
      <c r="M846" s="3"/>
      <c r="N846" s="3"/>
      <c r="O846" s="3"/>
      <c r="P846" s="3"/>
      <c r="AM846" s="3"/>
      <c r="AR846" s="30"/>
    </row>
    <row r="847" spans="13:44" x14ac:dyDescent="0.2">
      <c r="M847" s="3"/>
      <c r="N847" s="3"/>
      <c r="O847" s="3"/>
      <c r="P847" s="3"/>
      <c r="AM847" s="3"/>
      <c r="AR847" s="30"/>
    </row>
    <row r="848" spans="13:44" x14ac:dyDescent="0.2">
      <c r="M848" s="3"/>
      <c r="N848" s="3"/>
      <c r="O848" s="3"/>
      <c r="P848" s="3"/>
      <c r="AM848" s="3"/>
      <c r="AR848" s="30"/>
    </row>
    <row r="849" spans="13:44" x14ac:dyDescent="0.2">
      <c r="M849" s="3"/>
      <c r="N849" s="3"/>
      <c r="O849" s="3"/>
      <c r="P849" s="3"/>
      <c r="AM849" s="3"/>
      <c r="AR849" s="30"/>
    </row>
    <row r="850" spans="13:44" x14ac:dyDescent="0.2">
      <c r="M850" s="3"/>
      <c r="N850" s="3"/>
      <c r="O850" s="3"/>
      <c r="P850" s="3"/>
      <c r="AM850" s="3"/>
      <c r="AR850" s="30"/>
    </row>
    <row r="851" spans="13:44" x14ac:dyDescent="0.2">
      <c r="M851" s="3"/>
      <c r="N851" s="3"/>
      <c r="O851" s="3"/>
      <c r="P851" s="3"/>
      <c r="AM851" s="3"/>
      <c r="AR851" s="30"/>
    </row>
    <row r="852" spans="13:44" x14ac:dyDescent="0.2">
      <c r="M852" s="3"/>
      <c r="N852" s="3"/>
      <c r="O852" s="3"/>
      <c r="P852" s="3"/>
      <c r="AM852" s="3"/>
      <c r="AR852" s="30"/>
    </row>
    <row r="853" spans="13:44" x14ac:dyDescent="0.2">
      <c r="M853" s="3"/>
      <c r="N853" s="3"/>
      <c r="O853" s="3"/>
      <c r="P853" s="3"/>
      <c r="AM853" s="3"/>
      <c r="AR853" s="30"/>
    </row>
    <row r="854" spans="13:44" x14ac:dyDescent="0.2">
      <c r="M854" s="3"/>
      <c r="N854" s="3"/>
      <c r="O854" s="3"/>
      <c r="P854" s="3"/>
      <c r="AM854" s="3"/>
      <c r="AR854" s="30"/>
    </row>
    <row r="855" spans="13:44" x14ac:dyDescent="0.2">
      <c r="M855" s="3"/>
      <c r="N855" s="3"/>
      <c r="O855" s="3"/>
      <c r="P855" s="3"/>
      <c r="AM855" s="3"/>
      <c r="AR855" s="30"/>
    </row>
    <row r="856" spans="13:44" x14ac:dyDescent="0.2">
      <c r="M856" s="3"/>
      <c r="N856" s="3"/>
      <c r="O856" s="3"/>
      <c r="P856" s="3"/>
      <c r="AM856" s="3"/>
      <c r="AR856" s="30"/>
    </row>
    <row r="857" spans="13:44" x14ac:dyDescent="0.2">
      <c r="M857" s="3"/>
      <c r="N857" s="3"/>
      <c r="O857" s="3"/>
      <c r="P857" s="3"/>
      <c r="AM857" s="3"/>
      <c r="AR857" s="30"/>
    </row>
    <row r="858" spans="13:44" x14ac:dyDescent="0.2">
      <c r="M858" s="3"/>
      <c r="N858" s="3"/>
      <c r="O858" s="3"/>
      <c r="P858" s="3"/>
      <c r="AM858" s="3"/>
      <c r="AR858" s="30"/>
    </row>
    <row r="859" spans="13:44" x14ac:dyDescent="0.2">
      <c r="M859" s="3"/>
      <c r="N859" s="3"/>
      <c r="O859" s="3"/>
      <c r="P859" s="3"/>
      <c r="AM859" s="3"/>
      <c r="AR859" s="30"/>
    </row>
    <row r="860" spans="13:44" x14ac:dyDescent="0.2">
      <c r="M860" s="3"/>
      <c r="N860" s="3"/>
      <c r="O860" s="3"/>
      <c r="P860" s="3"/>
      <c r="AM860" s="3"/>
      <c r="AR860" s="30"/>
    </row>
    <row r="861" spans="13:44" x14ac:dyDescent="0.2">
      <c r="M861" s="3"/>
      <c r="N861" s="3"/>
      <c r="O861" s="3"/>
      <c r="P861" s="3"/>
      <c r="AM861" s="3"/>
      <c r="AR861" s="30"/>
    </row>
    <row r="862" spans="13:44" x14ac:dyDescent="0.2">
      <c r="M862" s="3"/>
      <c r="N862" s="3"/>
      <c r="O862" s="3"/>
      <c r="P862" s="3"/>
      <c r="AM862" s="3"/>
      <c r="AR862" s="30"/>
    </row>
    <row r="863" spans="13:44" x14ac:dyDescent="0.2">
      <c r="M863" s="3"/>
      <c r="N863" s="3"/>
      <c r="O863" s="3"/>
      <c r="P863" s="3"/>
      <c r="AM863" s="3"/>
      <c r="AR863" s="30"/>
    </row>
    <row r="864" spans="13:44" x14ac:dyDescent="0.2">
      <c r="M864" s="3"/>
      <c r="N864" s="3"/>
      <c r="O864" s="3"/>
      <c r="P864" s="3"/>
      <c r="AM864" s="3"/>
      <c r="AR864" s="30"/>
    </row>
    <row r="865" spans="13:44" x14ac:dyDescent="0.2">
      <c r="M865" s="3"/>
      <c r="N865" s="3"/>
      <c r="O865" s="3"/>
      <c r="P865" s="3"/>
      <c r="AM865" s="3"/>
      <c r="AR865" s="30"/>
    </row>
    <row r="866" spans="13:44" x14ac:dyDescent="0.2">
      <c r="M866" s="3"/>
      <c r="N866" s="3"/>
      <c r="O866" s="3"/>
      <c r="P866" s="3"/>
      <c r="AM866" s="3"/>
      <c r="AR866" s="30"/>
    </row>
    <row r="867" spans="13:44" x14ac:dyDescent="0.2">
      <c r="M867" s="3"/>
      <c r="N867" s="3"/>
      <c r="O867" s="3"/>
      <c r="P867" s="3"/>
      <c r="AM867" s="3"/>
      <c r="AR867" s="30"/>
    </row>
    <row r="868" spans="13:44" x14ac:dyDescent="0.2">
      <c r="M868" s="3"/>
      <c r="N868" s="3"/>
      <c r="O868" s="3"/>
      <c r="P868" s="3"/>
      <c r="AM868" s="3"/>
      <c r="AR868" s="30"/>
    </row>
    <row r="869" spans="13:44" x14ac:dyDescent="0.2">
      <c r="M869" s="3"/>
      <c r="N869" s="3"/>
      <c r="O869" s="3"/>
      <c r="P869" s="3"/>
      <c r="AM869" s="3"/>
      <c r="AR869" s="30"/>
    </row>
    <row r="870" spans="13:44" x14ac:dyDescent="0.2">
      <c r="M870" s="3"/>
      <c r="N870" s="3"/>
      <c r="O870" s="3"/>
      <c r="P870" s="3"/>
      <c r="AM870" s="3"/>
      <c r="AR870" s="30"/>
    </row>
    <row r="871" spans="13:44" x14ac:dyDescent="0.2">
      <c r="M871" s="3"/>
      <c r="N871" s="3"/>
      <c r="O871" s="3"/>
      <c r="P871" s="3"/>
      <c r="AM871" s="3"/>
      <c r="AR871" s="30"/>
    </row>
    <row r="872" spans="13:44" x14ac:dyDescent="0.2">
      <c r="M872" s="3"/>
      <c r="N872" s="3"/>
      <c r="O872" s="3"/>
      <c r="P872" s="3"/>
      <c r="AM872" s="3"/>
      <c r="AR872" s="30"/>
    </row>
    <row r="873" spans="13:44" x14ac:dyDescent="0.2">
      <c r="M873" s="3"/>
      <c r="N873" s="3"/>
      <c r="O873" s="3"/>
      <c r="P873" s="3"/>
      <c r="AM873" s="3"/>
      <c r="AR873" s="30"/>
    </row>
    <row r="874" spans="13:44" x14ac:dyDescent="0.2">
      <c r="M874" s="3"/>
      <c r="N874" s="3"/>
      <c r="O874" s="3"/>
      <c r="P874" s="3"/>
      <c r="AM874" s="3"/>
      <c r="AR874" s="30"/>
    </row>
    <row r="875" spans="13:44" x14ac:dyDescent="0.2">
      <c r="M875" s="3"/>
      <c r="N875" s="3"/>
      <c r="O875" s="3"/>
      <c r="P875" s="3"/>
      <c r="AM875" s="3"/>
      <c r="AR875" s="30"/>
    </row>
    <row r="876" spans="13:44" x14ac:dyDescent="0.2">
      <c r="M876" s="3"/>
      <c r="N876" s="3"/>
      <c r="O876" s="3"/>
      <c r="P876" s="3"/>
      <c r="AM876" s="3"/>
      <c r="AR876" s="30"/>
    </row>
    <row r="877" spans="13:44" x14ac:dyDescent="0.2">
      <c r="M877" s="3"/>
      <c r="N877" s="3"/>
      <c r="O877" s="3"/>
      <c r="P877" s="3"/>
      <c r="AM877" s="3"/>
      <c r="AR877" s="30"/>
    </row>
    <row r="878" spans="13:44" x14ac:dyDescent="0.2">
      <c r="M878" s="3"/>
      <c r="N878" s="3"/>
      <c r="O878" s="3"/>
      <c r="P878" s="3"/>
      <c r="AM878" s="3"/>
      <c r="AR878" s="30"/>
    </row>
    <row r="879" spans="13:44" x14ac:dyDescent="0.2">
      <c r="M879" s="3"/>
      <c r="N879" s="3"/>
      <c r="O879" s="3"/>
      <c r="P879" s="3"/>
      <c r="AM879" s="3"/>
      <c r="AR879" s="30"/>
    </row>
    <row r="880" spans="13:44" x14ac:dyDescent="0.2">
      <c r="M880" s="3"/>
      <c r="N880" s="3"/>
      <c r="O880" s="3"/>
      <c r="P880" s="3"/>
      <c r="AM880" s="3"/>
      <c r="AR880" s="30"/>
    </row>
    <row r="881" spans="13:44" x14ac:dyDescent="0.2">
      <c r="M881" s="3"/>
      <c r="N881" s="3"/>
      <c r="O881" s="3"/>
      <c r="P881" s="3"/>
      <c r="AM881" s="3"/>
      <c r="AR881" s="30"/>
    </row>
    <row r="882" spans="13:44" x14ac:dyDescent="0.2">
      <c r="M882" s="3"/>
      <c r="N882" s="3"/>
      <c r="O882" s="3"/>
      <c r="P882" s="3"/>
      <c r="AM882" s="3"/>
      <c r="AR882" s="30"/>
    </row>
    <row r="883" spans="13:44" x14ac:dyDescent="0.2">
      <c r="M883" s="3"/>
      <c r="N883" s="3"/>
      <c r="O883" s="3"/>
      <c r="P883" s="3"/>
      <c r="AM883" s="3"/>
      <c r="AR883" s="30"/>
    </row>
    <row r="884" spans="13:44" x14ac:dyDescent="0.2">
      <c r="M884" s="3"/>
      <c r="N884" s="3"/>
      <c r="O884" s="3"/>
      <c r="P884" s="3"/>
      <c r="AM884" s="3"/>
      <c r="AR884" s="30"/>
    </row>
    <row r="885" spans="13:44" x14ac:dyDescent="0.2">
      <c r="M885" s="3"/>
      <c r="N885" s="3"/>
      <c r="O885" s="3"/>
      <c r="P885" s="3"/>
      <c r="AM885" s="3"/>
      <c r="AR885" s="30"/>
    </row>
    <row r="886" spans="13:44" x14ac:dyDescent="0.2">
      <c r="M886" s="3"/>
      <c r="N886" s="3"/>
      <c r="O886" s="3"/>
      <c r="P886" s="3"/>
      <c r="AM886" s="3"/>
      <c r="AR886" s="30"/>
    </row>
    <row r="887" spans="13:44" x14ac:dyDescent="0.2">
      <c r="M887" s="3"/>
      <c r="N887" s="3"/>
      <c r="O887" s="3"/>
      <c r="P887" s="3"/>
      <c r="AM887" s="3"/>
      <c r="AR887" s="30"/>
    </row>
    <row r="888" spans="13:44" x14ac:dyDescent="0.2">
      <c r="M888" s="3"/>
      <c r="N888" s="3"/>
      <c r="O888" s="3"/>
      <c r="P888" s="3"/>
      <c r="AM888" s="3"/>
      <c r="AR888" s="30"/>
    </row>
    <row r="889" spans="13:44" x14ac:dyDescent="0.2">
      <c r="M889" s="3"/>
      <c r="N889" s="3"/>
      <c r="O889" s="3"/>
      <c r="P889" s="3"/>
      <c r="AM889" s="3"/>
      <c r="AR889" s="30"/>
    </row>
    <row r="890" spans="13:44" x14ac:dyDescent="0.2">
      <c r="M890" s="3"/>
      <c r="N890" s="3"/>
      <c r="O890" s="3"/>
      <c r="P890" s="3"/>
      <c r="AM890" s="3"/>
      <c r="AR890" s="30"/>
    </row>
    <row r="891" spans="13:44" x14ac:dyDescent="0.2">
      <c r="M891" s="3"/>
      <c r="N891" s="3"/>
      <c r="O891" s="3"/>
      <c r="P891" s="3"/>
      <c r="AM891" s="3"/>
      <c r="AR891" s="30"/>
    </row>
    <row r="892" spans="13:44" x14ac:dyDescent="0.2">
      <c r="M892" s="3"/>
      <c r="N892" s="3"/>
      <c r="O892" s="3"/>
      <c r="P892" s="3"/>
      <c r="AM892" s="3"/>
      <c r="AR892" s="30"/>
    </row>
    <row r="893" spans="13:44" x14ac:dyDescent="0.2">
      <c r="M893" s="3"/>
      <c r="N893" s="3"/>
      <c r="O893" s="3"/>
      <c r="P893" s="3"/>
      <c r="AM893" s="3"/>
      <c r="AR893" s="30"/>
    </row>
    <row r="894" spans="13:44" x14ac:dyDescent="0.2">
      <c r="M894" s="3"/>
      <c r="N894" s="3"/>
      <c r="O894" s="3"/>
      <c r="P894" s="3"/>
      <c r="AM894" s="3"/>
      <c r="AR894" s="30"/>
    </row>
    <row r="895" spans="13:44" x14ac:dyDescent="0.2">
      <c r="M895" s="3"/>
      <c r="N895" s="3"/>
      <c r="O895" s="3"/>
      <c r="P895" s="3"/>
      <c r="AM895" s="3"/>
      <c r="AR895" s="30"/>
    </row>
    <row r="896" spans="13:44" x14ac:dyDescent="0.2">
      <c r="M896" s="3"/>
      <c r="N896" s="3"/>
      <c r="O896" s="3"/>
      <c r="P896" s="3"/>
      <c r="AM896" s="3"/>
      <c r="AR896" s="30"/>
    </row>
    <row r="897" spans="13:44" x14ac:dyDescent="0.2">
      <c r="M897" s="3"/>
      <c r="N897" s="3"/>
      <c r="O897" s="3"/>
      <c r="P897" s="3"/>
      <c r="AM897" s="3"/>
      <c r="AR897" s="30"/>
    </row>
    <row r="898" spans="13:44" x14ac:dyDescent="0.2">
      <c r="M898" s="3"/>
      <c r="N898" s="3"/>
      <c r="O898" s="3"/>
      <c r="P898" s="3"/>
      <c r="AM898" s="3"/>
      <c r="AR898" s="30"/>
    </row>
    <row r="899" spans="13:44" x14ac:dyDescent="0.2">
      <c r="M899" s="3"/>
      <c r="N899" s="3"/>
      <c r="O899" s="3"/>
      <c r="P899" s="3"/>
      <c r="AM899" s="3"/>
      <c r="AR899" s="30"/>
    </row>
    <row r="900" spans="13:44" x14ac:dyDescent="0.2">
      <c r="M900" s="3"/>
      <c r="N900" s="3"/>
      <c r="O900" s="3"/>
      <c r="P900" s="3"/>
      <c r="AM900" s="3"/>
      <c r="AR900" s="30"/>
    </row>
    <row r="901" spans="13:44" x14ac:dyDescent="0.2">
      <c r="M901" s="3"/>
      <c r="N901" s="3"/>
      <c r="O901" s="3"/>
      <c r="P901" s="3"/>
      <c r="AM901" s="3"/>
      <c r="AR901" s="30"/>
    </row>
    <row r="902" spans="13:44" x14ac:dyDescent="0.2">
      <c r="M902" s="3"/>
      <c r="N902" s="3"/>
      <c r="O902" s="3"/>
      <c r="P902" s="3"/>
      <c r="AM902" s="3"/>
      <c r="AR902" s="30"/>
    </row>
    <row r="903" spans="13:44" x14ac:dyDescent="0.2">
      <c r="M903" s="3"/>
      <c r="N903" s="3"/>
      <c r="O903" s="3"/>
      <c r="P903" s="3"/>
      <c r="AM903" s="3"/>
      <c r="AR903" s="30"/>
    </row>
    <row r="904" spans="13:44" x14ac:dyDescent="0.2">
      <c r="M904" s="3"/>
      <c r="N904" s="3"/>
      <c r="O904" s="3"/>
      <c r="P904" s="3"/>
      <c r="AM904" s="3"/>
      <c r="AR904" s="30"/>
    </row>
    <row r="905" spans="13:44" x14ac:dyDescent="0.2">
      <c r="M905" s="3"/>
      <c r="N905" s="3"/>
      <c r="O905" s="3"/>
      <c r="P905" s="3"/>
      <c r="AM905" s="3"/>
      <c r="AR905" s="30"/>
    </row>
    <row r="906" spans="13:44" x14ac:dyDescent="0.2">
      <c r="M906" s="3"/>
      <c r="N906" s="3"/>
      <c r="O906" s="3"/>
      <c r="P906" s="3"/>
      <c r="AM906" s="3"/>
      <c r="AR906" s="30"/>
    </row>
    <row r="907" spans="13:44" x14ac:dyDescent="0.2">
      <c r="M907" s="3"/>
      <c r="N907" s="3"/>
      <c r="O907" s="3"/>
      <c r="P907" s="3"/>
      <c r="AM907" s="3"/>
      <c r="AR907" s="30"/>
    </row>
    <row r="908" spans="13:44" x14ac:dyDescent="0.2">
      <c r="M908" s="3"/>
      <c r="N908" s="3"/>
      <c r="O908" s="3"/>
      <c r="P908" s="3"/>
      <c r="AM908" s="3"/>
      <c r="AR908" s="30"/>
    </row>
    <row r="909" spans="13:44" x14ac:dyDescent="0.2">
      <c r="M909" s="3"/>
      <c r="N909" s="3"/>
      <c r="O909" s="3"/>
      <c r="P909" s="3"/>
      <c r="AM909" s="3"/>
      <c r="AR909" s="30"/>
    </row>
    <row r="910" spans="13:44" x14ac:dyDescent="0.2">
      <c r="M910" s="3"/>
      <c r="N910" s="3"/>
      <c r="O910" s="3"/>
      <c r="P910" s="3"/>
      <c r="AM910" s="3"/>
      <c r="AR910" s="30"/>
    </row>
    <row r="911" spans="13:44" x14ac:dyDescent="0.2">
      <c r="M911" s="3"/>
      <c r="N911" s="3"/>
      <c r="O911" s="3"/>
      <c r="P911" s="3"/>
      <c r="AM911" s="3"/>
      <c r="AR911" s="30"/>
    </row>
    <row r="912" spans="13:44" x14ac:dyDescent="0.2">
      <c r="M912" s="3"/>
      <c r="N912" s="3"/>
      <c r="O912" s="3"/>
      <c r="P912" s="3"/>
      <c r="AM912" s="3"/>
      <c r="AR912" s="30"/>
    </row>
    <row r="913" spans="13:44" x14ac:dyDescent="0.2">
      <c r="M913" s="3"/>
      <c r="N913" s="3"/>
      <c r="O913" s="3"/>
      <c r="P913" s="3"/>
      <c r="AM913" s="3"/>
      <c r="AR913" s="30"/>
    </row>
    <row r="914" spans="13:44" x14ac:dyDescent="0.2">
      <c r="M914" s="3"/>
      <c r="N914" s="3"/>
      <c r="O914" s="3"/>
      <c r="P914" s="3"/>
      <c r="AM914" s="3"/>
      <c r="AR914" s="30"/>
    </row>
    <row r="915" spans="13:44" x14ac:dyDescent="0.2">
      <c r="M915" s="3"/>
      <c r="N915" s="3"/>
      <c r="O915" s="3"/>
      <c r="P915" s="3"/>
      <c r="AM915" s="3"/>
      <c r="AR915" s="30"/>
    </row>
    <row r="916" spans="13:44" x14ac:dyDescent="0.2">
      <c r="M916" s="3"/>
      <c r="N916" s="3"/>
      <c r="O916" s="3"/>
      <c r="P916" s="3"/>
      <c r="AM916" s="3"/>
      <c r="AR916" s="30"/>
    </row>
    <row r="917" spans="13:44" x14ac:dyDescent="0.2">
      <c r="M917" s="3"/>
      <c r="N917" s="3"/>
      <c r="O917" s="3"/>
      <c r="P917" s="3"/>
      <c r="AM917" s="3"/>
      <c r="AR917" s="30"/>
    </row>
    <row r="918" spans="13:44" x14ac:dyDescent="0.2">
      <c r="M918" s="3"/>
      <c r="N918" s="3"/>
      <c r="O918" s="3"/>
      <c r="P918" s="3"/>
      <c r="AM918" s="3"/>
      <c r="AR918" s="30"/>
    </row>
    <row r="919" spans="13:44" x14ac:dyDescent="0.2">
      <c r="M919" s="3"/>
      <c r="N919" s="3"/>
      <c r="O919" s="3"/>
      <c r="P919" s="3"/>
      <c r="AM919" s="3"/>
      <c r="AR919" s="30"/>
    </row>
    <row r="920" spans="13:44" x14ac:dyDescent="0.2">
      <c r="M920" s="3"/>
      <c r="N920" s="3"/>
      <c r="O920" s="3"/>
      <c r="P920" s="3"/>
      <c r="AM920" s="3"/>
      <c r="AR920" s="30"/>
    </row>
    <row r="921" spans="13:44" x14ac:dyDescent="0.2">
      <c r="M921" s="3"/>
      <c r="N921" s="3"/>
      <c r="O921" s="3"/>
      <c r="P921" s="3"/>
      <c r="AM921" s="3"/>
      <c r="AR921" s="30"/>
    </row>
    <row r="922" spans="13:44" x14ac:dyDescent="0.2">
      <c r="M922" s="3"/>
      <c r="N922" s="3"/>
      <c r="O922" s="3"/>
      <c r="P922" s="3"/>
      <c r="AM922" s="3"/>
      <c r="AR922" s="30"/>
    </row>
    <row r="923" spans="13:44" x14ac:dyDescent="0.2">
      <c r="M923" s="3"/>
      <c r="N923" s="3"/>
      <c r="O923" s="3"/>
      <c r="P923" s="3"/>
      <c r="AM923" s="3"/>
      <c r="AR923" s="30"/>
    </row>
    <row r="924" spans="13:44" x14ac:dyDescent="0.2">
      <c r="M924" s="3"/>
      <c r="N924" s="3"/>
      <c r="O924" s="3"/>
      <c r="P924" s="3"/>
      <c r="AM924" s="3"/>
      <c r="AR924" s="30"/>
    </row>
    <row r="925" spans="13:44" x14ac:dyDescent="0.2">
      <c r="M925" s="3"/>
      <c r="N925" s="3"/>
      <c r="O925" s="3"/>
      <c r="P925" s="3"/>
      <c r="AM925" s="3"/>
      <c r="AR925" s="30"/>
    </row>
    <row r="926" spans="13:44" x14ac:dyDescent="0.2">
      <c r="M926" s="3"/>
      <c r="N926" s="3"/>
      <c r="O926" s="3"/>
      <c r="P926" s="3"/>
      <c r="AM926" s="3"/>
      <c r="AR926" s="30"/>
    </row>
    <row r="927" spans="13:44" x14ac:dyDescent="0.2">
      <c r="M927" s="3"/>
      <c r="N927" s="3"/>
      <c r="O927" s="3"/>
      <c r="P927" s="3"/>
      <c r="AM927" s="3"/>
      <c r="AR927" s="30"/>
    </row>
    <row r="928" spans="13:44" x14ac:dyDescent="0.2">
      <c r="M928" s="3"/>
      <c r="N928" s="3"/>
      <c r="O928" s="3"/>
      <c r="P928" s="3"/>
      <c r="AM928" s="3"/>
      <c r="AR928" s="30"/>
    </row>
    <row r="929" spans="13:44" x14ac:dyDescent="0.2">
      <c r="M929" s="3"/>
      <c r="N929" s="3"/>
      <c r="O929" s="3"/>
      <c r="P929" s="3"/>
      <c r="AM929" s="3"/>
      <c r="AR929" s="30"/>
    </row>
    <row r="930" spans="13:44" x14ac:dyDescent="0.2">
      <c r="M930" s="3"/>
      <c r="N930" s="3"/>
      <c r="O930" s="3"/>
      <c r="P930" s="3"/>
      <c r="AM930" s="3"/>
      <c r="AR930" s="30"/>
    </row>
    <row r="931" spans="13:44" x14ac:dyDescent="0.2">
      <c r="M931" s="3"/>
      <c r="N931" s="3"/>
      <c r="O931" s="3"/>
      <c r="P931" s="3"/>
      <c r="AM931" s="3"/>
      <c r="AR931" s="30"/>
    </row>
    <row r="932" spans="13:44" x14ac:dyDescent="0.2">
      <c r="M932" s="3"/>
      <c r="N932" s="3"/>
      <c r="O932" s="3"/>
      <c r="P932" s="3"/>
      <c r="AM932" s="3"/>
      <c r="AR932" s="30"/>
    </row>
    <row r="933" spans="13:44" x14ac:dyDescent="0.2">
      <c r="M933" s="3"/>
      <c r="N933" s="3"/>
      <c r="O933" s="3"/>
      <c r="P933" s="3"/>
      <c r="AM933" s="3"/>
      <c r="AR933" s="30"/>
    </row>
    <row r="934" spans="13:44" x14ac:dyDescent="0.2">
      <c r="M934" s="3"/>
      <c r="N934" s="3"/>
      <c r="O934" s="3"/>
      <c r="P934" s="3"/>
      <c r="AM934" s="3"/>
      <c r="AR934" s="30"/>
    </row>
    <row r="935" spans="13:44" x14ac:dyDescent="0.2">
      <c r="M935" s="3"/>
      <c r="N935" s="3"/>
      <c r="O935" s="3"/>
      <c r="P935" s="3"/>
      <c r="AM935" s="3"/>
      <c r="AR935" s="30"/>
    </row>
    <row r="936" spans="13:44" x14ac:dyDescent="0.2">
      <c r="M936" s="3"/>
      <c r="N936" s="3"/>
      <c r="O936" s="3"/>
      <c r="P936" s="3"/>
      <c r="AM936" s="3"/>
      <c r="AR936" s="30"/>
    </row>
    <row r="937" spans="13:44" x14ac:dyDescent="0.2">
      <c r="M937" s="3"/>
      <c r="N937" s="3"/>
      <c r="O937" s="3"/>
      <c r="P937" s="3"/>
      <c r="AM937" s="3"/>
      <c r="AR937" s="30"/>
    </row>
    <row r="938" spans="13:44" x14ac:dyDescent="0.2">
      <c r="M938" s="3"/>
      <c r="N938" s="3"/>
      <c r="O938" s="3"/>
      <c r="P938" s="3"/>
      <c r="AM938" s="3"/>
      <c r="AR938" s="30"/>
    </row>
    <row r="939" spans="13:44" x14ac:dyDescent="0.2">
      <c r="M939" s="3"/>
      <c r="N939" s="3"/>
      <c r="O939" s="3"/>
      <c r="P939" s="3"/>
      <c r="AM939" s="3"/>
      <c r="AR939" s="30"/>
    </row>
    <row r="940" spans="13:44" x14ac:dyDescent="0.2">
      <c r="M940" s="3"/>
      <c r="N940" s="3"/>
      <c r="O940" s="3"/>
      <c r="P940" s="3"/>
      <c r="AM940" s="3"/>
      <c r="AR940" s="30"/>
    </row>
    <row r="941" spans="13:44" x14ac:dyDescent="0.2">
      <c r="M941" s="3"/>
      <c r="N941" s="3"/>
      <c r="O941" s="3"/>
      <c r="P941" s="3"/>
      <c r="AM941" s="3"/>
      <c r="AR941" s="30"/>
    </row>
    <row r="942" spans="13:44" x14ac:dyDescent="0.2">
      <c r="M942" s="3"/>
      <c r="N942" s="3"/>
      <c r="O942" s="3"/>
      <c r="P942" s="3"/>
      <c r="AM942" s="3"/>
      <c r="AR942" s="30"/>
    </row>
    <row r="943" spans="13:44" x14ac:dyDescent="0.2">
      <c r="M943" s="3"/>
      <c r="N943" s="3"/>
      <c r="O943" s="3"/>
      <c r="P943" s="3"/>
      <c r="AM943" s="3"/>
      <c r="AR943" s="30"/>
    </row>
    <row r="944" spans="13:44" x14ac:dyDescent="0.2">
      <c r="M944" s="3"/>
      <c r="N944" s="3"/>
      <c r="O944" s="3"/>
      <c r="P944" s="3"/>
      <c r="AM944" s="3"/>
      <c r="AR944" s="30"/>
    </row>
    <row r="945" spans="13:44" x14ac:dyDescent="0.2">
      <c r="M945" s="3"/>
      <c r="N945" s="3"/>
      <c r="O945" s="3"/>
      <c r="P945" s="3"/>
      <c r="AM945" s="3"/>
      <c r="AR945" s="30"/>
    </row>
    <row r="946" spans="13:44" x14ac:dyDescent="0.2">
      <c r="M946" s="3"/>
      <c r="N946" s="3"/>
      <c r="O946" s="3"/>
      <c r="P946" s="3"/>
      <c r="AM946" s="3"/>
      <c r="AR946" s="30"/>
    </row>
    <row r="947" spans="13:44" x14ac:dyDescent="0.2">
      <c r="M947" s="3"/>
      <c r="N947" s="3"/>
      <c r="O947" s="3"/>
      <c r="P947" s="3"/>
      <c r="AM947" s="3"/>
      <c r="AR947" s="30"/>
    </row>
    <row r="948" spans="13:44" x14ac:dyDescent="0.2">
      <c r="M948" s="3"/>
      <c r="N948" s="3"/>
      <c r="O948" s="3"/>
      <c r="P948" s="3"/>
      <c r="AM948" s="3"/>
      <c r="AR948" s="30"/>
    </row>
    <row r="949" spans="13:44" x14ac:dyDescent="0.2">
      <c r="M949" s="3"/>
      <c r="N949" s="3"/>
      <c r="O949" s="3"/>
      <c r="P949" s="3"/>
      <c r="AM949" s="3"/>
      <c r="AR949" s="30"/>
    </row>
    <row r="950" spans="13:44" x14ac:dyDescent="0.2">
      <c r="M950" s="3"/>
      <c r="N950" s="3"/>
      <c r="O950" s="3"/>
      <c r="P950" s="3"/>
      <c r="AM950" s="3"/>
      <c r="AR950" s="30"/>
    </row>
    <row r="951" spans="13:44" x14ac:dyDescent="0.2">
      <c r="M951" s="3"/>
      <c r="N951" s="3"/>
      <c r="O951" s="3"/>
      <c r="P951" s="3"/>
      <c r="AM951" s="3"/>
      <c r="AR951" s="30"/>
    </row>
    <row r="952" spans="13:44" x14ac:dyDescent="0.2">
      <c r="M952" s="3"/>
      <c r="N952" s="3"/>
      <c r="O952" s="3"/>
      <c r="P952" s="3"/>
      <c r="AM952" s="3"/>
      <c r="AR952" s="30"/>
    </row>
    <row r="953" spans="13:44" x14ac:dyDescent="0.2">
      <c r="M953" s="3"/>
      <c r="N953" s="3"/>
      <c r="O953" s="3"/>
      <c r="P953" s="3"/>
      <c r="AM953" s="3"/>
      <c r="AR953" s="30"/>
    </row>
    <row r="954" spans="13:44" x14ac:dyDescent="0.2">
      <c r="M954" s="3"/>
      <c r="N954" s="3"/>
      <c r="O954" s="3"/>
      <c r="P954" s="3"/>
      <c r="AM954" s="3"/>
      <c r="AR954" s="30"/>
    </row>
    <row r="955" spans="13:44" x14ac:dyDescent="0.2">
      <c r="M955" s="3"/>
      <c r="N955" s="3"/>
      <c r="O955" s="3"/>
      <c r="P955" s="3"/>
      <c r="AM955" s="3"/>
      <c r="AR955" s="30"/>
    </row>
    <row r="956" spans="13:44" x14ac:dyDescent="0.2">
      <c r="M956" s="3"/>
      <c r="N956" s="3"/>
      <c r="O956" s="3"/>
      <c r="P956" s="3"/>
      <c r="AM956" s="3"/>
      <c r="AR956" s="30"/>
    </row>
    <row r="957" spans="13:44" x14ac:dyDescent="0.2">
      <c r="M957" s="3"/>
      <c r="N957" s="3"/>
      <c r="O957" s="3"/>
      <c r="P957" s="3"/>
      <c r="AM957" s="3"/>
      <c r="AR957" s="30"/>
    </row>
    <row r="958" spans="13:44" x14ac:dyDescent="0.2">
      <c r="M958" s="3"/>
      <c r="N958" s="3"/>
      <c r="O958" s="3"/>
      <c r="P958" s="3"/>
      <c r="AM958" s="3"/>
      <c r="AR958" s="30"/>
    </row>
    <row r="959" spans="13:44" x14ac:dyDescent="0.2">
      <c r="M959" s="3"/>
      <c r="N959" s="3"/>
      <c r="O959" s="3"/>
      <c r="P959" s="3"/>
      <c r="AM959" s="3"/>
      <c r="AR959" s="30"/>
    </row>
    <row r="960" spans="13:44" x14ac:dyDescent="0.2">
      <c r="M960" s="3"/>
      <c r="N960" s="3"/>
      <c r="O960" s="3"/>
      <c r="P960" s="3"/>
      <c r="AM960" s="3"/>
      <c r="AR960" s="30"/>
    </row>
    <row r="961" spans="13:44" x14ac:dyDescent="0.2">
      <c r="M961" s="3"/>
      <c r="N961" s="3"/>
      <c r="O961" s="3"/>
      <c r="P961" s="3"/>
      <c r="AM961" s="3"/>
      <c r="AR961" s="30"/>
    </row>
    <row r="962" spans="13:44" x14ac:dyDescent="0.2">
      <c r="M962" s="3"/>
      <c r="N962" s="3"/>
      <c r="O962" s="3"/>
      <c r="P962" s="3"/>
      <c r="AM962" s="3"/>
      <c r="AR962" s="30"/>
    </row>
    <row r="963" spans="13:44" x14ac:dyDescent="0.2">
      <c r="M963" s="3"/>
      <c r="N963" s="3"/>
      <c r="O963" s="3"/>
      <c r="P963" s="3"/>
      <c r="AM963" s="3"/>
      <c r="AR963" s="30"/>
    </row>
    <row r="964" spans="13:44" x14ac:dyDescent="0.2">
      <c r="M964" s="3"/>
      <c r="N964" s="3"/>
      <c r="O964" s="3"/>
      <c r="P964" s="3"/>
      <c r="AM964" s="3"/>
      <c r="AR964" s="30"/>
    </row>
    <row r="965" spans="13:44" x14ac:dyDescent="0.2">
      <c r="M965" s="3"/>
      <c r="N965" s="3"/>
      <c r="O965" s="3"/>
      <c r="P965" s="3"/>
      <c r="AM965" s="3"/>
      <c r="AR965" s="30"/>
    </row>
    <row r="966" spans="13:44" x14ac:dyDescent="0.2">
      <c r="M966" s="3"/>
      <c r="N966" s="3"/>
      <c r="O966" s="3"/>
      <c r="P966" s="3"/>
      <c r="AM966" s="3"/>
      <c r="AR966" s="30"/>
    </row>
    <row r="967" spans="13:44" x14ac:dyDescent="0.2">
      <c r="M967" s="3"/>
      <c r="N967" s="3"/>
      <c r="O967" s="3"/>
      <c r="P967" s="3"/>
      <c r="AM967" s="3"/>
      <c r="AR967" s="30"/>
    </row>
    <row r="968" spans="13:44" x14ac:dyDescent="0.2">
      <c r="M968" s="3"/>
      <c r="N968" s="3"/>
      <c r="O968" s="3"/>
      <c r="P968" s="3"/>
      <c r="AM968" s="3"/>
      <c r="AR968" s="30"/>
    </row>
    <row r="969" spans="13:44" x14ac:dyDescent="0.2">
      <c r="M969" s="3"/>
      <c r="N969" s="3"/>
      <c r="O969" s="3"/>
      <c r="P969" s="3"/>
      <c r="AM969" s="3"/>
      <c r="AR969" s="30"/>
    </row>
    <row r="970" spans="13:44" x14ac:dyDescent="0.2">
      <c r="M970" s="3"/>
      <c r="N970" s="3"/>
      <c r="O970" s="3"/>
      <c r="P970" s="3"/>
      <c r="AM970" s="3"/>
      <c r="AR970" s="30"/>
    </row>
    <row r="971" spans="13:44" x14ac:dyDescent="0.2">
      <c r="M971" s="3"/>
      <c r="N971" s="3"/>
      <c r="O971" s="3"/>
      <c r="P971" s="3"/>
      <c r="AM971" s="3"/>
      <c r="AR971" s="30"/>
    </row>
    <row r="972" spans="13:44" x14ac:dyDescent="0.2">
      <c r="M972" s="3"/>
      <c r="N972" s="3"/>
      <c r="O972" s="3"/>
      <c r="P972" s="3"/>
      <c r="AM972" s="3"/>
      <c r="AR972" s="30"/>
    </row>
    <row r="973" spans="13:44" x14ac:dyDescent="0.2">
      <c r="M973" s="3"/>
      <c r="N973" s="3"/>
      <c r="O973" s="3"/>
      <c r="P973" s="3"/>
      <c r="AM973" s="3"/>
      <c r="AR973" s="30"/>
    </row>
    <row r="974" spans="13:44" x14ac:dyDescent="0.2">
      <c r="M974" s="3"/>
      <c r="N974" s="3"/>
      <c r="O974" s="3"/>
      <c r="P974" s="3"/>
      <c r="AM974" s="3"/>
      <c r="AR974" s="30"/>
    </row>
    <row r="975" spans="13:44" x14ac:dyDescent="0.2">
      <c r="M975" s="3"/>
      <c r="N975" s="3"/>
      <c r="O975" s="3"/>
      <c r="P975" s="3"/>
      <c r="AM975" s="3"/>
      <c r="AR975" s="30"/>
    </row>
    <row r="976" spans="13:44" x14ac:dyDescent="0.2">
      <c r="M976" s="3"/>
      <c r="N976" s="3"/>
      <c r="O976" s="3"/>
      <c r="P976" s="3"/>
      <c r="AM976" s="3"/>
      <c r="AR976" s="30"/>
    </row>
    <row r="977" spans="13:44" x14ac:dyDescent="0.2">
      <c r="M977" s="3"/>
      <c r="N977" s="3"/>
      <c r="O977" s="3"/>
      <c r="P977" s="3"/>
      <c r="AM977" s="3"/>
      <c r="AR977" s="30"/>
    </row>
    <row r="978" spans="13:44" x14ac:dyDescent="0.2">
      <c r="M978" s="3"/>
      <c r="N978" s="3"/>
      <c r="O978" s="3"/>
      <c r="P978" s="3"/>
      <c r="AM978" s="3"/>
      <c r="AR978" s="30"/>
    </row>
    <row r="979" spans="13:44" x14ac:dyDescent="0.2">
      <c r="M979" s="3"/>
      <c r="N979" s="3"/>
      <c r="O979" s="3"/>
      <c r="P979" s="3"/>
      <c r="AM979" s="3"/>
      <c r="AR979" s="30"/>
    </row>
    <row r="980" spans="13:44" x14ac:dyDescent="0.2">
      <c r="M980" s="3"/>
      <c r="N980" s="3"/>
      <c r="O980" s="3"/>
      <c r="P980" s="3"/>
      <c r="AM980" s="3"/>
      <c r="AR980" s="30"/>
    </row>
    <row r="981" spans="13:44" x14ac:dyDescent="0.2">
      <c r="M981" s="3"/>
      <c r="N981" s="3"/>
      <c r="O981" s="3"/>
      <c r="P981" s="3"/>
      <c r="AM981" s="3"/>
      <c r="AR981" s="30"/>
    </row>
    <row r="982" spans="13:44" x14ac:dyDescent="0.2">
      <c r="M982" s="3"/>
      <c r="N982" s="3"/>
      <c r="O982" s="3"/>
      <c r="P982" s="3"/>
      <c r="AM982" s="3"/>
      <c r="AR982" s="30"/>
    </row>
    <row r="983" spans="13:44" x14ac:dyDescent="0.2">
      <c r="M983" s="3"/>
      <c r="N983" s="3"/>
      <c r="O983" s="3"/>
      <c r="P983" s="3"/>
      <c r="AM983" s="3"/>
      <c r="AR983" s="30"/>
    </row>
    <row r="984" spans="13:44" x14ac:dyDescent="0.2">
      <c r="M984" s="3"/>
      <c r="N984" s="3"/>
      <c r="O984" s="3"/>
      <c r="P984" s="3"/>
      <c r="AM984" s="3"/>
      <c r="AR984" s="30"/>
    </row>
    <row r="985" spans="13:44" x14ac:dyDescent="0.2">
      <c r="M985" s="3"/>
      <c r="N985" s="3"/>
      <c r="O985" s="3"/>
      <c r="P985" s="3"/>
      <c r="AM985" s="3"/>
      <c r="AR985" s="30"/>
    </row>
    <row r="986" spans="13:44" x14ac:dyDescent="0.2">
      <c r="M986" s="3"/>
      <c r="N986" s="3"/>
      <c r="O986" s="3"/>
      <c r="P986" s="3"/>
      <c r="AM986" s="3"/>
      <c r="AR986" s="30"/>
    </row>
    <row r="987" spans="13:44" x14ac:dyDescent="0.2">
      <c r="M987" s="3"/>
      <c r="N987" s="3"/>
      <c r="O987" s="3"/>
      <c r="P987" s="3"/>
      <c r="AM987" s="3"/>
      <c r="AR987" s="30"/>
    </row>
    <row r="988" spans="13:44" x14ac:dyDescent="0.2">
      <c r="M988" s="3"/>
      <c r="N988" s="3"/>
      <c r="O988" s="3"/>
      <c r="P988" s="3"/>
      <c r="AM988" s="3"/>
      <c r="AR988" s="30"/>
    </row>
    <row r="989" spans="13:44" x14ac:dyDescent="0.2">
      <c r="M989" s="3"/>
      <c r="N989" s="3"/>
      <c r="O989" s="3"/>
      <c r="P989" s="3"/>
      <c r="AM989" s="3"/>
      <c r="AR989" s="30"/>
    </row>
    <row r="990" spans="13:44" x14ac:dyDescent="0.2">
      <c r="M990" s="3"/>
      <c r="N990" s="3"/>
      <c r="O990" s="3"/>
      <c r="P990" s="3"/>
      <c r="AM990" s="3"/>
      <c r="AR990" s="30"/>
    </row>
    <row r="991" spans="13:44" x14ac:dyDescent="0.2">
      <c r="M991" s="3"/>
      <c r="N991" s="3"/>
      <c r="O991" s="3"/>
      <c r="P991" s="3"/>
      <c r="AM991" s="3"/>
      <c r="AR991" s="30"/>
    </row>
    <row r="992" spans="13:44" x14ac:dyDescent="0.2">
      <c r="M992" s="3"/>
      <c r="N992" s="3"/>
      <c r="O992" s="3"/>
      <c r="P992" s="3"/>
      <c r="AM992" s="3"/>
      <c r="AR992" s="30"/>
    </row>
    <row r="993" spans="13:44" x14ac:dyDescent="0.2">
      <c r="M993" s="3"/>
      <c r="N993" s="3"/>
      <c r="O993" s="3"/>
      <c r="P993" s="3"/>
      <c r="AM993" s="3"/>
      <c r="AR993" s="30"/>
    </row>
    <row r="994" spans="13:44" x14ac:dyDescent="0.2">
      <c r="M994" s="3"/>
      <c r="N994" s="3"/>
      <c r="O994" s="3"/>
      <c r="P994" s="3"/>
      <c r="AM994" s="3"/>
      <c r="AR994" s="30"/>
    </row>
    <row r="995" spans="13:44" x14ac:dyDescent="0.2">
      <c r="M995" s="3"/>
      <c r="N995" s="3"/>
      <c r="O995" s="3"/>
      <c r="P995" s="3"/>
      <c r="AM995" s="3"/>
      <c r="AR995" s="30"/>
    </row>
    <row r="996" spans="13:44" x14ac:dyDescent="0.2">
      <c r="M996" s="3"/>
      <c r="N996" s="3"/>
      <c r="O996" s="3"/>
      <c r="P996" s="3"/>
      <c r="AM996" s="3"/>
      <c r="AR996" s="30"/>
    </row>
    <row r="997" spans="13:44" x14ac:dyDescent="0.2">
      <c r="M997" s="3"/>
      <c r="N997" s="3"/>
      <c r="O997" s="3"/>
      <c r="P997" s="3"/>
      <c r="AM997" s="3"/>
      <c r="AR997" s="30"/>
    </row>
    <row r="998" spans="13:44" x14ac:dyDescent="0.2">
      <c r="M998" s="3"/>
      <c r="N998" s="3"/>
      <c r="O998" s="3"/>
      <c r="P998" s="3"/>
      <c r="AM998" s="3"/>
      <c r="AR998" s="30"/>
    </row>
    <row r="999" spans="13:44" x14ac:dyDescent="0.2">
      <c r="M999" s="3"/>
      <c r="N999" s="3"/>
      <c r="O999" s="3"/>
      <c r="P999" s="3"/>
      <c r="AM999" s="3"/>
      <c r="AR999" s="30"/>
    </row>
    <row r="1000" spans="13:44" x14ac:dyDescent="0.2">
      <c r="M1000" s="3"/>
      <c r="N1000" s="3"/>
      <c r="O1000" s="3"/>
      <c r="P1000" s="3"/>
      <c r="AM1000" s="3"/>
      <c r="AR1000" s="30"/>
    </row>
    <row r="1001" spans="13:44" x14ac:dyDescent="0.2">
      <c r="M1001" s="3"/>
      <c r="N1001" s="3"/>
      <c r="O1001" s="3"/>
      <c r="P1001" s="3"/>
      <c r="AM1001" s="3"/>
      <c r="AR1001" s="30"/>
    </row>
    <row r="1002" spans="13:44" x14ac:dyDescent="0.2">
      <c r="M1002" s="3"/>
      <c r="N1002" s="3"/>
      <c r="O1002" s="3"/>
      <c r="P1002" s="3"/>
      <c r="AM1002" s="3"/>
      <c r="AR1002" s="30"/>
    </row>
    <row r="1003" spans="13:44" x14ac:dyDescent="0.2">
      <c r="M1003" s="3"/>
      <c r="N1003" s="3"/>
      <c r="O1003" s="3"/>
      <c r="P1003" s="3"/>
      <c r="AM1003" s="3"/>
      <c r="AR1003" s="30"/>
    </row>
    <row r="1004" spans="13:44" x14ac:dyDescent="0.2">
      <c r="M1004" s="3"/>
      <c r="N1004" s="3"/>
      <c r="O1004" s="3"/>
      <c r="P1004" s="3"/>
      <c r="AM1004" s="3"/>
      <c r="AR1004" s="30"/>
    </row>
    <row r="1005" spans="13:44" x14ac:dyDescent="0.2">
      <c r="M1005" s="3"/>
      <c r="N1005" s="3"/>
      <c r="O1005" s="3"/>
      <c r="P1005" s="3"/>
      <c r="AM1005" s="3"/>
      <c r="AR1005" s="30"/>
    </row>
    <row r="1006" spans="13:44" x14ac:dyDescent="0.2">
      <c r="M1006" s="3"/>
      <c r="N1006" s="3"/>
      <c r="O1006" s="3"/>
      <c r="P1006" s="3"/>
      <c r="AM1006" s="3"/>
      <c r="AR1006" s="30"/>
    </row>
    <row r="1007" spans="13:44" x14ac:dyDescent="0.2">
      <c r="M1007" s="3"/>
      <c r="N1007" s="3"/>
      <c r="O1007" s="3"/>
      <c r="P1007" s="3"/>
      <c r="AM1007" s="3"/>
      <c r="AR1007" s="30"/>
    </row>
    <row r="1008" spans="13:44" x14ac:dyDescent="0.2">
      <c r="M1008" s="3"/>
      <c r="N1008" s="3"/>
      <c r="O1008" s="3"/>
      <c r="P1008" s="3"/>
      <c r="AM1008" s="3"/>
      <c r="AR1008" s="30"/>
    </row>
    <row r="1009" spans="13:44" x14ac:dyDescent="0.2">
      <c r="M1009" s="3"/>
      <c r="N1009" s="3"/>
      <c r="O1009" s="3"/>
      <c r="P1009" s="3"/>
      <c r="AM1009" s="3"/>
      <c r="AR1009" s="30"/>
    </row>
    <row r="1010" spans="13:44" x14ac:dyDescent="0.2">
      <c r="M1010" s="3"/>
      <c r="N1010" s="3"/>
      <c r="O1010" s="3"/>
      <c r="P1010" s="3"/>
      <c r="AM1010" s="3"/>
      <c r="AR1010" s="30"/>
    </row>
    <row r="1011" spans="13:44" x14ac:dyDescent="0.2">
      <c r="M1011" s="3"/>
      <c r="N1011" s="3"/>
      <c r="O1011" s="3"/>
      <c r="P1011" s="3"/>
      <c r="AM1011" s="3"/>
      <c r="AR1011" s="30"/>
    </row>
    <row r="1012" spans="13:44" x14ac:dyDescent="0.2">
      <c r="M1012" s="3"/>
      <c r="N1012" s="3"/>
      <c r="O1012" s="3"/>
      <c r="P1012" s="3"/>
      <c r="AM1012" s="3"/>
      <c r="AR1012" s="30"/>
    </row>
    <row r="1013" spans="13:44" x14ac:dyDescent="0.2">
      <c r="M1013" s="3"/>
      <c r="N1013" s="3"/>
      <c r="O1013" s="3"/>
      <c r="P1013" s="3"/>
      <c r="AM1013" s="3"/>
      <c r="AR1013" s="30"/>
    </row>
    <row r="1014" spans="13:44" x14ac:dyDescent="0.2">
      <c r="M1014" s="3"/>
      <c r="N1014" s="3"/>
      <c r="O1014" s="3"/>
      <c r="P1014" s="3"/>
      <c r="AM1014" s="3"/>
      <c r="AR1014" s="30"/>
    </row>
    <row r="1015" spans="13:44" x14ac:dyDescent="0.2">
      <c r="M1015" s="3"/>
      <c r="N1015" s="3"/>
      <c r="O1015" s="3"/>
      <c r="P1015" s="3"/>
      <c r="AM1015" s="3"/>
      <c r="AR1015" s="30"/>
    </row>
    <row r="1016" spans="13:44" x14ac:dyDescent="0.2">
      <c r="M1016" s="3"/>
      <c r="N1016" s="3"/>
      <c r="O1016" s="3"/>
      <c r="P1016" s="3"/>
      <c r="AM1016" s="3"/>
      <c r="AR1016" s="30"/>
    </row>
    <row r="1017" spans="13:44" x14ac:dyDescent="0.2">
      <c r="M1017" s="3"/>
      <c r="N1017" s="3"/>
      <c r="O1017" s="3"/>
      <c r="P1017" s="3"/>
      <c r="AM1017" s="3"/>
      <c r="AR1017" s="30"/>
    </row>
    <row r="1018" spans="13:44" x14ac:dyDescent="0.2">
      <c r="M1018" s="3"/>
      <c r="N1018" s="3"/>
      <c r="O1018" s="3"/>
      <c r="P1018" s="3"/>
      <c r="AM1018" s="3"/>
      <c r="AR1018" s="30"/>
    </row>
    <row r="1019" spans="13:44" x14ac:dyDescent="0.2">
      <c r="M1019" s="3"/>
      <c r="N1019" s="3"/>
      <c r="O1019" s="3"/>
      <c r="P1019" s="3"/>
      <c r="AM1019" s="3"/>
      <c r="AR1019" s="30"/>
    </row>
    <row r="1020" spans="13:44" x14ac:dyDescent="0.2">
      <c r="M1020" s="3"/>
      <c r="N1020" s="3"/>
      <c r="O1020" s="3"/>
      <c r="P1020" s="3"/>
      <c r="AM1020" s="3"/>
      <c r="AR1020" s="30"/>
    </row>
    <row r="1021" spans="13:44" x14ac:dyDescent="0.2">
      <c r="M1021" s="3"/>
      <c r="N1021" s="3"/>
      <c r="O1021" s="3"/>
      <c r="P1021" s="3"/>
      <c r="AM1021" s="3"/>
      <c r="AR1021" s="30"/>
    </row>
    <row r="1022" spans="13:44" x14ac:dyDescent="0.2">
      <c r="M1022" s="3"/>
      <c r="N1022" s="3"/>
      <c r="O1022" s="3"/>
      <c r="P1022" s="3"/>
      <c r="AM1022" s="3"/>
      <c r="AR1022" s="30"/>
    </row>
    <row r="1023" spans="13:44" x14ac:dyDescent="0.2">
      <c r="M1023" s="3"/>
      <c r="N1023" s="3"/>
      <c r="O1023" s="3"/>
      <c r="P1023" s="3"/>
      <c r="AM1023" s="3"/>
      <c r="AR1023" s="30"/>
    </row>
    <row r="1024" spans="13:44" x14ac:dyDescent="0.2">
      <c r="M1024" s="3"/>
      <c r="N1024" s="3"/>
      <c r="O1024" s="3"/>
      <c r="P1024" s="3"/>
      <c r="AM1024" s="3"/>
      <c r="AR1024" s="30"/>
    </row>
    <row r="1025" spans="13:44" x14ac:dyDescent="0.2">
      <c r="M1025" s="3"/>
      <c r="N1025" s="3"/>
      <c r="O1025" s="3"/>
      <c r="P1025" s="3"/>
      <c r="AM1025" s="3"/>
      <c r="AR1025" s="30"/>
    </row>
    <row r="1026" spans="13:44" x14ac:dyDescent="0.2">
      <c r="M1026" s="3"/>
      <c r="N1026" s="3"/>
      <c r="O1026" s="3"/>
      <c r="P1026" s="3"/>
      <c r="AM1026" s="3"/>
      <c r="AR1026" s="30"/>
    </row>
    <row r="1027" spans="13:44" x14ac:dyDescent="0.2">
      <c r="M1027" s="3"/>
      <c r="N1027" s="3"/>
      <c r="O1027" s="3"/>
      <c r="P1027" s="3"/>
      <c r="AM1027" s="3"/>
      <c r="AR1027" s="30"/>
    </row>
    <row r="1028" spans="13:44" x14ac:dyDescent="0.2">
      <c r="M1028" s="3"/>
      <c r="N1028" s="3"/>
      <c r="O1028" s="3"/>
      <c r="P1028" s="3"/>
      <c r="AM1028" s="3"/>
      <c r="AR1028" s="30"/>
    </row>
    <row r="1029" spans="13:44" x14ac:dyDescent="0.2">
      <c r="M1029" s="3"/>
      <c r="N1029" s="3"/>
      <c r="O1029" s="3"/>
      <c r="P1029" s="3"/>
      <c r="AM1029" s="3"/>
      <c r="AR1029" s="30"/>
    </row>
    <row r="1030" spans="13:44" x14ac:dyDescent="0.2">
      <c r="M1030" s="3"/>
      <c r="N1030" s="3"/>
      <c r="O1030" s="3"/>
      <c r="P1030" s="3"/>
      <c r="AM1030" s="3"/>
      <c r="AR1030" s="30"/>
    </row>
    <row r="1031" spans="13:44" x14ac:dyDescent="0.2">
      <c r="M1031" s="3"/>
      <c r="N1031" s="3"/>
      <c r="O1031" s="3"/>
      <c r="P1031" s="3"/>
      <c r="AM1031" s="3"/>
      <c r="AR1031" s="30"/>
    </row>
    <row r="1032" spans="13:44" x14ac:dyDescent="0.2">
      <c r="M1032" s="3"/>
      <c r="N1032" s="3"/>
      <c r="O1032" s="3"/>
      <c r="P1032" s="3"/>
      <c r="AM1032" s="3"/>
      <c r="AR1032" s="30"/>
    </row>
    <row r="1033" spans="13:44" x14ac:dyDescent="0.2">
      <c r="M1033" s="3"/>
      <c r="N1033" s="3"/>
      <c r="O1033" s="3"/>
      <c r="P1033" s="3"/>
      <c r="AM1033" s="3"/>
      <c r="AR1033" s="30"/>
    </row>
    <row r="1034" spans="13:44" x14ac:dyDescent="0.2">
      <c r="M1034" s="3"/>
      <c r="N1034" s="3"/>
      <c r="O1034" s="3"/>
      <c r="P1034" s="3"/>
      <c r="AM1034" s="3"/>
      <c r="AR1034" s="30"/>
    </row>
    <row r="1035" spans="13:44" x14ac:dyDescent="0.2">
      <c r="M1035" s="3"/>
      <c r="N1035" s="3"/>
      <c r="O1035" s="3"/>
      <c r="P1035" s="3"/>
      <c r="AM1035" s="3"/>
      <c r="AR1035" s="30"/>
    </row>
    <row r="1036" spans="13:44" x14ac:dyDescent="0.2">
      <c r="M1036" s="3"/>
      <c r="N1036" s="3"/>
      <c r="O1036" s="3"/>
      <c r="P1036" s="3"/>
      <c r="AM1036" s="3"/>
      <c r="AR1036" s="30"/>
    </row>
    <row r="1037" spans="13:44" x14ac:dyDescent="0.2">
      <c r="M1037" s="3"/>
      <c r="N1037" s="3"/>
      <c r="O1037" s="3"/>
      <c r="P1037" s="3"/>
      <c r="AM1037" s="3"/>
      <c r="AR1037" s="30"/>
    </row>
    <row r="1038" spans="13:44" x14ac:dyDescent="0.2">
      <c r="M1038" s="3"/>
      <c r="N1038" s="3"/>
      <c r="O1038" s="3"/>
      <c r="P1038" s="3"/>
      <c r="AM1038" s="3"/>
      <c r="AR1038" s="30"/>
    </row>
    <row r="1039" spans="13:44" x14ac:dyDescent="0.2">
      <c r="M1039" s="3"/>
      <c r="N1039" s="3"/>
      <c r="O1039" s="3"/>
      <c r="P1039" s="3"/>
      <c r="AM1039" s="3"/>
      <c r="AR1039" s="30"/>
    </row>
    <row r="1040" spans="13:44" x14ac:dyDescent="0.2">
      <c r="M1040" s="3"/>
      <c r="N1040" s="3"/>
      <c r="O1040" s="3"/>
      <c r="P1040" s="3"/>
      <c r="AM1040" s="3"/>
      <c r="AR1040" s="30"/>
    </row>
    <row r="1041" spans="13:44" x14ac:dyDescent="0.2">
      <c r="M1041" s="3"/>
      <c r="N1041" s="3"/>
      <c r="O1041" s="3"/>
      <c r="P1041" s="3"/>
      <c r="AM1041" s="3"/>
      <c r="AR1041" s="30"/>
    </row>
    <row r="1042" spans="13:44" x14ac:dyDescent="0.2">
      <c r="M1042" s="3"/>
      <c r="N1042" s="3"/>
      <c r="O1042" s="3"/>
      <c r="P1042" s="3"/>
      <c r="AM1042" s="3"/>
      <c r="AR1042" s="30"/>
    </row>
    <row r="1043" spans="13:44" x14ac:dyDescent="0.2">
      <c r="M1043" s="3"/>
      <c r="N1043" s="3"/>
      <c r="O1043" s="3"/>
      <c r="P1043" s="3"/>
      <c r="AM1043" s="3"/>
      <c r="AR1043" s="30"/>
    </row>
    <row r="1044" spans="13:44" x14ac:dyDescent="0.2">
      <c r="M1044" s="3"/>
      <c r="N1044" s="3"/>
      <c r="O1044" s="3"/>
      <c r="P1044" s="3"/>
      <c r="AM1044" s="3"/>
      <c r="AR1044" s="30"/>
    </row>
    <row r="1045" spans="13:44" x14ac:dyDescent="0.2">
      <c r="M1045" s="3"/>
      <c r="N1045" s="3"/>
      <c r="O1045" s="3"/>
      <c r="P1045" s="3"/>
      <c r="AM1045" s="3"/>
      <c r="AR1045" s="30"/>
    </row>
    <row r="1046" spans="13:44" x14ac:dyDescent="0.2">
      <c r="M1046" s="3"/>
      <c r="N1046" s="3"/>
      <c r="O1046" s="3"/>
      <c r="P1046" s="3"/>
      <c r="AM1046" s="3"/>
      <c r="AR1046" s="30"/>
    </row>
    <row r="1047" spans="13:44" x14ac:dyDescent="0.2">
      <c r="M1047" s="3"/>
      <c r="N1047" s="3"/>
      <c r="O1047" s="3"/>
      <c r="P1047" s="3"/>
      <c r="AM1047" s="3"/>
      <c r="AR1047" s="30"/>
    </row>
    <row r="1048" spans="13:44" x14ac:dyDescent="0.2">
      <c r="M1048" s="3"/>
      <c r="N1048" s="3"/>
      <c r="O1048" s="3"/>
      <c r="P1048" s="3"/>
      <c r="AM1048" s="3"/>
      <c r="AR1048" s="30"/>
    </row>
    <row r="1049" spans="13:44" x14ac:dyDescent="0.2">
      <c r="M1049" s="3"/>
      <c r="N1049" s="3"/>
      <c r="O1049" s="3"/>
      <c r="P1049" s="3"/>
      <c r="AM1049" s="3"/>
      <c r="AR1049" s="30"/>
    </row>
    <row r="1050" spans="13:44" x14ac:dyDescent="0.2">
      <c r="M1050" s="3"/>
      <c r="N1050" s="3"/>
      <c r="O1050" s="3"/>
      <c r="P1050" s="3"/>
      <c r="AM1050" s="3"/>
      <c r="AR1050" s="30"/>
    </row>
    <row r="1051" spans="13:44" x14ac:dyDescent="0.2">
      <c r="M1051" s="3"/>
      <c r="N1051" s="3"/>
      <c r="O1051" s="3"/>
      <c r="P1051" s="3"/>
      <c r="AM1051" s="3"/>
      <c r="AR1051" s="30"/>
    </row>
    <row r="1052" spans="13:44" x14ac:dyDescent="0.2">
      <c r="M1052" s="3"/>
      <c r="N1052" s="3"/>
      <c r="O1052" s="3"/>
      <c r="P1052" s="3"/>
      <c r="AM1052" s="3"/>
      <c r="AR1052" s="30"/>
    </row>
    <row r="1053" spans="13:44" x14ac:dyDescent="0.2">
      <c r="M1053" s="3"/>
      <c r="N1053" s="3"/>
      <c r="O1053" s="3"/>
      <c r="P1053" s="3"/>
      <c r="AM1053" s="3"/>
      <c r="AR1053" s="30"/>
    </row>
    <row r="1054" spans="13:44" x14ac:dyDescent="0.2">
      <c r="M1054" s="3"/>
      <c r="N1054" s="3"/>
      <c r="O1054" s="3"/>
      <c r="P1054" s="3"/>
      <c r="AM1054" s="3"/>
      <c r="AR1054" s="30"/>
    </row>
    <row r="1055" spans="13:44" x14ac:dyDescent="0.2">
      <c r="M1055" s="3"/>
      <c r="N1055" s="3"/>
      <c r="O1055" s="3"/>
      <c r="P1055" s="3"/>
      <c r="AM1055" s="3"/>
      <c r="AR1055" s="30"/>
    </row>
    <row r="1056" spans="13:44" x14ac:dyDescent="0.2">
      <c r="M1056" s="3"/>
      <c r="N1056" s="3"/>
      <c r="O1056" s="3"/>
      <c r="P1056" s="3"/>
      <c r="AM1056" s="3"/>
      <c r="AR1056" s="30"/>
    </row>
    <row r="1057" spans="13:44" x14ac:dyDescent="0.2">
      <c r="M1057" s="3"/>
      <c r="N1057" s="3"/>
      <c r="O1057" s="3"/>
      <c r="P1057" s="3"/>
      <c r="AM1057" s="3"/>
      <c r="AR1057" s="30"/>
    </row>
    <row r="1058" spans="13:44" x14ac:dyDescent="0.2">
      <c r="M1058" s="3"/>
      <c r="N1058" s="3"/>
      <c r="O1058" s="3"/>
      <c r="P1058" s="3"/>
      <c r="AM1058" s="3"/>
      <c r="AR1058" s="30"/>
    </row>
    <row r="1059" spans="13:44" x14ac:dyDescent="0.2">
      <c r="M1059" s="3"/>
      <c r="N1059" s="3"/>
      <c r="O1059" s="3"/>
      <c r="P1059" s="3"/>
      <c r="AM1059" s="3"/>
      <c r="AR1059" s="30"/>
    </row>
    <row r="1060" spans="13:44" x14ac:dyDescent="0.2">
      <c r="M1060" s="3"/>
      <c r="N1060" s="3"/>
      <c r="O1060" s="3"/>
      <c r="P1060" s="3"/>
      <c r="AM1060" s="3"/>
      <c r="AR1060" s="30"/>
    </row>
    <row r="1061" spans="13:44" x14ac:dyDescent="0.2">
      <c r="M1061" s="3"/>
      <c r="N1061" s="3"/>
      <c r="O1061" s="3"/>
      <c r="P1061" s="3"/>
      <c r="AM1061" s="3"/>
      <c r="AR1061" s="30"/>
    </row>
    <row r="1062" spans="13:44" x14ac:dyDescent="0.2">
      <c r="M1062" s="3"/>
      <c r="N1062" s="3"/>
      <c r="O1062" s="3"/>
      <c r="P1062" s="3"/>
      <c r="AM1062" s="3"/>
      <c r="AR1062" s="30"/>
    </row>
    <row r="1063" spans="13:44" x14ac:dyDescent="0.2">
      <c r="M1063" s="3"/>
      <c r="N1063" s="3"/>
      <c r="O1063" s="3"/>
      <c r="P1063" s="3"/>
      <c r="AM1063" s="3"/>
      <c r="AR1063" s="30"/>
    </row>
    <row r="1064" spans="13:44" x14ac:dyDescent="0.2">
      <c r="M1064" s="3"/>
      <c r="N1064" s="3"/>
      <c r="O1064" s="3"/>
      <c r="P1064" s="3"/>
      <c r="AM1064" s="3"/>
      <c r="AR1064" s="30"/>
    </row>
    <row r="1065" spans="13:44" x14ac:dyDescent="0.2">
      <c r="M1065" s="3"/>
      <c r="N1065" s="3"/>
      <c r="O1065" s="3"/>
      <c r="P1065" s="3"/>
      <c r="AM1065" s="3"/>
      <c r="AR1065" s="30"/>
    </row>
    <row r="1066" spans="13:44" x14ac:dyDescent="0.2">
      <c r="M1066" s="3"/>
      <c r="N1066" s="3"/>
      <c r="O1066" s="3"/>
      <c r="P1066" s="3"/>
      <c r="AM1066" s="3"/>
      <c r="AR1066" s="30"/>
    </row>
    <row r="1067" spans="13:44" x14ac:dyDescent="0.2">
      <c r="M1067" s="3"/>
      <c r="N1067" s="3"/>
      <c r="O1067" s="3"/>
      <c r="P1067" s="3"/>
      <c r="AM1067" s="3"/>
      <c r="AR1067" s="30"/>
    </row>
    <row r="1068" spans="13:44" x14ac:dyDescent="0.2">
      <c r="M1068" s="3"/>
      <c r="N1068" s="3"/>
      <c r="O1068" s="3"/>
      <c r="P1068" s="3"/>
      <c r="AM1068" s="3"/>
      <c r="AR1068" s="30"/>
    </row>
    <row r="1069" spans="13:44" x14ac:dyDescent="0.2">
      <c r="M1069" s="3"/>
      <c r="N1069" s="3"/>
      <c r="O1069" s="3"/>
      <c r="P1069" s="3"/>
      <c r="AM1069" s="3"/>
      <c r="AR1069" s="30"/>
    </row>
    <row r="1070" spans="13:44" x14ac:dyDescent="0.2">
      <c r="M1070" s="3"/>
      <c r="N1070" s="3"/>
      <c r="O1070" s="3"/>
      <c r="P1070" s="3"/>
      <c r="AM1070" s="3"/>
      <c r="AR1070" s="30"/>
    </row>
    <row r="1071" spans="13:44" x14ac:dyDescent="0.2">
      <c r="M1071" s="3"/>
      <c r="N1071" s="3"/>
      <c r="O1071" s="3"/>
      <c r="P1071" s="3"/>
      <c r="AM1071" s="3"/>
      <c r="AR1071" s="30"/>
    </row>
    <row r="1072" spans="13:44" x14ac:dyDescent="0.2">
      <c r="M1072" s="3"/>
      <c r="N1072" s="3"/>
      <c r="O1072" s="3"/>
      <c r="P1072" s="3"/>
      <c r="AM1072" s="3"/>
      <c r="AR1072" s="30"/>
    </row>
    <row r="1073" spans="13:44" x14ac:dyDescent="0.2">
      <c r="M1073" s="3"/>
      <c r="N1073" s="3"/>
      <c r="O1073" s="3"/>
      <c r="P1073" s="3"/>
      <c r="AM1073" s="3"/>
      <c r="AR1073" s="30"/>
    </row>
    <row r="1074" spans="13:44" x14ac:dyDescent="0.2">
      <c r="M1074" s="3"/>
      <c r="N1074" s="3"/>
      <c r="O1074" s="3"/>
      <c r="P1074" s="3"/>
      <c r="AM1074" s="3"/>
      <c r="AR1074" s="30"/>
    </row>
    <row r="1075" spans="13:44" x14ac:dyDescent="0.2">
      <c r="M1075" s="3"/>
      <c r="N1075" s="3"/>
      <c r="O1075" s="3"/>
      <c r="P1075" s="3"/>
      <c r="AM1075" s="3"/>
      <c r="AR1075" s="30"/>
    </row>
    <row r="1076" spans="13:44" x14ac:dyDescent="0.2">
      <c r="M1076" s="3"/>
      <c r="N1076" s="3"/>
      <c r="O1076" s="3"/>
      <c r="P1076" s="3"/>
      <c r="AM1076" s="3"/>
      <c r="AR1076" s="30"/>
    </row>
    <row r="1077" spans="13:44" x14ac:dyDescent="0.2">
      <c r="M1077" s="3"/>
      <c r="N1077" s="3"/>
      <c r="O1077" s="3"/>
      <c r="P1077" s="3"/>
      <c r="AM1077" s="3"/>
      <c r="AR1077" s="30"/>
    </row>
    <row r="1078" spans="13:44" x14ac:dyDescent="0.2">
      <c r="M1078" s="3"/>
      <c r="N1078" s="3"/>
      <c r="O1078" s="3"/>
      <c r="P1078" s="3"/>
      <c r="AM1078" s="3"/>
      <c r="AR1078" s="30"/>
    </row>
    <row r="1079" spans="13:44" x14ac:dyDescent="0.2">
      <c r="M1079" s="3"/>
      <c r="N1079" s="3"/>
      <c r="O1079" s="3"/>
      <c r="P1079" s="3"/>
      <c r="AM1079" s="3"/>
      <c r="AR1079" s="30"/>
    </row>
    <row r="1080" spans="13:44" x14ac:dyDescent="0.2">
      <c r="M1080" s="3"/>
      <c r="N1080" s="3"/>
      <c r="O1080" s="3"/>
      <c r="P1080" s="3"/>
      <c r="AM1080" s="3"/>
      <c r="AR1080" s="30"/>
    </row>
    <row r="1081" spans="13:44" x14ac:dyDescent="0.2">
      <c r="M1081" s="3"/>
      <c r="N1081" s="3"/>
      <c r="O1081" s="3"/>
      <c r="P1081" s="3"/>
      <c r="AM1081" s="3"/>
      <c r="AR1081" s="30"/>
    </row>
    <row r="1082" spans="13:44" x14ac:dyDescent="0.2">
      <c r="M1082" s="3"/>
      <c r="N1082" s="3"/>
      <c r="O1082" s="3"/>
      <c r="P1082" s="3"/>
      <c r="AM1082" s="3"/>
      <c r="AR1082" s="30"/>
    </row>
    <row r="1083" spans="13:44" x14ac:dyDescent="0.2">
      <c r="M1083" s="3"/>
      <c r="N1083" s="3"/>
      <c r="O1083" s="3"/>
      <c r="P1083" s="3"/>
      <c r="AM1083" s="3"/>
      <c r="AR1083" s="30"/>
    </row>
    <row r="1084" spans="13:44" x14ac:dyDescent="0.2">
      <c r="M1084" s="3"/>
      <c r="N1084" s="3"/>
      <c r="O1084" s="3"/>
      <c r="P1084" s="3"/>
      <c r="AM1084" s="3"/>
      <c r="AR1084" s="30"/>
    </row>
    <row r="1085" spans="13:44" x14ac:dyDescent="0.2">
      <c r="M1085" s="3"/>
      <c r="N1085" s="3"/>
      <c r="O1085" s="3"/>
      <c r="P1085" s="3"/>
      <c r="AM1085" s="3"/>
      <c r="AR1085" s="30"/>
    </row>
    <row r="1086" spans="13:44" x14ac:dyDescent="0.2">
      <c r="M1086" s="3"/>
      <c r="N1086" s="3"/>
      <c r="O1086" s="3"/>
      <c r="P1086" s="3"/>
      <c r="AM1086" s="3"/>
      <c r="AR1086" s="30"/>
    </row>
    <row r="1087" spans="13:44" x14ac:dyDescent="0.2">
      <c r="M1087" s="3"/>
      <c r="N1087" s="3"/>
      <c r="O1087" s="3"/>
      <c r="P1087" s="3"/>
      <c r="AM1087" s="3"/>
      <c r="AR1087" s="30"/>
    </row>
    <row r="1088" spans="13:44" x14ac:dyDescent="0.2">
      <c r="M1088" s="3"/>
      <c r="N1088" s="3"/>
      <c r="O1088" s="3"/>
      <c r="P1088" s="3"/>
      <c r="AM1088" s="3"/>
      <c r="AR1088" s="30"/>
    </row>
    <row r="1089" spans="13:44" x14ac:dyDescent="0.2">
      <c r="M1089" s="3"/>
      <c r="N1089" s="3"/>
      <c r="O1089" s="3"/>
      <c r="P1089" s="3"/>
      <c r="AM1089" s="3"/>
      <c r="AR1089" s="30"/>
    </row>
    <row r="1090" spans="13:44" x14ac:dyDescent="0.2">
      <c r="M1090" s="3"/>
      <c r="N1090" s="3"/>
      <c r="O1090" s="3"/>
      <c r="P1090" s="3"/>
      <c r="AM1090" s="3"/>
      <c r="AR1090" s="30"/>
    </row>
    <row r="1091" spans="13:44" x14ac:dyDescent="0.2">
      <c r="M1091" s="3"/>
      <c r="N1091" s="3"/>
      <c r="O1091" s="3"/>
      <c r="P1091" s="3"/>
      <c r="AM1091" s="3"/>
      <c r="AR1091" s="30"/>
    </row>
    <row r="1092" spans="13:44" x14ac:dyDescent="0.2">
      <c r="M1092" s="3"/>
      <c r="N1092" s="3"/>
      <c r="O1092" s="3"/>
      <c r="P1092" s="3"/>
      <c r="AM1092" s="3"/>
      <c r="AR1092" s="30"/>
    </row>
    <row r="1093" spans="13:44" x14ac:dyDescent="0.2">
      <c r="M1093" s="3"/>
      <c r="N1093" s="3"/>
      <c r="O1093" s="3"/>
      <c r="P1093" s="3"/>
      <c r="AM1093" s="3"/>
      <c r="AR1093" s="30"/>
    </row>
    <row r="1094" spans="13:44" x14ac:dyDescent="0.2">
      <c r="M1094" s="3"/>
      <c r="N1094" s="3"/>
      <c r="O1094" s="3"/>
      <c r="P1094" s="3"/>
      <c r="AM1094" s="3"/>
      <c r="AR1094" s="30"/>
    </row>
    <row r="1095" spans="13:44" x14ac:dyDescent="0.2">
      <c r="M1095" s="3"/>
      <c r="N1095" s="3"/>
      <c r="O1095" s="3"/>
      <c r="P1095" s="3"/>
      <c r="AM1095" s="3"/>
      <c r="AR1095" s="30"/>
    </row>
    <row r="1096" spans="13:44" x14ac:dyDescent="0.2">
      <c r="M1096" s="3"/>
      <c r="N1096" s="3"/>
      <c r="O1096" s="3"/>
      <c r="P1096" s="3"/>
      <c r="AM1096" s="3"/>
      <c r="AR1096" s="30"/>
    </row>
    <row r="1097" spans="13:44" x14ac:dyDescent="0.2">
      <c r="M1097" s="3"/>
      <c r="N1097" s="3"/>
      <c r="O1097" s="3"/>
      <c r="P1097" s="3"/>
      <c r="AM1097" s="3"/>
      <c r="AR1097" s="30"/>
    </row>
    <row r="1098" spans="13:44" x14ac:dyDescent="0.2">
      <c r="M1098" s="3"/>
      <c r="N1098" s="3"/>
      <c r="O1098" s="3"/>
      <c r="P1098" s="3"/>
      <c r="AM1098" s="3"/>
      <c r="AR1098" s="30"/>
    </row>
    <row r="1099" spans="13:44" x14ac:dyDescent="0.2">
      <c r="M1099" s="3"/>
      <c r="N1099" s="3"/>
      <c r="O1099" s="3"/>
      <c r="P1099" s="3"/>
      <c r="AM1099" s="3"/>
      <c r="AR1099" s="30"/>
    </row>
    <row r="1100" spans="13:44" x14ac:dyDescent="0.2">
      <c r="M1100" s="3"/>
      <c r="N1100" s="3"/>
      <c r="O1100" s="3"/>
      <c r="P1100" s="3"/>
      <c r="AM1100" s="3"/>
      <c r="AR1100" s="30"/>
    </row>
    <row r="1101" spans="13:44" x14ac:dyDescent="0.2">
      <c r="M1101" s="3"/>
      <c r="N1101" s="3"/>
      <c r="O1101" s="3"/>
      <c r="P1101" s="3"/>
      <c r="AM1101" s="3"/>
      <c r="AR1101" s="30"/>
    </row>
    <row r="1102" spans="13:44" x14ac:dyDescent="0.2">
      <c r="M1102" s="3"/>
      <c r="N1102" s="3"/>
      <c r="O1102" s="3"/>
      <c r="P1102" s="3"/>
      <c r="AM1102" s="3"/>
      <c r="AR1102" s="30"/>
    </row>
    <row r="1103" spans="13:44" x14ac:dyDescent="0.2">
      <c r="M1103" s="3"/>
      <c r="N1103" s="3"/>
      <c r="O1103" s="3"/>
      <c r="P1103" s="3"/>
      <c r="AM1103" s="3"/>
      <c r="AR1103" s="30"/>
    </row>
    <row r="1104" spans="13:44" x14ac:dyDescent="0.2">
      <c r="M1104" s="3"/>
      <c r="N1104" s="3"/>
      <c r="O1104" s="3"/>
      <c r="P1104" s="3"/>
      <c r="AM1104" s="3"/>
      <c r="AR1104" s="30"/>
    </row>
    <row r="1105" spans="13:44" x14ac:dyDescent="0.2">
      <c r="M1105" s="3"/>
      <c r="N1105" s="3"/>
      <c r="O1105" s="3"/>
      <c r="P1105" s="3"/>
      <c r="AM1105" s="3"/>
      <c r="AR1105" s="30"/>
    </row>
    <row r="1106" spans="13:44" x14ac:dyDescent="0.2">
      <c r="M1106" s="3"/>
      <c r="N1106" s="3"/>
      <c r="O1106" s="3"/>
      <c r="P1106" s="3"/>
      <c r="AM1106" s="3"/>
      <c r="AR1106" s="30"/>
    </row>
    <row r="1107" spans="13:44" x14ac:dyDescent="0.2">
      <c r="M1107" s="3"/>
      <c r="N1107" s="3"/>
      <c r="O1107" s="3"/>
      <c r="P1107" s="3"/>
      <c r="AM1107" s="3"/>
      <c r="AR1107" s="30"/>
    </row>
    <row r="1108" spans="13:44" x14ac:dyDescent="0.2">
      <c r="M1108" s="3"/>
      <c r="N1108" s="3"/>
      <c r="O1108" s="3"/>
      <c r="P1108" s="3"/>
      <c r="AM1108" s="3"/>
      <c r="AR1108" s="30"/>
    </row>
    <row r="1109" spans="13:44" x14ac:dyDescent="0.2">
      <c r="M1109" s="3"/>
      <c r="N1109" s="3"/>
      <c r="O1109" s="3"/>
      <c r="P1109" s="3"/>
      <c r="AM1109" s="3"/>
      <c r="AR1109" s="30"/>
    </row>
    <row r="1110" spans="13:44" x14ac:dyDescent="0.2">
      <c r="M1110" s="3"/>
      <c r="N1110" s="3"/>
      <c r="O1110" s="3"/>
      <c r="P1110" s="3"/>
      <c r="AM1110" s="3"/>
      <c r="AR1110" s="30"/>
    </row>
    <row r="1111" spans="13:44" x14ac:dyDescent="0.2">
      <c r="M1111" s="3"/>
      <c r="N1111" s="3"/>
      <c r="O1111" s="3"/>
      <c r="P1111" s="3"/>
      <c r="AM1111" s="3"/>
      <c r="AR1111" s="30"/>
    </row>
    <row r="1112" spans="13:44" x14ac:dyDescent="0.2">
      <c r="M1112" s="3"/>
      <c r="N1112" s="3"/>
      <c r="O1112" s="3"/>
      <c r="P1112" s="3"/>
      <c r="AM1112" s="3"/>
      <c r="AR1112" s="30"/>
    </row>
    <row r="1113" spans="13:44" x14ac:dyDescent="0.2">
      <c r="M1113" s="3"/>
      <c r="N1113" s="3"/>
      <c r="O1113" s="3"/>
      <c r="P1113" s="3"/>
      <c r="AM1113" s="3"/>
      <c r="AR1113" s="30"/>
    </row>
    <row r="1114" spans="13:44" x14ac:dyDescent="0.2">
      <c r="M1114" s="3"/>
      <c r="N1114" s="3"/>
      <c r="O1114" s="3"/>
      <c r="P1114" s="3"/>
      <c r="AM1114" s="3"/>
      <c r="AR1114" s="30"/>
    </row>
    <row r="1115" spans="13:44" x14ac:dyDescent="0.2">
      <c r="M1115" s="3"/>
      <c r="N1115" s="3"/>
      <c r="O1115" s="3"/>
      <c r="P1115" s="3"/>
      <c r="AM1115" s="3"/>
      <c r="AR1115" s="30"/>
    </row>
    <row r="1116" spans="13:44" x14ac:dyDescent="0.2">
      <c r="M1116" s="3"/>
      <c r="N1116" s="3"/>
      <c r="O1116" s="3"/>
      <c r="P1116" s="3"/>
      <c r="AM1116" s="3"/>
      <c r="AR1116" s="30"/>
    </row>
    <row r="1117" spans="13:44" x14ac:dyDescent="0.2">
      <c r="M1117" s="3"/>
      <c r="N1117" s="3"/>
      <c r="O1117" s="3"/>
      <c r="P1117" s="3"/>
      <c r="AM1117" s="3"/>
      <c r="AR1117" s="30"/>
    </row>
    <row r="1118" spans="13:44" x14ac:dyDescent="0.2">
      <c r="M1118" s="3"/>
      <c r="N1118" s="3"/>
      <c r="O1118" s="3"/>
      <c r="P1118" s="3"/>
      <c r="AM1118" s="3"/>
      <c r="AR1118" s="30"/>
    </row>
    <row r="1119" spans="13:44" x14ac:dyDescent="0.2">
      <c r="M1119" s="3"/>
      <c r="N1119" s="3"/>
      <c r="O1119" s="3"/>
      <c r="P1119" s="3"/>
      <c r="AM1119" s="3"/>
      <c r="AR1119" s="30"/>
    </row>
    <row r="1120" spans="13:44" x14ac:dyDescent="0.2">
      <c r="M1120" s="3"/>
      <c r="N1120" s="3"/>
      <c r="O1120" s="3"/>
      <c r="P1120" s="3"/>
      <c r="AM1120" s="3"/>
      <c r="AR1120" s="30"/>
    </row>
    <row r="1121" spans="13:44" x14ac:dyDescent="0.2">
      <c r="M1121" s="3"/>
      <c r="N1121" s="3"/>
      <c r="O1121" s="3"/>
      <c r="P1121" s="3"/>
      <c r="AM1121" s="3"/>
      <c r="AR1121" s="30"/>
    </row>
    <row r="1122" spans="13:44" x14ac:dyDescent="0.2">
      <c r="M1122" s="3"/>
      <c r="N1122" s="3"/>
      <c r="O1122" s="3"/>
      <c r="P1122" s="3"/>
      <c r="AM1122" s="3"/>
      <c r="AR1122" s="30"/>
    </row>
    <row r="1123" spans="13:44" x14ac:dyDescent="0.2">
      <c r="M1123" s="3"/>
      <c r="N1123" s="3"/>
      <c r="O1123" s="3"/>
      <c r="P1123" s="3"/>
      <c r="AM1123" s="3"/>
      <c r="AR1123" s="30"/>
    </row>
    <row r="1124" spans="13:44" x14ac:dyDescent="0.2">
      <c r="M1124" s="3"/>
      <c r="N1124" s="3"/>
      <c r="O1124" s="3"/>
      <c r="P1124" s="3"/>
      <c r="AM1124" s="3"/>
      <c r="AR1124" s="30"/>
    </row>
    <row r="1125" spans="13:44" x14ac:dyDescent="0.2">
      <c r="M1125" s="3"/>
      <c r="N1125" s="3"/>
      <c r="O1125" s="3"/>
      <c r="P1125" s="3"/>
      <c r="AM1125" s="3"/>
      <c r="AR1125" s="30"/>
    </row>
    <row r="1126" spans="13:44" x14ac:dyDescent="0.2">
      <c r="M1126" s="3"/>
      <c r="N1126" s="3"/>
      <c r="O1126" s="3"/>
      <c r="P1126" s="3"/>
      <c r="AM1126" s="3"/>
      <c r="AR1126" s="30"/>
    </row>
    <row r="1127" spans="13:44" x14ac:dyDescent="0.2">
      <c r="M1127" s="3"/>
      <c r="N1127" s="3"/>
      <c r="O1127" s="3"/>
      <c r="P1127" s="3"/>
      <c r="AM1127" s="3"/>
      <c r="AR1127" s="30"/>
    </row>
    <row r="1128" spans="13:44" x14ac:dyDescent="0.2">
      <c r="M1128" s="3"/>
      <c r="N1128" s="3"/>
      <c r="O1128" s="3"/>
      <c r="P1128" s="3"/>
      <c r="AM1128" s="3"/>
      <c r="AR1128" s="30"/>
    </row>
    <row r="1129" spans="13:44" x14ac:dyDescent="0.2">
      <c r="M1129" s="3"/>
      <c r="N1129" s="3"/>
      <c r="O1129" s="3"/>
      <c r="P1129" s="3"/>
      <c r="AM1129" s="3"/>
      <c r="AR1129" s="30"/>
    </row>
    <row r="1130" spans="13:44" x14ac:dyDescent="0.2">
      <c r="M1130" s="3"/>
      <c r="N1130" s="3"/>
      <c r="O1130" s="3"/>
      <c r="P1130" s="3"/>
      <c r="AM1130" s="3"/>
      <c r="AR1130" s="30"/>
    </row>
    <row r="1131" spans="13:44" x14ac:dyDescent="0.2">
      <c r="M1131" s="3"/>
      <c r="N1131" s="3"/>
      <c r="O1131" s="3"/>
      <c r="P1131" s="3"/>
      <c r="AM1131" s="3"/>
      <c r="AR1131" s="30"/>
    </row>
    <row r="1132" spans="13:44" x14ac:dyDescent="0.2">
      <c r="M1132" s="3"/>
      <c r="N1132" s="3"/>
      <c r="O1132" s="3"/>
      <c r="P1132" s="3"/>
      <c r="AM1132" s="3"/>
      <c r="AR1132" s="30"/>
    </row>
    <row r="1133" spans="13:44" x14ac:dyDescent="0.2">
      <c r="M1133" s="3"/>
      <c r="N1133" s="3"/>
      <c r="O1133" s="3"/>
      <c r="P1133" s="3"/>
      <c r="AM1133" s="3"/>
      <c r="AR1133" s="30"/>
    </row>
    <row r="1134" spans="13:44" x14ac:dyDescent="0.2">
      <c r="M1134" s="3"/>
      <c r="N1134" s="3"/>
      <c r="O1134" s="3"/>
      <c r="P1134" s="3"/>
      <c r="AM1134" s="3"/>
      <c r="AR1134" s="30"/>
    </row>
    <row r="1135" spans="13:44" x14ac:dyDescent="0.2">
      <c r="M1135" s="3"/>
      <c r="N1135" s="3"/>
      <c r="O1135" s="3"/>
      <c r="P1135" s="3"/>
      <c r="AM1135" s="3"/>
      <c r="AR1135" s="30"/>
    </row>
    <row r="1136" spans="13:44" x14ac:dyDescent="0.2">
      <c r="M1136" s="3"/>
      <c r="N1136" s="3"/>
      <c r="O1136" s="3"/>
      <c r="P1136" s="3"/>
      <c r="AM1136" s="3"/>
      <c r="AR1136" s="30"/>
    </row>
    <row r="1137" spans="13:44" x14ac:dyDescent="0.2">
      <c r="M1137" s="3"/>
      <c r="N1137" s="3"/>
      <c r="O1137" s="3"/>
      <c r="P1137" s="3"/>
      <c r="AM1137" s="3"/>
      <c r="AR1137" s="30"/>
    </row>
    <row r="1138" spans="13:44" x14ac:dyDescent="0.2">
      <c r="M1138" s="3"/>
      <c r="N1138" s="3"/>
      <c r="O1138" s="3"/>
      <c r="P1138" s="3"/>
      <c r="AM1138" s="3"/>
      <c r="AR1138" s="30"/>
    </row>
    <row r="1139" spans="13:44" x14ac:dyDescent="0.2">
      <c r="M1139" s="3"/>
      <c r="N1139" s="3"/>
      <c r="O1139" s="3"/>
      <c r="P1139" s="3"/>
      <c r="AM1139" s="3"/>
      <c r="AR1139" s="30"/>
    </row>
    <row r="1140" spans="13:44" x14ac:dyDescent="0.2">
      <c r="M1140" s="3"/>
      <c r="N1140" s="3"/>
      <c r="O1140" s="3"/>
      <c r="P1140" s="3"/>
      <c r="AM1140" s="3"/>
      <c r="AR1140" s="30"/>
    </row>
    <row r="1141" spans="13:44" x14ac:dyDescent="0.2">
      <c r="M1141" s="3"/>
      <c r="N1141" s="3"/>
      <c r="O1141" s="3"/>
      <c r="P1141" s="3"/>
      <c r="AM1141" s="3"/>
      <c r="AR1141" s="30"/>
    </row>
    <row r="1142" spans="13:44" x14ac:dyDescent="0.2">
      <c r="M1142" s="3"/>
      <c r="N1142" s="3"/>
      <c r="O1142" s="3"/>
      <c r="P1142" s="3"/>
      <c r="AM1142" s="3"/>
      <c r="AR1142" s="30"/>
    </row>
    <row r="1143" spans="13:44" x14ac:dyDescent="0.2">
      <c r="M1143" s="3"/>
      <c r="N1143" s="3"/>
      <c r="O1143" s="3"/>
      <c r="P1143" s="3"/>
      <c r="AM1143" s="3"/>
      <c r="AR1143" s="30"/>
    </row>
    <row r="1144" spans="13:44" x14ac:dyDescent="0.2">
      <c r="M1144" s="3"/>
      <c r="N1144" s="3"/>
      <c r="O1144" s="3"/>
      <c r="P1144" s="3"/>
      <c r="AM1144" s="3"/>
      <c r="AR1144" s="30"/>
    </row>
    <row r="1145" spans="13:44" x14ac:dyDescent="0.2">
      <c r="M1145" s="3"/>
      <c r="N1145" s="3"/>
      <c r="O1145" s="3"/>
      <c r="P1145" s="3"/>
      <c r="AM1145" s="3"/>
      <c r="AR1145" s="30"/>
    </row>
    <row r="1146" spans="13:44" x14ac:dyDescent="0.2">
      <c r="M1146" s="3"/>
      <c r="N1146" s="3"/>
      <c r="O1146" s="3"/>
      <c r="P1146" s="3"/>
      <c r="AM1146" s="3"/>
      <c r="AR1146" s="30"/>
    </row>
    <row r="1147" spans="13:44" x14ac:dyDescent="0.2">
      <c r="M1147" s="3"/>
      <c r="N1147" s="3"/>
      <c r="O1147" s="3"/>
      <c r="P1147" s="3"/>
      <c r="AM1147" s="3"/>
      <c r="AR1147" s="30"/>
    </row>
    <row r="1148" spans="13:44" x14ac:dyDescent="0.2">
      <c r="M1148" s="3"/>
      <c r="N1148" s="3"/>
      <c r="O1148" s="3"/>
      <c r="P1148" s="3"/>
      <c r="AM1148" s="3"/>
      <c r="AR1148" s="30"/>
    </row>
    <row r="1149" spans="13:44" x14ac:dyDescent="0.2">
      <c r="M1149" s="3"/>
      <c r="N1149" s="3"/>
      <c r="O1149" s="3"/>
      <c r="P1149" s="3"/>
      <c r="AM1149" s="3"/>
      <c r="AR1149" s="30"/>
    </row>
    <row r="1150" spans="13:44" x14ac:dyDescent="0.2">
      <c r="M1150" s="3"/>
      <c r="N1150" s="3"/>
      <c r="O1150" s="3"/>
      <c r="P1150" s="3"/>
      <c r="AM1150" s="3"/>
      <c r="AR1150" s="30"/>
    </row>
    <row r="1151" spans="13:44" x14ac:dyDescent="0.2">
      <c r="M1151" s="3"/>
      <c r="N1151" s="3"/>
      <c r="O1151" s="3"/>
      <c r="P1151" s="3"/>
      <c r="AM1151" s="3"/>
      <c r="AR1151" s="30"/>
    </row>
    <row r="1152" spans="13:44" x14ac:dyDescent="0.2">
      <c r="M1152" s="3"/>
      <c r="N1152" s="3"/>
      <c r="O1152" s="3"/>
      <c r="P1152" s="3"/>
      <c r="AM1152" s="3"/>
      <c r="AR1152" s="30"/>
    </row>
    <row r="1153" spans="13:44" x14ac:dyDescent="0.2">
      <c r="M1153" s="3"/>
      <c r="N1153" s="3"/>
      <c r="O1153" s="3"/>
      <c r="P1153" s="3"/>
      <c r="AM1153" s="3"/>
      <c r="AR1153" s="30"/>
    </row>
    <row r="1154" spans="13:44" x14ac:dyDescent="0.2">
      <c r="M1154" s="3"/>
      <c r="N1154" s="3"/>
      <c r="O1154" s="3"/>
      <c r="P1154" s="3"/>
      <c r="AM1154" s="3"/>
      <c r="AR1154" s="30"/>
    </row>
    <row r="1155" spans="13:44" x14ac:dyDescent="0.2">
      <c r="M1155" s="3"/>
      <c r="N1155" s="3"/>
      <c r="O1155" s="3"/>
      <c r="P1155" s="3"/>
      <c r="AM1155" s="3"/>
      <c r="AR1155" s="30"/>
    </row>
    <row r="1156" spans="13:44" x14ac:dyDescent="0.2">
      <c r="M1156" s="3"/>
      <c r="N1156" s="3"/>
      <c r="O1156" s="3"/>
      <c r="P1156" s="3"/>
      <c r="AM1156" s="3"/>
      <c r="AR1156" s="30"/>
    </row>
    <row r="1157" spans="13:44" x14ac:dyDescent="0.2">
      <c r="M1157" s="3"/>
      <c r="N1157" s="3"/>
      <c r="O1157" s="3"/>
      <c r="P1157" s="3"/>
      <c r="AM1157" s="3"/>
      <c r="AR1157" s="30"/>
    </row>
    <row r="1158" spans="13:44" x14ac:dyDescent="0.2">
      <c r="M1158" s="3"/>
      <c r="N1158" s="3"/>
      <c r="O1158" s="3"/>
      <c r="P1158" s="3"/>
      <c r="AM1158" s="3"/>
      <c r="AR1158" s="30"/>
    </row>
    <row r="1159" spans="13:44" x14ac:dyDescent="0.2">
      <c r="M1159" s="3"/>
      <c r="N1159" s="3"/>
      <c r="O1159" s="3"/>
      <c r="P1159" s="3"/>
      <c r="AM1159" s="3"/>
      <c r="AR1159" s="30"/>
    </row>
    <row r="1160" spans="13:44" x14ac:dyDescent="0.2">
      <c r="M1160" s="3"/>
      <c r="N1160" s="3"/>
      <c r="O1160" s="3"/>
      <c r="P1160" s="3"/>
      <c r="AM1160" s="3"/>
      <c r="AR1160" s="30"/>
    </row>
    <row r="1161" spans="13:44" x14ac:dyDescent="0.2">
      <c r="M1161" s="3"/>
      <c r="N1161" s="3"/>
      <c r="O1161" s="3"/>
      <c r="P1161" s="3"/>
      <c r="AM1161" s="3"/>
      <c r="AR1161" s="30"/>
    </row>
    <row r="1162" spans="13:44" x14ac:dyDescent="0.2">
      <c r="M1162" s="3"/>
      <c r="N1162" s="3"/>
      <c r="O1162" s="3"/>
      <c r="P1162" s="3"/>
      <c r="AM1162" s="3"/>
      <c r="AR1162" s="30"/>
    </row>
    <row r="1163" spans="13:44" x14ac:dyDescent="0.2">
      <c r="M1163" s="3"/>
      <c r="N1163" s="3"/>
      <c r="O1163" s="3"/>
      <c r="P1163" s="3"/>
      <c r="AM1163" s="3"/>
      <c r="AR1163" s="30"/>
    </row>
    <row r="1164" spans="13:44" x14ac:dyDescent="0.2">
      <c r="M1164" s="3"/>
      <c r="N1164" s="3"/>
      <c r="O1164" s="3"/>
      <c r="P1164" s="3"/>
      <c r="AM1164" s="3"/>
      <c r="AR1164" s="30"/>
    </row>
    <row r="1165" spans="13:44" x14ac:dyDescent="0.2">
      <c r="M1165" s="3"/>
      <c r="N1165" s="3"/>
      <c r="O1165" s="3"/>
      <c r="P1165" s="3"/>
      <c r="AM1165" s="3"/>
      <c r="AR1165" s="30"/>
    </row>
    <row r="1166" spans="13:44" x14ac:dyDescent="0.2">
      <c r="M1166" s="3"/>
      <c r="N1166" s="3"/>
      <c r="O1166" s="3"/>
      <c r="P1166" s="3"/>
      <c r="AM1166" s="3"/>
      <c r="AR1166" s="30"/>
    </row>
    <row r="1167" spans="13:44" x14ac:dyDescent="0.2">
      <c r="M1167" s="3"/>
      <c r="N1167" s="3"/>
      <c r="O1167" s="3"/>
      <c r="P1167" s="3"/>
      <c r="AM1167" s="3"/>
      <c r="AR1167" s="30"/>
    </row>
    <row r="1168" spans="13:44" x14ac:dyDescent="0.2">
      <c r="M1168" s="3"/>
      <c r="N1168" s="3"/>
      <c r="O1168" s="3"/>
      <c r="P1168" s="3"/>
      <c r="AM1168" s="3"/>
      <c r="AR1168" s="30"/>
    </row>
    <row r="1169" spans="13:44" x14ac:dyDescent="0.2">
      <c r="M1169" s="3"/>
      <c r="N1169" s="3"/>
      <c r="O1169" s="3"/>
      <c r="P1169" s="3"/>
      <c r="AM1169" s="3"/>
      <c r="AR1169" s="30"/>
    </row>
    <row r="1170" spans="13:44" x14ac:dyDescent="0.2">
      <c r="M1170" s="3"/>
      <c r="N1170" s="3"/>
      <c r="O1170" s="3"/>
      <c r="P1170" s="3"/>
      <c r="AM1170" s="3"/>
      <c r="AR1170" s="30"/>
    </row>
    <row r="1171" spans="13:44" x14ac:dyDescent="0.2">
      <c r="M1171" s="3"/>
      <c r="N1171" s="3"/>
      <c r="O1171" s="3"/>
      <c r="P1171" s="3"/>
      <c r="AM1171" s="3"/>
      <c r="AR1171" s="30"/>
    </row>
    <row r="1172" spans="13:44" x14ac:dyDescent="0.2">
      <c r="M1172" s="3"/>
      <c r="N1172" s="3"/>
      <c r="O1172" s="3"/>
      <c r="P1172" s="3"/>
      <c r="AM1172" s="3"/>
      <c r="AR1172" s="30"/>
    </row>
    <row r="1173" spans="13:44" x14ac:dyDescent="0.2">
      <c r="M1173" s="3"/>
      <c r="N1173" s="3"/>
      <c r="O1173" s="3"/>
      <c r="P1173" s="3"/>
      <c r="AM1173" s="3"/>
      <c r="AR1173" s="30"/>
    </row>
    <row r="1174" spans="13:44" x14ac:dyDescent="0.2">
      <c r="M1174" s="3"/>
      <c r="N1174" s="3"/>
      <c r="O1174" s="3"/>
      <c r="P1174" s="3"/>
      <c r="AM1174" s="3"/>
      <c r="AR1174" s="30"/>
    </row>
    <row r="1175" spans="13:44" x14ac:dyDescent="0.2">
      <c r="M1175" s="3"/>
      <c r="N1175" s="3"/>
      <c r="O1175" s="3"/>
      <c r="P1175" s="3"/>
      <c r="AM1175" s="3"/>
      <c r="AR1175" s="30"/>
    </row>
    <row r="1176" spans="13:44" x14ac:dyDescent="0.2">
      <c r="M1176" s="3"/>
      <c r="N1176" s="3"/>
      <c r="O1176" s="3"/>
      <c r="P1176" s="3"/>
      <c r="AM1176" s="3"/>
      <c r="AR1176" s="30"/>
    </row>
    <row r="1177" spans="13:44" x14ac:dyDescent="0.2">
      <c r="M1177" s="3"/>
      <c r="N1177" s="3"/>
      <c r="O1177" s="3"/>
      <c r="P1177" s="3"/>
      <c r="AM1177" s="3"/>
      <c r="AR1177" s="30"/>
    </row>
    <row r="1178" spans="13:44" x14ac:dyDescent="0.2">
      <c r="M1178" s="3"/>
      <c r="N1178" s="3"/>
      <c r="O1178" s="3"/>
      <c r="P1178" s="3"/>
      <c r="AM1178" s="3"/>
      <c r="AR1178" s="30"/>
    </row>
    <row r="1179" spans="13:44" x14ac:dyDescent="0.2">
      <c r="M1179" s="3"/>
      <c r="N1179" s="3"/>
      <c r="O1179" s="3"/>
      <c r="P1179" s="3"/>
      <c r="AM1179" s="3"/>
      <c r="AR1179" s="30"/>
    </row>
    <row r="1180" spans="13:44" x14ac:dyDescent="0.2">
      <c r="M1180" s="3"/>
      <c r="N1180" s="3"/>
      <c r="O1180" s="3"/>
      <c r="P1180" s="3"/>
      <c r="AM1180" s="3"/>
      <c r="AR1180" s="30"/>
    </row>
    <row r="1181" spans="13:44" x14ac:dyDescent="0.2">
      <c r="M1181" s="3"/>
      <c r="N1181" s="3"/>
      <c r="O1181" s="3"/>
      <c r="P1181" s="3"/>
      <c r="AM1181" s="3"/>
      <c r="AR1181" s="30"/>
    </row>
    <row r="1182" spans="13:44" x14ac:dyDescent="0.2">
      <c r="M1182" s="3"/>
      <c r="N1182" s="3"/>
      <c r="O1182" s="3"/>
      <c r="P1182" s="3"/>
      <c r="AM1182" s="3"/>
      <c r="AR1182" s="30"/>
    </row>
    <row r="1183" spans="13:44" x14ac:dyDescent="0.2">
      <c r="M1183" s="3"/>
      <c r="N1183" s="3"/>
      <c r="O1183" s="3"/>
      <c r="P1183" s="3"/>
      <c r="AM1183" s="3"/>
      <c r="AR1183" s="30"/>
    </row>
    <row r="1184" spans="13:44" x14ac:dyDescent="0.2">
      <c r="M1184" s="3"/>
      <c r="N1184" s="3"/>
      <c r="O1184" s="3"/>
      <c r="P1184" s="3"/>
      <c r="AM1184" s="3"/>
      <c r="AR1184" s="30"/>
    </row>
    <row r="1185" spans="13:44" x14ac:dyDescent="0.2">
      <c r="M1185" s="3"/>
      <c r="N1185" s="3"/>
      <c r="O1185" s="3"/>
      <c r="P1185" s="3"/>
      <c r="AM1185" s="3"/>
      <c r="AR1185" s="30"/>
    </row>
    <row r="1186" spans="13:44" x14ac:dyDescent="0.2">
      <c r="M1186" s="3"/>
      <c r="N1186" s="3"/>
      <c r="O1186" s="3"/>
      <c r="P1186" s="3"/>
      <c r="AM1186" s="3"/>
      <c r="AR1186" s="30"/>
    </row>
    <row r="1187" spans="13:44" x14ac:dyDescent="0.2">
      <c r="M1187" s="3"/>
      <c r="N1187" s="3"/>
      <c r="O1187" s="3"/>
      <c r="P1187" s="3"/>
      <c r="AM1187" s="3"/>
      <c r="AR1187" s="30"/>
    </row>
    <row r="1188" spans="13:44" x14ac:dyDescent="0.2">
      <c r="M1188" s="3"/>
      <c r="N1188" s="3"/>
      <c r="O1188" s="3"/>
      <c r="P1188" s="3"/>
      <c r="AM1188" s="3"/>
      <c r="AR1188" s="30"/>
    </row>
    <row r="1189" spans="13:44" x14ac:dyDescent="0.2">
      <c r="M1189" s="3"/>
      <c r="N1189" s="3"/>
      <c r="O1189" s="3"/>
      <c r="P1189" s="3"/>
      <c r="AM1189" s="3"/>
      <c r="AR1189" s="30"/>
    </row>
    <row r="1190" spans="13:44" x14ac:dyDescent="0.2">
      <c r="M1190" s="3"/>
      <c r="N1190" s="3"/>
      <c r="O1190" s="3"/>
      <c r="P1190" s="3"/>
      <c r="AM1190" s="3"/>
      <c r="AR1190" s="30"/>
    </row>
    <row r="1191" spans="13:44" x14ac:dyDescent="0.2">
      <c r="M1191" s="3"/>
      <c r="N1191" s="3"/>
      <c r="O1191" s="3"/>
      <c r="P1191" s="3"/>
      <c r="AM1191" s="3"/>
      <c r="AR1191" s="30"/>
    </row>
    <row r="1192" spans="13:44" x14ac:dyDescent="0.2">
      <c r="M1192" s="3"/>
      <c r="N1192" s="3"/>
      <c r="O1192" s="3"/>
      <c r="P1192" s="3"/>
      <c r="AM1192" s="3"/>
      <c r="AR1192" s="30"/>
    </row>
    <row r="1193" spans="13:44" x14ac:dyDescent="0.2">
      <c r="M1193" s="3"/>
      <c r="N1193" s="3"/>
      <c r="O1193" s="3"/>
      <c r="P1193" s="3"/>
      <c r="AM1193" s="3"/>
      <c r="AR1193" s="30"/>
    </row>
    <row r="1194" spans="13:44" x14ac:dyDescent="0.2">
      <c r="M1194" s="3"/>
      <c r="N1194" s="3"/>
      <c r="O1194" s="3"/>
      <c r="P1194" s="3"/>
      <c r="AM1194" s="3"/>
      <c r="AR1194" s="30"/>
    </row>
    <row r="1195" spans="13:44" x14ac:dyDescent="0.2">
      <c r="M1195" s="3"/>
      <c r="N1195" s="3"/>
      <c r="O1195" s="3"/>
      <c r="P1195" s="3"/>
      <c r="AM1195" s="3"/>
      <c r="AR1195" s="30"/>
    </row>
    <row r="1196" spans="13:44" x14ac:dyDescent="0.2">
      <c r="M1196" s="3"/>
      <c r="N1196" s="3"/>
      <c r="O1196" s="3"/>
      <c r="P1196" s="3"/>
      <c r="AM1196" s="3"/>
      <c r="AR1196" s="30"/>
    </row>
    <row r="1197" spans="13:44" x14ac:dyDescent="0.2">
      <c r="M1197" s="3"/>
      <c r="N1197" s="3"/>
      <c r="O1197" s="3"/>
      <c r="P1197" s="3"/>
      <c r="AM1197" s="3"/>
      <c r="AR1197" s="30"/>
    </row>
    <row r="1198" spans="13:44" x14ac:dyDescent="0.2">
      <c r="M1198" s="3"/>
      <c r="N1198" s="3"/>
      <c r="O1198" s="3"/>
      <c r="P1198" s="3"/>
      <c r="AM1198" s="3"/>
      <c r="AR1198" s="30"/>
    </row>
    <row r="1199" spans="13:44" x14ac:dyDescent="0.2">
      <c r="M1199" s="3"/>
      <c r="N1199" s="3"/>
      <c r="O1199" s="3"/>
      <c r="P1199" s="3"/>
      <c r="AM1199" s="3"/>
      <c r="AR1199" s="30"/>
    </row>
    <row r="1200" spans="13:44" x14ac:dyDescent="0.2">
      <c r="M1200" s="3"/>
      <c r="N1200" s="3"/>
      <c r="O1200" s="3"/>
      <c r="P1200" s="3"/>
      <c r="AM1200" s="3"/>
      <c r="AR1200" s="30"/>
    </row>
    <row r="1201" spans="13:44" x14ac:dyDescent="0.2">
      <c r="M1201" s="3"/>
      <c r="N1201" s="3"/>
      <c r="O1201" s="3"/>
      <c r="P1201" s="3"/>
      <c r="AM1201" s="3"/>
      <c r="AR1201" s="30"/>
    </row>
    <row r="1202" spans="13:44" x14ac:dyDescent="0.2">
      <c r="M1202" s="3"/>
      <c r="N1202" s="3"/>
      <c r="O1202" s="3"/>
      <c r="P1202" s="3"/>
      <c r="AM1202" s="3"/>
      <c r="AR1202" s="30"/>
    </row>
    <row r="1203" spans="13:44" x14ac:dyDescent="0.2">
      <c r="M1203" s="3"/>
      <c r="N1203" s="3"/>
      <c r="O1203" s="3"/>
      <c r="P1203" s="3"/>
      <c r="AM1203" s="3"/>
      <c r="AR1203" s="30"/>
    </row>
    <row r="1204" spans="13:44" x14ac:dyDescent="0.2">
      <c r="M1204" s="3"/>
      <c r="N1204" s="3"/>
      <c r="O1204" s="3"/>
      <c r="P1204" s="3"/>
      <c r="AM1204" s="3"/>
      <c r="AR1204" s="30"/>
    </row>
    <row r="1205" spans="13:44" x14ac:dyDescent="0.2">
      <c r="M1205" s="3"/>
      <c r="N1205" s="3"/>
      <c r="O1205" s="3"/>
      <c r="P1205" s="3"/>
      <c r="AM1205" s="3"/>
      <c r="AR1205" s="30"/>
    </row>
    <row r="1206" spans="13:44" x14ac:dyDescent="0.2">
      <c r="M1206" s="3"/>
      <c r="N1206" s="3"/>
      <c r="O1206" s="3"/>
      <c r="P1206" s="3"/>
      <c r="AM1206" s="3"/>
      <c r="AR1206" s="30"/>
    </row>
    <row r="1207" spans="13:44" x14ac:dyDescent="0.2">
      <c r="M1207" s="3"/>
      <c r="N1207" s="3"/>
      <c r="O1207" s="3"/>
      <c r="P1207" s="3"/>
      <c r="AM1207" s="3"/>
      <c r="AR1207" s="30"/>
    </row>
    <row r="1208" spans="13:44" x14ac:dyDescent="0.2">
      <c r="M1208" s="3"/>
      <c r="N1208" s="3"/>
      <c r="O1208" s="3"/>
      <c r="P1208" s="3"/>
      <c r="AM1208" s="3"/>
      <c r="AR1208" s="30"/>
    </row>
    <row r="1209" spans="13:44" x14ac:dyDescent="0.2">
      <c r="M1209" s="3"/>
      <c r="N1209" s="3"/>
      <c r="O1209" s="3"/>
      <c r="P1209" s="3"/>
      <c r="AM1209" s="3"/>
      <c r="AR1209" s="30"/>
    </row>
    <row r="1210" spans="13:44" x14ac:dyDescent="0.2">
      <c r="M1210" s="3"/>
      <c r="N1210" s="3"/>
      <c r="O1210" s="3"/>
      <c r="P1210" s="3"/>
      <c r="AM1210" s="3"/>
      <c r="AR1210" s="30"/>
    </row>
    <row r="1211" spans="13:44" x14ac:dyDescent="0.2">
      <c r="M1211" s="3"/>
      <c r="N1211" s="3"/>
      <c r="O1211" s="3"/>
      <c r="P1211" s="3"/>
      <c r="AM1211" s="3"/>
      <c r="AR1211" s="30"/>
    </row>
    <row r="1212" spans="13:44" x14ac:dyDescent="0.2">
      <c r="M1212" s="3"/>
      <c r="N1212" s="3"/>
      <c r="O1212" s="3"/>
      <c r="P1212" s="3"/>
      <c r="AM1212" s="3"/>
      <c r="AR1212" s="30"/>
    </row>
    <row r="1213" spans="13:44" x14ac:dyDescent="0.2">
      <c r="M1213" s="3"/>
      <c r="N1213" s="3"/>
      <c r="O1213" s="3"/>
      <c r="P1213" s="3"/>
      <c r="AM1213" s="3"/>
      <c r="AR1213" s="30"/>
    </row>
    <row r="1214" spans="13:44" x14ac:dyDescent="0.2">
      <c r="M1214" s="3"/>
      <c r="N1214" s="3"/>
      <c r="O1214" s="3"/>
      <c r="P1214" s="3"/>
      <c r="AM1214" s="3"/>
      <c r="AR1214" s="30"/>
    </row>
    <row r="1215" spans="13:44" x14ac:dyDescent="0.2">
      <c r="M1215" s="3"/>
      <c r="N1215" s="3"/>
      <c r="O1215" s="3"/>
      <c r="P1215" s="3"/>
      <c r="AM1215" s="3"/>
      <c r="AR1215" s="30"/>
    </row>
    <row r="1216" spans="13:44" x14ac:dyDescent="0.2">
      <c r="M1216" s="3"/>
      <c r="N1216" s="3"/>
      <c r="O1216" s="3"/>
      <c r="P1216" s="3"/>
      <c r="AM1216" s="3"/>
      <c r="AR1216" s="30"/>
    </row>
    <row r="1217" spans="13:44" x14ac:dyDescent="0.2">
      <c r="M1217" s="3"/>
      <c r="N1217" s="3"/>
      <c r="O1217" s="3"/>
      <c r="P1217" s="3"/>
      <c r="AM1217" s="3"/>
      <c r="AR1217" s="30"/>
    </row>
    <row r="1218" spans="13:44" x14ac:dyDescent="0.2">
      <c r="M1218" s="3"/>
      <c r="N1218" s="3"/>
      <c r="O1218" s="3"/>
      <c r="P1218" s="3"/>
      <c r="AM1218" s="3"/>
      <c r="AR1218" s="30"/>
    </row>
    <row r="1219" spans="13:44" x14ac:dyDescent="0.2">
      <c r="M1219" s="3"/>
      <c r="N1219" s="3"/>
      <c r="O1219" s="3"/>
      <c r="P1219" s="3"/>
      <c r="AM1219" s="3"/>
      <c r="AR1219" s="30"/>
    </row>
    <row r="1220" spans="13:44" x14ac:dyDescent="0.2">
      <c r="M1220" s="3"/>
      <c r="N1220" s="3"/>
      <c r="O1220" s="3"/>
      <c r="P1220" s="3"/>
      <c r="AM1220" s="3"/>
      <c r="AR1220" s="30"/>
    </row>
    <row r="1221" spans="13:44" x14ac:dyDescent="0.2">
      <c r="M1221" s="3"/>
      <c r="N1221" s="3"/>
      <c r="O1221" s="3"/>
      <c r="P1221" s="3"/>
      <c r="AM1221" s="3"/>
      <c r="AR1221" s="30"/>
    </row>
    <row r="1222" spans="13:44" x14ac:dyDescent="0.2">
      <c r="M1222" s="3"/>
      <c r="N1222" s="3"/>
      <c r="O1222" s="3"/>
      <c r="P1222" s="3"/>
      <c r="AM1222" s="3"/>
      <c r="AR1222" s="30"/>
    </row>
    <row r="1223" spans="13:44" x14ac:dyDescent="0.2">
      <c r="M1223" s="3"/>
      <c r="N1223" s="3"/>
      <c r="O1223" s="3"/>
      <c r="P1223" s="3"/>
      <c r="AM1223" s="3"/>
      <c r="AR1223" s="30"/>
    </row>
    <row r="1224" spans="13:44" x14ac:dyDescent="0.2">
      <c r="M1224" s="3"/>
      <c r="N1224" s="3"/>
      <c r="O1224" s="3"/>
      <c r="P1224" s="3"/>
      <c r="AM1224" s="3"/>
      <c r="AR1224" s="30"/>
    </row>
    <row r="1225" spans="13:44" x14ac:dyDescent="0.2">
      <c r="M1225" s="3"/>
      <c r="N1225" s="3"/>
      <c r="O1225" s="3"/>
      <c r="P1225" s="3"/>
      <c r="AM1225" s="3"/>
      <c r="AR1225" s="30"/>
    </row>
    <row r="1226" spans="13:44" x14ac:dyDescent="0.2">
      <c r="M1226" s="3"/>
      <c r="N1226" s="3"/>
      <c r="O1226" s="3"/>
      <c r="P1226" s="3"/>
      <c r="AM1226" s="3"/>
      <c r="AR1226" s="30"/>
    </row>
    <row r="1227" spans="13:44" x14ac:dyDescent="0.2">
      <c r="M1227" s="3"/>
      <c r="N1227" s="3"/>
      <c r="O1227" s="3"/>
      <c r="P1227" s="3"/>
      <c r="AM1227" s="3"/>
      <c r="AR1227" s="30"/>
    </row>
    <row r="1228" spans="13:44" x14ac:dyDescent="0.2">
      <c r="M1228" s="3"/>
      <c r="N1228" s="3"/>
      <c r="O1228" s="3"/>
      <c r="P1228" s="3"/>
      <c r="AM1228" s="3"/>
      <c r="AR1228" s="30"/>
    </row>
    <row r="1229" spans="13:44" x14ac:dyDescent="0.2">
      <c r="M1229" s="3"/>
      <c r="N1229" s="3"/>
      <c r="O1229" s="3"/>
      <c r="P1229" s="3"/>
      <c r="AM1229" s="3"/>
      <c r="AR1229" s="30"/>
    </row>
    <row r="1230" spans="13:44" x14ac:dyDescent="0.2">
      <c r="M1230" s="3"/>
      <c r="N1230" s="3"/>
      <c r="O1230" s="3"/>
      <c r="P1230" s="3"/>
      <c r="AM1230" s="3"/>
      <c r="AR1230" s="30"/>
    </row>
    <row r="1231" spans="13:44" x14ac:dyDescent="0.2">
      <c r="M1231" s="3"/>
      <c r="N1231" s="3"/>
      <c r="O1231" s="3"/>
      <c r="P1231" s="3"/>
      <c r="AM1231" s="3"/>
      <c r="AR1231" s="30"/>
    </row>
    <row r="1232" spans="13:44" x14ac:dyDescent="0.2">
      <c r="M1232" s="3"/>
      <c r="N1232" s="3"/>
      <c r="O1232" s="3"/>
      <c r="P1232" s="3"/>
      <c r="AM1232" s="3"/>
      <c r="AR1232" s="30"/>
    </row>
    <row r="1233" spans="13:44" x14ac:dyDescent="0.2">
      <c r="M1233" s="3"/>
      <c r="N1233" s="3"/>
      <c r="O1233" s="3"/>
      <c r="P1233" s="3"/>
      <c r="AM1233" s="3"/>
      <c r="AR1233" s="30"/>
    </row>
    <row r="1234" spans="13:44" x14ac:dyDescent="0.2">
      <c r="M1234" s="3"/>
      <c r="N1234" s="3"/>
      <c r="O1234" s="3"/>
      <c r="P1234" s="3"/>
      <c r="AM1234" s="3"/>
      <c r="AR1234" s="30"/>
    </row>
    <row r="1235" spans="13:44" x14ac:dyDescent="0.2">
      <c r="M1235" s="3"/>
      <c r="N1235" s="3"/>
      <c r="O1235" s="3"/>
      <c r="P1235" s="3"/>
      <c r="AM1235" s="3"/>
      <c r="AR1235" s="30"/>
    </row>
    <row r="1236" spans="13:44" x14ac:dyDescent="0.2">
      <c r="M1236" s="3"/>
      <c r="N1236" s="3"/>
      <c r="O1236" s="3"/>
      <c r="P1236" s="3"/>
      <c r="AM1236" s="3"/>
      <c r="AR1236" s="30"/>
    </row>
    <row r="1237" spans="13:44" x14ac:dyDescent="0.2">
      <c r="M1237" s="3"/>
      <c r="N1237" s="3"/>
      <c r="O1237" s="3"/>
      <c r="P1237" s="3"/>
      <c r="AM1237" s="3"/>
      <c r="AR1237" s="30"/>
    </row>
    <row r="1238" spans="13:44" x14ac:dyDescent="0.2">
      <c r="M1238" s="3"/>
      <c r="N1238" s="3"/>
      <c r="O1238" s="3"/>
      <c r="P1238" s="3"/>
      <c r="AM1238" s="3"/>
      <c r="AR1238" s="30"/>
    </row>
    <row r="1239" spans="13:44" x14ac:dyDescent="0.2">
      <c r="M1239" s="3"/>
      <c r="N1239" s="3"/>
      <c r="O1239" s="3"/>
      <c r="P1239" s="3"/>
      <c r="AM1239" s="3"/>
      <c r="AR1239" s="30"/>
    </row>
    <row r="1240" spans="13:44" x14ac:dyDescent="0.2">
      <c r="M1240" s="3"/>
      <c r="N1240" s="3"/>
      <c r="O1240" s="3"/>
      <c r="P1240" s="3"/>
      <c r="AM1240" s="3"/>
      <c r="AR1240" s="30"/>
    </row>
    <row r="1241" spans="13:44" x14ac:dyDescent="0.2">
      <c r="M1241" s="3"/>
      <c r="N1241" s="3"/>
      <c r="O1241" s="3"/>
      <c r="P1241" s="3"/>
      <c r="AM1241" s="3"/>
      <c r="AR1241" s="30"/>
    </row>
    <row r="1242" spans="13:44" x14ac:dyDescent="0.2">
      <c r="M1242" s="3"/>
      <c r="N1242" s="3"/>
      <c r="O1242" s="3"/>
      <c r="P1242" s="3"/>
      <c r="AM1242" s="3"/>
      <c r="AR1242" s="30"/>
    </row>
    <row r="1243" spans="13:44" x14ac:dyDescent="0.2">
      <c r="M1243" s="3"/>
      <c r="N1243" s="3"/>
      <c r="O1243" s="3"/>
      <c r="P1243" s="3"/>
      <c r="AM1243" s="3"/>
      <c r="AR1243" s="30"/>
    </row>
    <row r="1244" spans="13:44" x14ac:dyDescent="0.2">
      <c r="M1244" s="3"/>
      <c r="N1244" s="3"/>
      <c r="O1244" s="3"/>
      <c r="P1244" s="3"/>
      <c r="AM1244" s="3"/>
      <c r="AR1244" s="30"/>
    </row>
    <row r="1245" spans="13:44" x14ac:dyDescent="0.2">
      <c r="M1245" s="3"/>
      <c r="N1245" s="3"/>
      <c r="O1245" s="3"/>
      <c r="P1245" s="3"/>
      <c r="AM1245" s="3"/>
      <c r="AR1245" s="30"/>
    </row>
    <row r="1246" spans="13:44" x14ac:dyDescent="0.2">
      <c r="M1246" s="3"/>
      <c r="N1246" s="3"/>
      <c r="O1246" s="3"/>
      <c r="P1246" s="3"/>
      <c r="AM1246" s="3"/>
      <c r="AR1246" s="30"/>
    </row>
    <row r="1247" spans="13:44" x14ac:dyDescent="0.2">
      <c r="M1247" s="3"/>
      <c r="N1247" s="3"/>
      <c r="O1247" s="3"/>
      <c r="P1247" s="3"/>
      <c r="AM1247" s="3"/>
      <c r="AR1247" s="30"/>
    </row>
    <row r="1248" spans="13:44" x14ac:dyDescent="0.2">
      <c r="M1248" s="3"/>
      <c r="N1248" s="3"/>
      <c r="O1248" s="3"/>
      <c r="P1248" s="3"/>
      <c r="AM1248" s="3"/>
      <c r="AR1248" s="30"/>
    </row>
    <row r="1249" spans="13:44" x14ac:dyDescent="0.2">
      <c r="M1249" s="3"/>
      <c r="N1249" s="3"/>
      <c r="O1249" s="3"/>
      <c r="P1249" s="3"/>
      <c r="AM1249" s="3"/>
      <c r="AR1249" s="30"/>
    </row>
    <row r="1250" spans="13:44" x14ac:dyDescent="0.2">
      <c r="M1250" s="3"/>
      <c r="N1250" s="3"/>
      <c r="O1250" s="3"/>
      <c r="P1250" s="3"/>
      <c r="AM1250" s="3"/>
      <c r="AR1250" s="30"/>
    </row>
    <row r="1251" spans="13:44" x14ac:dyDescent="0.2">
      <c r="M1251" s="3"/>
      <c r="N1251" s="3"/>
      <c r="O1251" s="3"/>
      <c r="P1251" s="3"/>
      <c r="AM1251" s="3"/>
      <c r="AR1251" s="30"/>
    </row>
    <row r="1252" spans="13:44" x14ac:dyDescent="0.2">
      <c r="M1252" s="3"/>
      <c r="N1252" s="3"/>
      <c r="O1252" s="3"/>
      <c r="P1252" s="3"/>
      <c r="AM1252" s="3"/>
      <c r="AR1252" s="30"/>
    </row>
    <row r="1253" spans="13:44" x14ac:dyDescent="0.2">
      <c r="M1253" s="3"/>
      <c r="N1253" s="3"/>
      <c r="O1253" s="3"/>
      <c r="P1253" s="3"/>
      <c r="AM1253" s="3"/>
      <c r="AR1253" s="30"/>
    </row>
    <row r="1254" spans="13:44" x14ac:dyDescent="0.2">
      <c r="M1254" s="3"/>
      <c r="N1254" s="3"/>
      <c r="O1254" s="3"/>
      <c r="P1254" s="3"/>
      <c r="AM1254" s="3"/>
      <c r="AR1254" s="30"/>
    </row>
    <row r="1255" spans="13:44" x14ac:dyDescent="0.2">
      <c r="M1255" s="3"/>
      <c r="N1255" s="3"/>
      <c r="O1255" s="3"/>
      <c r="P1255" s="3"/>
      <c r="AM1255" s="3"/>
      <c r="AR1255" s="30"/>
    </row>
    <row r="1256" spans="13:44" x14ac:dyDescent="0.2">
      <c r="M1256" s="3"/>
      <c r="N1256" s="3"/>
      <c r="O1256" s="3"/>
      <c r="P1256" s="3"/>
      <c r="AM1256" s="3"/>
      <c r="AR1256" s="30"/>
    </row>
    <row r="1257" spans="13:44" x14ac:dyDescent="0.2">
      <c r="M1257" s="3"/>
      <c r="N1257" s="3"/>
      <c r="O1257" s="3"/>
      <c r="P1257" s="3"/>
      <c r="AM1257" s="3"/>
      <c r="AR1257" s="30"/>
    </row>
    <row r="1258" spans="13:44" x14ac:dyDescent="0.2">
      <c r="M1258" s="3"/>
      <c r="N1258" s="3"/>
      <c r="O1258" s="3"/>
      <c r="P1258" s="3"/>
      <c r="AM1258" s="3"/>
      <c r="AR1258" s="30"/>
    </row>
    <row r="1259" spans="13:44" x14ac:dyDescent="0.2">
      <c r="M1259" s="3"/>
      <c r="N1259" s="3"/>
      <c r="O1259" s="3"/>
      <c r="P1259" s="3"/>
      <c r="AM1259" s="3"/>
      <c r="AR1259" s="30"/>
    </row>
    <row r="1260" spans="13:44" x14ac:dyDescent="0.2">
      <c r="M1260" s="3"/>
      <c r="N1260" s="3"/>
      <c r="O1260" s="3"/>
      <c r="P1260" s="3"/>
      <c r="AM1260" s="3"/>
      <c r="AR1260" s="30"/>
    </row>
    <row r="1261" spans="13:44" x14ac:dyDescent="0.2">
      <c r="M1261" s="3"/>
      <c r="N1261" s="3"/>
      <c r="O1261" s="3"/>
      <c r="P1261" s="3"/>
      <c r="AM1261" s="3"/>
      <c r="AR1261" s="30"/>
    </row>
    <row r="1262" spans="13:44" x14ac:dyDescent="0.2">
      <c r="M1262" s="3"/>
      <c r="N1262" s="3"/>
      <c r="O1262" s="3"/>
      <c r="P1262" s="3"/>
      <c r="AM1262" s="3"/>
      <c r="AR1262" s="30"/>
    </row>
    <row r="1263" spans="13:44" x14ac:dyDescent="0.2">
      <c r="M1263" s="3"/>
      <c r="N1263" s="3"/>
      <c r="O1263" s="3"/>
      <c r="P1263" s="3"/>
      <c r="AM1263" s="3"/>
      <c r="AR1263" s="30"/>
    </row>
    <row r="1264" spans="13:44" x14ac:dyDescent="0.2">
      <c r="M1264" s="3"/>
      <c r="N1264" s="3"/>
      <c r="O1264" s="3"/>
      <c r="P1264" s="3"/>
      <c r="AM1264" s="3"/>
      <c r="AR1264" s="30"/>
    </row>
    <row r="1265" spans="13:44" x14ac:dyDescent="0.2">
      <c r="M1265" s="3"/>
      <c r="N1265" s="3"/>
      <c r="O1265" s="3"/>
      <c r="P1265" s="3"/>
      <c r="AM1265" s="3"/>
      <c r="AR1265" s="30"/>
    </row>
    <row r="1266" spans="13:44" x14ac:dyDescent="0.2">
      <c r="M1266" s="3"/>
      <c r="N1266" s="3"/>
      <c r="O1266" s="3"/>
      <c r="P1266" s="3"/>
      <c r="AM1266" s="3"/>
      <c r="AR1266" s="30"/>
    </row>
    <row r="1267" spans="13:44" x14ac:dyDescent="0.2">
      <c r="M1267" s="3"/>
      <c r="N1267" s="3"/>
      <c r="O1267" s="3"/>
      <c r="P1267" s="3"/>
      <c r="AM1267" s="3"/>
      <c r="AR1267" s="30"/>
    </row>
    <row r="1268" spans="13:44" x14ac:dyDescent="0.2">
      <c r="M1268" s="3"/>
      <c r="N1268" s="3"/>
      <c r="O1268" s="3"/>
      <c r="P1268" s="3"/>
      <c r="AM1268" s="3"/>
      <c r="AR1268" s="30"/>
    </row>
    <row r="1269" spans="13:44" x14ac:dyDescent="0.2">
      <c r="M1269" s="3"/>
      <c r="N1269" s="3"/>
      <c r="O1269" s="3"/>
      <c r="P1269" s="3"/>
      <c r="AM1269" s="3"/>
      <c r="AR1269" s="30"/>
    </row>
    <row r="1270" spans="13:44" x14ac:dyDescent="0.2">
      <c r="M1270" s="3"/>
      <c r="N1270" s="3"/>
      <c r="O1270" s="3"/>
      <c r="P1270" s="3"/>
      <c r="AM1270" s="3"/>
      <c r="AR1270" s="30"/>
    </row>
    <row r="1271" spans="13:44" x14ac:dyDescent="0.2">
      <c r="M1271" s="3"/>
      <c r="N1271" s="3"/>
      <c r="O1271" s="3"/>
      <c r="P1271" s="3"/>
      <c r="AM1271" s="3"/>
      <c r="AR1271" s="30"/>
    </row>
    <row r="1272" spans="13:44" x14ac:dyDescent="0.2">
      <c r="M1272" s="3"/>
      <c r="N1272" s="3"/>
      <c r="O1272" s="3"/>
      <c r="P1272" s="3"/>
      <c r="AM1272" s="3"/>
      <c r="AR1272" s="30"/>
    </row>
    <row r="1273" spans="13:44" x14ac:dyDescent="0.2">
      <c r="M1273" s="3"/>
      <c r="N1273" s="3"/>
      <c r="O1273" s="3"/>
      <c r="P1273" s="3"/>
      <c r="AM1273" s="3"/>
      <c r="AR1273" s="30"/>
    </row>
    <row r="1274" spans="13:44" x14ac:dyDescent="0.2">
      <c r="M1274" s="3"/>
      <c r="N1274" s="3"/>
      <c r="O1274" s="3"/>
      <c r="P1274" s="3"/>
      <c r="AM1274" s="3"/>
      <c r="AR1274" s="30"/>
    </row>
    <row r="1275" spans="13:44" x14ac:dyDescent="0.2">
      <c r="M1275" s="3"/>
      <c r="N1275" s="3"/>
      <c r="O1275" s="3"/>
      <c r="P1275" s="3"/>
      <c r="AM1275" s="3"/>
      <c r="AR1275" s="30"/>
    </row>
    <row r="1276" spans="13:44" x14ac:dyDescent="0.2">
      <c r="M1276" s="3"/>
      <c r="N1276" s="3"/>
      <c r="O1276" s="3"/>
      <c r="P1276" s="3"/>
      <c r="AM1276" s="3"/>
      <c r="AR1276" s="30"/>
    </row>
    <row r="1277" spans="13:44" x14ac:dyDescent="0.2">
      <c r="M1277" s="3"/>
      <c r="N1277" s="3"/>
      <c r="O1277" s="3"/>
      <c r="P1277" s="3"/>
      <c r="AM1277" s="3"/>
      <c r="AR1277" s="30"/>
    </row>
    <row r="1278" spans="13:44" x14ac:dyDescent="0.2">
      <c r="M1278" s="3"/>
      <c r="N1278" s="3"/>
      <c r="O1278" s="3"/>
      <c r="P1278" s="3"/>
      <c r="AM1278" s="3"/>
      <c r="AR1278" s="30"/>
    </row>
    <row r="1279" spans="13:44" x14ac:dyDescent="0.2">
      <c r="M1279" s="3"/>
      <c r="N1279" s="3"/>
      <c r="O1279" s="3"/>
      <c r="P1279" s="3"/>
      <c r="AM1279" s="3"/>
      <c r="AR1279" s="30"/>
    </row>
    <row r="1280" spans="13:44" x14ac:dyDescent="0.2">
      <c r="M1280" s="3"/>
      <c r="N1280" s="3"/>
      <c r="O1280" s="3"/>
      <c r="P1280" s="3"/>
      <c r="AM1280" s="3"/>
      <c r="AR1280" s="30"/>
    </row>
    <row r="1281" spans="13:44" x14ac:dyDescent="0.2">
      <c r="M1281" s="3"/>
      <c r="N1281" s="3"/>
      <c r="O1281" s="3"/>
      <c r="P1281" s="3"/>
      <c r="AM1281" s="3"/>
      <c r="AR1281" s="30"/>
    </row>
    <row r="1282" spans="13:44" x14ac:dyDescent="0.2">
      <c r="M1282" s="3"/>
      <c r="N1282" s="3"/>
      <c r="O1282" s="3"/>
      <c r="P1282" s="3"/>
      <c r="AM1282" s="3"/>
      <c r="AR1282" s="30"/>
    </row>
    <row r="1283" spans="13:44" x14ac:dyDescent="0.2">
      <c r="M1283" s="3"/>
      <c r="N1283" s="3"/>
      <c r="O1283" s="3"/>
      <c r="P1283" s="3"/>
      <c r="AM1283" s="3"/>
      <c r="AR1283" s="30"/>
    </row>
    <row r="1284" spans="13:44" x14ac:dyDescent="0.2">
      <c r="M1284" s="3"/>
      <c r="N1284" s="3"/>
      <c r="O1284" s="3"/>
      <c r="P1284" s="3"/>
      <c r="AM1284" s="3"/>
      <c r="AR1284" s="30"/>
    </row>
    <row r="1285" spans="13:44" x14ac:dyDescent="0.2">
      <c r="M1285" s="3"/>
      <c r="N1285" s="3"/>
      <c r="O1285" s="3"/>
      <c r="P1285" s="3"/>
      <c r="AM1285" s="3"/>
      <c r="AR1285" s="30"/>
    </row>
    <row r="1286" spans="13:44" x14ac:dyDescent="0.2">
      <c r="M1286" s="3"/>
      <c r="N1286" s="3"/>
      <c r="O1286" s="3"/>
      <c r="P1286" s="3"/>
      <c r="AM1286" s="3"/>
      <c r="AR1286" s="30"/>
    </row>
    <row r="1287" spans="13:44" x14ac:dyDescent="0.2">
      <c r="M1287" s="3"/>
      <c r="N1287" s="3"/>
      <c r="O1287" s="3"/>
      <c r="P1287" s="3"/>
      <c r="AM1287" s="3"/>
      <c r="AR1287" s="30"/>
    </row>
    <row r="1288" spans="13:44" x14ac:dyDescent="0.2">
      <c r="M1288" s="3"/>
      <c r="N1288" s="3"/>
      <c r="O1288" s="3"/>
      <c r="P1288" s="3"/>
      <c r="AM1288" s="3"/>
      <c r="AR1288" s="30"/>
    </row>
    <row r="1289" spans="13:44" x14ac:dyDescent="0.2">
      <c r="M1289" s="3"/>
      <c r="N1289" s="3"/>
      <c r="O1289" s="3"/>
      <c r="P1289" s="3"/>
      <c r="AM1289" s="3"/>
      <c r="AR1289" s="30"/>
    </row>
    <row r="1290" spans="13:44" x14ac:dyDescent="0.2">
      <c r="M1290" s="3"/>
      <c r="N1290" s="3"/>
      <c r="O1290" s="3"/>
      <c r="P1290" s="3"/>
      <c r="AM1290" s="3"/>
      <c r="AR1290" s="30"/>
    </row>
    <row r="1291" spans="13:44" x14ac:dyDescent="0.2">
      <c r="M1291" s="3"/>
      <c r="N1291" s="3"/>
      <c r="O1291" s="3"/>
      <c r="P1291" s="3"/>
      <c r="AM1291" s="3"/>
      <c r="AR1291" s="30"/>
    </row>
    <row r="1292" spans="13:44" x14ac:dyDescent="0.2">
      <c r="M1292" s="3"/>
      <c r="N1292" s="3"/>
      <c r="O1292" s="3"/>
      <c r="P1292" s="3"/>
      <c r="AM1292" s="3"/>
      <c r="AR1292" s="30"/>
    </row>
    <row r="1293" spans="13:44" x14ac:dyDescent="0.2">
      <c r="M1293" s="3"/>
      <c r="N1293" s="3"/>
      <c r="O1293" s="3"/>
      <c r="P1293" s="3"/>
      <c r="AM1293" s="3"/>
      <c r="AR1293" s="30"/>
    </row>
    <row r="1294" spans="13:44" x14ac:dyDescent="0.2">
      <c r="M1294" s="3"/>
      <c r="N1294" s="3"/>
      <c r="O1294" s="3"/>
      <c r="P1294" s="3"/>
      <c r="AM1294" s="3"/>
      <c r="AR1294" s="30"/>
    </row>
    <row r="1295" spans="13:44" x14ac:dyDescent="0.2">
      <c r="M1295" s="3"/>
      <c r="N1295" s="3"/>
      <c r="O1295" s="3"/>
      <c r="P1295" s="3"/>
      <c r="AM1295" s="3"/>
      <c r="AR1295" s="30"/>
    </row>
    <row r="1296" spans="13:44" x14ac:dyDescent="0.2">
      <c r="M1296" s="3"/>
      <c r="N1296" s="3"/>
      <c r="O1296" s="3"/>
      <c r="P1296" s="3"/>
      <c r="AM1296" s="3"/>
      <c r="AR1296" s="30"/>
    </row>
    <row r="1297" spans="13:44" x14ac:dyDescent="0.2">
      <c r="M1297" s="3"/>
      <c r="N1297" s="3"/>
      <c r="O1297" s="3"/>
      <c r="P1297" s="3"/>
      <c r="AM1297" s="3"/>
      <c r="AR1297" s="30"/>
    </row>
    <row r="1298" spans="13:44" x14ac:dyDescent="0.2">
      <c r="M1298" s="3"/>
      <c r="N1298" s="3"/>
      <c r="O1298" s="3"/>
      <c r="P1298" s="3"/>
      <c r="AM1298" s="3"/>
      <c r="AR1298" s="30"/>
    </row>
    <row r="1299" spans="13:44" x14ac:dyDescent="0.2">
      <c r="M1299" s="3"/>
      <c r="N1299" s="3"/>
      <c r="O1299" s="3"/>
      <c r="P1299" s="3"/>
      <c r="AM1299" s="3"/>
      <c r="AR1299" s="30"/>
    </row>
    <row r="1300" spans="13:44" x14ac:dyDescent="0.2">
      <c r="M1300" s="3"/>
      <c r="N1300" s="3"/>
      <c r="O1300" s="3"/>
      <c r="P1300" s="3"/>
      <c r="AM1300" s="3"/>
      <c r="AR1300" s="30"/>
    </row>
    <row r="1301" spans="13:44" x14ac:dyDescent="0.2">
      <c r="M1301" s="3"/>
      <c r="N1301" s="3"/>
      <c r="O1301" s="3"/>
      <c r="P1301" s="3"/>
      <c r="AM1301" s="3"/>
      <c r="AR1301" s="30"/>
    </row>
    <row r="1302" spans="13:44" x14ac:dyDescent="0.2">
      <c r="M1302" s="3"/>
      <c r="N1302" s="3"/>
      <c r="O1302" s="3"/>
      <c r="P1302" s="3"/>
      <c r="AM1302" s="3"/>
      <c r="AR1302" s="30"/>
    </row>
    <row r="1303" spans="13:44" x14ac:dyDescent="0.2">
      <c r="M1303" s="3"/>
      <c r="N1303" s="3"/>
      <c r="O1303" s="3"/>
      <c r="P1303" s="3"/>
      <c r="AM1303" s="3"/>
      <c r="AR1303" s="30"/>
    </row>
    <row r="1304" spans="13:44" x14ac:dyDescent="0.2">
      <c r="M1304" s="3"/>
      <c r="N1304" s="3"/>
      <c r="O1304" s="3"/>
      <c r="P1304" s="3"/>
      <c r="AM1304" s="3"/>
      <c r="AR1304" s="30"/>
    </row>
    <row r="1305" spans="13:44" x14ac:dyDescent="0.2">
      <c r="M1305" s="3"/>
      <c r="N1305" s="3"/>
      <c r="O1305" s="3"/>
      <c r="P1305" s="3"/>
      <c r="AM1305" s="3"/>
      <c r="AR1305" s="30"/>
    </row>
    <row r="1306" spans="13:44" x14ac:dyDescent="0.2">
      <c r="M1306" s="3"/>
      <c r="N1306" s="3"/>
      <c r="O1306" s="3"/>
      <c r="P1306" s="3"/>
      <c r="AM1306" s="3"/>
      <c r="AR1306" s="30"/>
    </row>
    <row r="1307" spans="13:44" x14ac:dyDescent="0.2">
      <c r="M1307" s="3"/>
      <c r="N1307" s="3"/>
      <c r="O1307" s="3"/>
      <c r="P1307" s="3"/>
      <c r="AM1307" s="3"/>
      <c r="AR1307" s="30"/>
    </row>
    <row r="1308" spans="13:44" x14ac:dyDescent="0.2">
      <c r="M1308" s="3"/>
      <c r="N1308" s="3"/>
      <c r="O1308" s="3"/>
      <c r="P1308" s="3"/>
      <c r="AM1308" s="3"/>
      <c r="AR1308" s="30"/>
    </row>
    <row r="1309" spans="13:44" x14ac:dyDescent="0.2">
      <c r="M1309" s="3"/>
      <c r="N1309" s="3"/>
      <c r="O1309" s="3"/>
      <c r="P1309" s="3"/>
      <c r="AM1309" s="3"/>
      <c r="AR1309" s="30"/>
    </row>
    <row r="1310" spans="13:44" x14ac:dyDescent="0.2">
      <c r="M1310" s="3"/>
      <c r="N1310" s="3"/>
      <c r="O1310" s="3"/>
      <c r="P1310" s="3"/>
      <c r="AM1310" s="3"/>
      <c r="AR1310" s="30"/>
    </row>
    <row r="1311" spans="13:44" x14ac:dyDescent="0.2">
      <c r="M1311" s="3"/>
      <c r="N1311" s="3"/>
      <c r="O1311" s="3"/>
      <c r="P1311" s="3"/>
      <c r="AM1311" s="3"/>
      <c r="AR1311" s="30"/>
    </row>
    <row r="1312" spans="13:44" x14ac:dyDescent="0.2">
      <c r="M1312" s="3"/>
      <c r="N1312" s="3"/>
      <c r="O1312" s="3"/>
      <c r="P1312" s="3"/>
      <c r="AM1312" s="3"/>
      <c r="AR1312" s="30"/>
    </row>
    <row r="1313" spans="13:44" x14ac:dyDescent="0.2">
      <c r="M1313" s="3"/>
      <c r="N1313" s="3"/>
      <c r="O1313" s="3"/>
      <c r="P1313" s="3"/>
      <c r="AM1313" s="3"/>
      <c r="AR1313" s="30"/>
    </row>
    <row r="1314" spans="13:44" x14ac:dyDescent="0.2">
      <c r="M1314" s="3"/>
      <c r="N1314" s="3"/>
      <c r="O1314" s="3"/>
      <c r="P1314" s="3"/>
      <c r="AM1314" s="3"/>
      <c r="AR1314" s="30"/>
    </row>
    <row r="1315" spans="13:44" x14ac:dyDescent="0.2">
      <c r="M1315" s="3"/>
      <c r="N1315" s="3"/>
      <c r="O1315" s="3"/>
      <c r="P1315" s="3"/>
      <c r="AM1315" s="3"/>
      <c r="AR1315" s="30"/>
    </row>
    <row r="1316" spans="13:44" x14ac:dyDescent="0.2">
      <c r="M1316" s="3"/>
      <c r="N1316" s="3"/>
      <c r="O1316" s="3"/>
      <c r="P1316" s="3"/>
      <c r="AM1316" s="3"/>
      <c r="AR1316" s="30"/>
    </row>
    <row r="1317" spans="13:44" x14ac:dyDescent="0.2">
      <c r="M1317" s="3"/>
      <c r="N1317" s="3"/>
      <c r="O1317" s="3"/>
      <c r="P1317" s="3"/>
      <c r="AM1317" s="3"/>
      <c r="AR1317" s="30"/>
    </row>
    <row r="1318" spans="13:44" x14ac:dyDescent="0.2">
      <c r="M1318" s="3"/>
      <c r="N1318" s="3"/>
      <c r="O1318" s="3"/>
      <c r="P1318" s="3"/>
      <c r="AM1318" s="3"/>
      <c r="AR1318" s="30"/>
    </row>
    <row r="1319" spans="13:44" x14ac:dyDescent="0.2">
      <c r="M1319" s="3"/>
      <c r="N1319" s="3"/>
      <c r="O1319" s="3"/>
      <c r="P1319" s="3"/>
      <c r="AM1319" s="3"/>
      <c r="AR1319" s="30"/>
    </row>
    <row r="1320" spans="13:44" x14ac:dyDescent="0.2">
      <c r="M1320" s="3"/>
      <c r="N1320" s="3"/>
      <c r="O1320" s="3"/>
      <c r="P1320" s="3"/>
      <c r="AM1320" s="3"/>
      <c r="AR1320" s="30"/>
    </row>
    <row r="1321" spans="13:44" x14ac:dyDescent="0.2">
      <c r="M1321" s="3"/>
      <c r="N1321" s="3"/>
      <c r="O1321" s="3"/>
      <c r="P1321" s="3"/>
      <c r="AM1321" s="3"/>
      <c r="AR1321" s="30"/>
    </row>
    <row r="1322" spans="13:44" x14ac:dyDescent="0.2">
      <c r="M1322" s="3"/>
      <c r="N1322" s="3"/>
      <c r="O1322" s="3"/>
      <c r="P1322" s="3"/>
      <c r="AM1322" s="3"/>
      <c r="AR1322" s="30"/>
    </row>
    <row r="1323" spans="13:44" x14ac:dyDescent="0.2">
      <c r="M1323" s="3"/>
      <c r="N1323" s="3"/>
      <c r="O1323" s="3"/>
      <c r="P1323" s="3"/>
      <c r="AM1323" s="3"/>
      <c r="AR1323" s="30"/>
    </row>
    <row r="1324" spans="13:44" x14ac:dyDescent="0.2">
      <c r="M1324" s="3"/>
      <c r="N1324" s="3"/>
      <c r="O1324" s="3"/>
      <c r="P1324" s="3"/>
      <c r="AM1324" s="3"/>
      <c r="AR1324" s="30"/>
    </row>
    <row r="1325" spans="13:44" x14ac:dyDescent="0.2">
      <c r="M1325" s="3"/>
      <c r="N1325" s="3"/>
      <c r="O1325" s="3"/>
      <c r="P1325" s="3"/>
      <c r="AM1325" s="3"/>
      <c r="AR1325" s="30"/>
    </row>
    <row r="1326" spans="13:44" x14ac:dyDescent="0.2">
      <c r="M1326" s="3"/>
      <c r="N1326" s="3"/>
      <c r="O1326" s="3"/>
      <c r="P1326" s="3"/>
      <c r="AM1326" s="3"/>
      <c r="AR1326" s="30"/>
    </row>
    <row r="1327" spans="13:44" x14ac:dyDescent="0.2">
      <c r="M1327" s="3"/>
      <c r="N1327" s="3"/>
      <c r="O1327" s="3"/>
      <c r="P1327" s="3"/>
      <c r="AM1327" s="3"/>
      <c r="AR1327" s="30"/>
    </row>
    <row r="1328" spans="13:44" x14ac:dyDescent="0.2">
      <c r="M1328" s="3"/>
      <c r="N1328" s="3"/>
      <c r="O1328" s="3"/>
      <c r="P1328" s="3"/>
      <c r="AM1328" s="3"/>
      <c r="AR1328" s="30"/>
    </row>
    <row r="1329" spans="13:44" x14ac:dyDescent="0.2">
      <c r="M1329" s="3"/>
      <c r="N1329" s="3"/>
      <c r="O1329" s="3"/>
      <c r="P1329" s="3"/>
      <c r="AM1329" s="3"/>
      <c r="AR1329" s="30"/>
    </row>
    <row r="1330" spans="13:44" x14ac:dyDescent="0.2">
      <c r="M1330" s="3"/>
      <c r="N1330" s="3"/>
      <c r="O1330" s="3"/>
      <c r="P1330" s="3"/>
      <c r="AM1330" s="3"/>
      <c r="AR1330" s="30"/>
    </row>
    <row r="1331" spans="13:44" x14ac:dyDescent="0.2">
      <c r="M1331" s="3"/>
      <c r="N1331" s="3"/>
      <c r="O1331" s="3"/>
      <c r="P1331" s="3"/>
      <c r="AM1331" s="3"/>
      <c r="AR1331" s="30"/>
    </row>
    <row r="1332" spans="13:44" x14ac:dyDescent="0.2">
      <c r="M1332" s="3"/>
      <c r="N1332" s="3"/>
      <c r="O1332" s="3"/>
      <c r="P1332" s="3"/>
      <c r="AM1332" s="3"/>
      <c r="AR1332" s="30"/>
    </row>
    <row r="1333" spans="13:44" x14ac:dyDescent="0.2">
      <c r="M1333" s="3"/>
      <c r="N1333" s="3"/>
      <c r="O1333" s="3"/>
      <c r="P1333" s="3"/>
      <c r="AM1333" s="3"/>
      <c r="AR1333" s="30"/>
    </row>
    <row r="1334" spans="13:44" x14ac:dyDescent="0.2">
      <c r="M1334" s="3"/>
      <c r="N1334" s="3"/>
      <c r="O1334" s="3"/>
      <c r="P1334" s="3"/>
      <c r="AM1334" s="3"/>
      <c r="AR1334" s="30"/>
    </row>
    <row r="1335" spans="13:44" x14ac:dyDescent="0.2">
      <c r="M1335" s="3"/>
      <c r="N1335" s="3"/>
      <c r="O1335" s="3"/>
      <c r="P1335" s="3"/>
      <c r="AM1335" s="3"/>
      <c r="AR1335" s="30"/>
    </row>
    <row r="1336" spans="13:44" x14ac:dyDescent="0.2">
      <c r="M1336" s="3"/>
      <c r="N1336" s="3"/>
      <c r="O1336" s="3"/>
      <c r="P1336" s="3"/>
      <c r="AM1336" s="3"/>
      <c r="AR1336" s="30"/>
    </row>
    <row r="1337" spans="13:44" x14ac:dyDescent="0.2">
      <c r="M1337" s="3"/>
      <c r="N1337" s="3"/>
      <c r="O1337" s="3"/>
      <c r="P1337" s="3"/>
      <c r="AM1337" s="3"/>
      <c r="AR1337" s="30"/>
    </row>
    <row r="1338" spans="13:44" x14ac:dyDescent="0.2">
      <c r="M1338" s="3"/>
      <c r="N1338" s="3"/>
      <c r="O1338" s="3"/>
      <c r="P1338" s="3"/>
      <c r="AM1338" s="3"/>
      <c r="AR1338" s="30"/>
    </row>
    <row r="1339" spans="13:44" x14ac:dyDescent="0.2">
      <c r="M1339" s="3"/>
      <c r="N1339" s="3"/>
      <c r="O1339" s="3"/>
      <c r="P1339" s="3"/>
      <c r="AM1339" s="3"/>
      <c r="AR1339" s="30"/>
    </row>
    <row r="1340" spans="13:44" x14ac:dyDescent="0.2">
      <c r="M1340" s="3"/>
      <c r="N1340" s="3"/>
      <c r="O1340" s="3"/>
      <c r="P1340" s="3"/>
      <c r="AM1340" s="3"/>
      <c r="AR1340" s="30"/>
    </row>
    <row r="1341" spans="13:44" x14ac:dyDescent="0.2">
      <c r="M1341" s="3"/>
      <c r="N1341" s="3"/>
      <c r="O1341" s="3"/>
      <c r="P1341" s="3"/>
      <c r="AM1341" s="3"/>
      <c r="AR1341" s="30"/>
    </row>
    <row r="1342" spans="13:44" x14ac:dyDescent="0.2">
      <c r="M1342" s="3"/>
      <c r="N1342" s="3"/>
      <c r="O1342" s="3"/>
      <c r="P1342" s="3"/>
      <c r="AM1342" s="3"/>
      <c r="AR1342" s="30"/>
    </row>
    <row r="1343" spans="13:44" x14ac:dyDescent="0.2">
      <c r="M1343" s="3"/>
      <c r="N1343" s="3"/>
      <c r="O1343" s="3"/>
      <c r="P1343" s="3"/>
      <c r="AM1343" s="3"/>
      <c r="AR1343" s="30"/>
    </row>
    <row r="1344" spans="13:44" x14ac:dyDescent="0.2">
      <c r="M1344" s="3"/>
      <c r="N1344" s="3"/>
      <c r="O1344" s="3"/>
      <c r="P1344" s="3"/>
      <c r="AM1344" s="3"/>
      <c r="AR1344" s="30"/>
    </row>
    <row r="1345" spans="13:44" x14ac:dyDescent="0.2">
      <c r="M1345" s="3"/>
      <c r="N1345" s="3"/>
      <c r="O1345" s="3"/>
      <c r="P1345" s="3"/>
      <c r="AM1345" s="3"/>
      <c r="AR1345" s="30"/>
    </row>
    <row r="1346" spans="13:44" x14ac:dyDescent="0.2">
      <c r="M1346" s="3"/>
      <c r="N1346" s="3"/>
      <c r="O1346" s="3"/>
      <c r="P1346" s="3"/>
      <c r="AM1346" s="3"/>
      <c r="AR1346" s="30"/>
    </row>
    <row r="1347" spans="13:44" x14ac:dyDescent="0.2">
      <c r="M1347" s="3"/>
      <c r="N1347" s="3"/>
      <c r="O1347" s="3"/>
      <c r="P1347" s="3"/>
      <c r="AM1347" s="3"/>
      <c r="AR1347" s="30"/>
    </row>
    <row r="1348" spans="13:44" x14ac:dyDescent="0.2">
      <c r="M1348" s="3"/>
      <c r="N1348" s="3"/>
      <c r="O1348" s="3"/>
      <c r="P1348" s="3"/>
      <c r="AM1348" s="3"/>
      <c r="AR1348" s="30"/>
    </row>
    <row r="1349" spans="13:44" x14ac:dyDescent="0.2">
      <c r="M1349" s="3"/>
      <c r="N1349" s="3"/>
      <c r="O1349" s="3"/>
      <c r="P1349" s="3"/>
      <c r="AM1349" s="3"/>
      <c r="AR1349" s="30"/>
    </row>
    <row r="1350" spans="13:44" x14ac:dyDescent="0.2">
      <c r="M1350" s="3"/>
      <c r="N1350" s="3"/>
      <c r="O1350" s="3"/>
      <c r="P1350" s="3"/>
      <c r="AM1350" s="3"/>
      <c r="AR1350" s="30"/>
    </row>
    <row r="1351" spans="13:44" x14ac:dyDescent="0.2">
      <c r="M1351" s="3"/>
      <c r="N1351" s="3"/>
      <c r="O1351" s="3"/>
      <c r="P1351" s="3"/>
      <c r="AM1351" s="3"/>
      <c r="AR1351" s="30"/>
    </row>
    <row r="1352" spans="13:44" x14ac:dyDescent="0.2">
      <c r="M1352" s="3"/>
      <c r="N1352" s="3"/>
      <c r="O1352" s="3"/>
      <c r="P1352" s="3"/>
      <c r="AM1352" s="3"/>
      <c r="AR1352" s="30"/>
    </row>
    <row r="1353" spans="13:44" x14ac:dyDescent="0.2">
      <c r="M1353" s="3"/>
      <c r="N1353" s="3"/>
      <c r="O1353" s="3"/>
      <c r="P1353" s="3"/>
      <c r="AM1353" s="3"/>
      <c r="AR1353" s="30"/>
    </row>
    <row r="1354" spans="13:44" x14ac:dyDescent="0.2">
      <c r="M1354" s="3"/>
      <c r="N1354" s="3"/>
      <c r="O1354" s="3"/>
      <c r="P1354" s="3"/>
      <c r="AM1354" s="3"/>
      <c r="AR1354" s="30"/>
    </row>
    <row r="1355" spans="13:44" x14ac:dyDescent="0.2">
      <c r="M1355" s="3"/>
      <c r="N1355" s="3"/>
      <c r="O1355" s="3"/>
      <c r="P1355" s="3"/>
      <c r="AM1355" s="3"/>
      <c r="AR1355" s="30"/>
    </row>
    <row r="1356" spans="13:44" x14ac:dyDescent="0.2">
      <c r="M1356" s="3"/>
      <c r="N1356" s="3"/>
      <c r="O1356" s="3"/>
      <c r="P1356" s="3"/>
      <c r="AM1356" s="3"/>
      <c r="AR1356" s="30"/>
    </row>
    <row r="1357" spans="13:44" x14ac:dyDescent="0.2">
      <c r="M1357" s="3"/>
      <c r="N1357" s="3"/>
      <c r="O1357" s="3"/>
      <c r="P1357" s="3"/>
      <c r="AM1357" s="3"/>
      <c r="AR1357" s="30"/>
    </row>
    <row r="1358" spans="13:44" x14ac:dyDescent="0.2">
      <c r="M1358" s="3"/>
      <c r="N1358" s="3"/>
      <c r="O1358" s="3"/>
      <c r="P1358" s="3"/>
      <c r="AM1358" s="3"/>
      <c r="AR1358" s="30"/>
    </row>
    <row r="1359" spans="13:44" x14ac:dyDescent="0.2">
      <c r="M1359" s="3"/>
      <c r="N1359" s="3"/>
      <c r="O1359" s="3"/>
      <c r="P1359" s="3"/>
      <c r="AM1359" s="3"/>
      <c r="AR1359" s="30"/>
    </row>
    <row r="1360" spans="13:44" x14ac:dyDescent="0.2">
      <c r="M1360" s="3"/>
      <c r="N1360" s="3"/>
      <c r="O1360" s="3"/>
      <c r="P1360" s="3"/>
      <c r="AM1360" s="3"/>
      <c r="AR1360" s="30"/>
    </row>
    <row r="1361" spans="13:44" x14ac:dyDescent="0.2">
      <c r="M1361" s="3"/>
      <c r="N1361" s="3"/>
      <c r="O1361" s="3"/>
      <c r="P1361" s="3"/>
      <c r="AM1361" s="3"/>
      <c r="AR1361" s="30"/>
    </row>
    <row r="1362" spans="13:44" x14ac:dyDescent="0.2">
      <c r="M1362" s="3"/>
      <c r="N1362" s="3"/>
      <c r="O1362" s="3"/>
      <c r="P1362" s="3"/>
      <c r="AM1362" s="3"/>
      <c r="AR1362" s="30"/>
    </row>
    <row r="1363" spans="13:44" x14ac:dyDescent="0.2">
      <c r="M1363" s="3"/>
      <c r="N1363" s="3"/>
      <c r="O1363" s="3"/>
      <c r="P1363" s="3"/>
      <c r="AM1363" s="3"/>
      <c r="AR1363" s="30"/>
    </row>
    <row r="1364" spans="13:44" x14ac:dyDescent="0.2">
      <c r="M1364" s="3"/>
      <c r="N1364" s="3"/>
      <c r="O1364" s="3"/>
      <c r="P1364" s="3"/>
      <c r="AM1364" s="3"/>
      <c r="AR1364" s="30"/>
    </row>
    <row r="1365" spans="13:44" x14ac:dyDescent="0.2">
      <c r="M1365" s="3"/>
      <c r="N1365" s="3"/>
      <c r="O1365" s="3"/>
      <c r="P1365" s="3"/>
      <c r="AM1365" s="3"/>
      <c r="AR1365" s="30"/>
    </row>
    <row r="1366" spans="13:44" x14ac:dyDescent="0.2">
      <c r="M1366" s="3"/>
      <c r="N1366" s="3"/>
      <c r="O1366" s="3"/>
      <c r="P1366" s="3"/>
      <c r="AM1366" s="3"/>
      <c r="AR1366" s="30"/>
    </row>
    <row r="1367" spans="13:44" x14ac:dyDescent="0.2">
      <c r="M1367" s="3"/>
      <c r="N1367" s="3"/>
      <c r="O1367" s="3"/>
      <c r="P1367" s="3"/>
      <c r="AM1367" s="3"/>
      <c r="AR1367" s="30"/>
    </row>
    <row r="1368" spans="13:44" x14ac:dyDescent="0.2">
      <c r="M1368" s="3"/>
      <c r="N1368" s="3"/>
      <c r="O1368" s="3"/>
      <c r="P1368" s="3"/>
      <c r="AM1368" s="3"/>
      <c r="AR1368" s="30"/>
    </row>
    <row r="1369" spans="13:44" x14ac:dyDescent="0.2">
      <c r="M1369" s="3"/>
      <c r="N1369" s="3"/>
      <c r="O1369" s="3"/>
      <c r="P1369" s="3"/>
      <c r="AM1369" s="3"/>
      <c r="AR1369" s="30"/>
    </row>
    <row r="1370" spans="13:44" x14ac:dyDescent="0.2">
      <c r="M1370" s="3"/>
      <c r="N1370" s="3"/>
      <c r="O1370" s="3"/>
      <c r="P1370" s="3"/>
      <c r="AM1370" s="3"/>
      <c r="AR1370" s="30"/>
    </row>
    <row r="1371" spans="13:44" x14ac:dyDescent="0.2">
      <c r="M1371" s="3"/>
      <c r="N1371" s="3"/>
      <c r="O1371" s="3"/>
      <c r="P1371" s="3"/>
      <c r="AM1371" s="3"/>
      <c r="AR1371" s="30"/>
    </row>
    <row r="1372" spans="13:44" x14ac:dyDescent="0.2">
      <c r="M1372" s="3"/>
      <c r="N1372" s="3"/>
      <c r="O1372" s="3"/>
      <c r="P1372" s="3"/>
      <c r="AM1372" s="3"/>
      <c r="AR1372" s="30"/>
    </row>
    <row r="1373" spans="13:44" x14ac:dyDescent="0.2">
      <c r="M1373" s="3"/>
      <c r="N1373" s="3"/>
      <c r="O1373" s="3"/>
      <c r="P1373" s="3"/>
      <c r="AM1373" s="3"/>
      <c r="AR1373" s="30"/>
    </row>
    <row r="1374" spans="13:44" x14ac:dyDescent="0.2">
      <c r="M1374" s="3"/>
      <c r="N1374" s="3"/>
      <c r="O1374" s="3"/>
      <c r="P1374" s="3"/>
      <c r="AM1374" s="3"/>
      <c r="AR1374" s="30"/>
    </row>
    <row r="1375" spans="13:44" x14ac:dyDescent="0.2">
      <c r="M1375" s="3"/>
      <c r="N1375" s="3"/>
      <c r="O1375" s="3"/>
      <c r="P1375" s="3"/>
      <c r="AM1375" s="3"/>
      <c r="AR1375" s="30"/>
    </row>
    <row r="1376" spans="13:44" x14ac:dyDescent="0.2">
      <c r="M1376" s="3"/>
      <c r="N1376" s="3"/>
      <c r="O1376" s="3"/>
      <c r="P1376" s="3"/>
      <c r="AM1376" s="3"/>
      <c r="AR1376" s="30"/>
    </row>
    <row r="1377" spans="13:44" x14ac:dyDescent="0.2">
      <c r="M1377" s="3"/>
      <c r="N1377" s="3"/>
      <c r="O1377" s="3"/>
      <c r="P1377" s="3"/>
      <c r="AM1377" s="3"/>
      <c r="AR1377" s="30"/>
    </row>
    <row r="1378" spans="13:44" x14ac:dyDescent="0.2">
      <c r="M1378" s="3"/>
      <c r="N1378" s="3"/>
      <c r="O1378" s="3"/>
      <c r="P1378" s="3"/>
      <c r="AM1378" s="3"/>
      <c r="AR1378" s="30"/>
    </row>
    <row r="1379" spans="13:44" x14ac:dyDescent="0.2">
      <c r="M1379" s="3"/>
      <c r="N1379" s="3"/>
      <c r="O1379" s="3"/>
      <c r="P1379" s="3"/>
      <c r="AM1379" s="3"/>
      <c r="AR1379" s="30"/>
    </row>
    <row r="1380" spans="13:44" x14ac:dyDescent="0.2">
      <c r="M1380" s="3"/>
      <c r="N1380" s="3"/>
      <c r="O1380" s="3"/>
      <c r="P1380" s="3"/>
      <c r="AM1380" s="3"/>
      <c r="AR1380" s="30"/>
    </row>
    <row r="1381" spans="13:44" x14ac:dyDescent="0.2">
      <c r="M1381" s="3"/>
      <c r="N1381" s="3"/>
      <c r="O1381" s="3"/>
      <c r="P1381" s="3"/>
      <c r="AM1381" s="3"/>
      <c r="AR1381" s="30"/>
    </row>
    <row r="1382" spans="13:44" x14ac:dyDescent="0.2">
      <c r="M1382" s="3"/>
      <c r="N1382" s="3"/>
      <c r="O1382" s="3"/>
      <c r="P1382" s="3"/>
      <c r="AM1382" s="3"/>
      <c r="AR1382" s="30"/>
    </row>
    <row r="1383" spans="13:44" x14ac:dyDescent="0.2">
      <c r="M1383" s="3"/>
      <c r="N1383" s="3"/>
      <c r="O1383" s="3"/>
      <c r="P1383" s="3"/>
      <c r="AM1383" s="3"/>
      <c r="AR1383" s="30"/>
    </row>
    <row r="1384" spans="13:44" x14ac:dyDescent="0.2">
      <c r="M1384" s="3"/>
      <c r="N1384" s="3"/>
      <c r="O1384" s="3"/>
      <c r="P1384" s="3"/>
      <c r="AM1384" s="3"/>
      <c r="AR1384" s="30"/>
    </row>
    <row r="1385" spans="13:44" x14ac:dyDescent="0.2">
      <c r="M1385" s="3"/>
      <c r="N1385" s="3"/>
      <c r="O1385" s="3"/>
      <c r="P1385" s="3"/>
      <c r="AM1385" s="3"/>
      <c r="AR1385" s="30"/>
    </row>
    <row r="1386" spans="13:44" x14ac:dyDescent="0.2">
      <c r="M1386" s="3"/>
      <c r="N1386" s="3"/>
      <c r="O1386" s="3"/>
      <c r="P1386" s="3"/>
      <c r="AM1386" s="3"/>
      <c r="AR1386" s="30"/>
    </row>
    <row r="1387" spans="13:44" x14ac:dyDescent="0.2">
      <c r="M1387" s="3"/>
      <c r="N1387" s="3"/>
      <c r="O1387" s="3"/>
      <c r="P1387" s="3"/>
      <c r="AM1387" s="3"/>
      <c r="AR1387" s="30"/>
    </row>
    <row r="1388" spans="13:44" x14ac:dyDescent="0.2">
      <c r="M1388" s="3"/>
      <c r="N1388" s="3"/>
      <c r="O1388" s="3"/>
      <c r="P1388" s="3"/>
      <c r="AM1388" s="3"/>
      <c r="AR1388" s="30"/>
    </row>
    <row r="1389" spans="13:44" x14ac:dyDescent="0.2">
      <c r="M1389" s="3"/>
      <c r="N1389" s="3"/>
      <c r="O1389" s="3"/>
      <c r="P1389" s="3"/>
      <c r="AM1389" s="3"/>
      <c r="AR1389" s="30"/>
    </row>
    <row r="1390" spans="13:44" x14ac:dyDescent="0.2">
      <c r="M1390" s="3"/>
      <c r="N1390" s="3"/>
      <c r="O1390" s="3"/>
      <c r="P1390" s="3"/>
      <c r="AM1390" s="3"/>
      <c r="AR1390" s="30"/>
    </row>
    <row r="1391" spans="13:44" x14ac:dyDescent="0.2">
      <c r="M1391" s="3"/>
      <c r="N1391" s="3"/>
      <c r="O1391" s="3"/>
      <c r="P1391" s="3"/>
      <c r="AM1391" s="3"/>
      <c r="AR1391" s="30"/>
    </row>
    <row r="1392" spans="13:44" x14ac:dyDescent="0.2">
      <c r="M1392" s="3"/>
      <c r="N1392" s="3"/>
      <c r="O1392" s="3"/>
      <c r="P1392" s="3"/>
      <c r="AM1392" s="3"/>
      <c r="AR1392" s="30"/>
    </row>
    <row r="1393" spans="13:44" x14ac:dyDescent="0.2">
      <c r="M1393" s="3"/>
      <c r="N1393" s="3"/>
      <c r="O1393" s="3"/>
      <c r="P1393" s="3"/>
      <c r="AM1393" s="3"/>
      <c r="AR1393" s="30"/>
    </row>
    <row r="1394" spans="13:44" x14ac:dyDescent="0.2">
      <c r="M1394" s="3"/>
      <c r="N1394" s="3"/>
      <c r="O1394" s="3"/>
      <c r="P1394" s="3"/>
      <c r="AM1394" s="3"/>
      <c r="AR1394" s="30"/>
    </row>
    <row r="1395" spans="13:44" x14ac:dyDescent="0.2">
      <c r="M1395" s="3"/>
      <c r="N1395" s="3"/>
      <c r="O1395" s="3"/>
      <c r="P1395" s="3"/>
      <c r="AM1395" s="3"/>
      <c r="AR1395" s="30"/>
    </row>
    <row r="1396" spans="13:44" x14ac:dyDescent="0.2">
      <c r="M1396" s="3"/>
      <c r="N1396" s="3"/>
      <c r="O1396" s="3"/>
      <c r="P1396" s="3"/>
      <c r="AM1396" s="3"/>
      <c r="AR1396" s="30"/>
    </row>
    <row r="1397" spans="13:44" x14ac:dyDescent="0.2">
      <c r="M1397" s="3"/>
      <c r="N1397" s="3"/>
      <c r="O1397" s="3"/>
      <c r="P1397" s="3"/>
      <c r="AM1397" s="3"/>
      <c r="AR1397" s="30"/>
    </row>
    <row r="1398" spans="13:44" x14ac:dyDescent="0.2">
      <c r="M1398" s="3"/>
      <c r="N1398" s="3"/>
      <c r="O1398" s="3"/>
      <c r="P1398" s="3"/>
      <c r="AM1398" s="3"/>
      <c r="AR1398" s="30"/>
    </row>
    <row r="1399" spans="13:44" x14ac:dyDescent="0.2">
      <c r="M1399" s="3"/>
      <c r="N1399" s="3"/>
      <c r="O1399" s="3"/>
      <c r="P1399" s="3"/>
      <c r="AM1399" s="3"/>
      <c r="AR1399" s="30"/>
    </row>
    <row r="1400" spans="13:44" x14ac:dyDescent="0.2">
      <c r="M1400" s="3"/>
      <c r="N1400" s="3"/>
      <c r="O1400" s="3"/>
      <c r="P1400" s="3"/>
      <c r="AM1400" s="3"/>
      <c r="AR1400" s="30"/>
    </row>
    <row r="1401" spans="13:44" x14ac:dyDescent="0.2">
      <c r="M1401" s="3"/>
      <c r="N1401" s="3"/>
      <c r="O1401" s="3"/>
      <c r="P1401" s="3"/>
      <c r="AM1401" s="3"/>
      <c r="AR1401" s="30"/>
    </row>
    <row r="1402" spans="13:44" x14ac:dyDescent="0.2">
      <c r="M1402" s="3"/>
      <c r="N1402" s="3"/>
      <c r="O1402" s="3"/>
      <c r="P1402" s="3"/>
      <c r="AM1402" s="3"/>
      <c r="AR1402" s="30"/>
    </row>
    <row r="1403" spans="13:44" x14ac:dyDescent="0.2">
      <c r="M1403" s="3"/>
      <c r="N1403" s="3"/>
      <c r="O1403" s="3"/>
      <c r="P1403" s="3"/>
      <c r="AM1403" s="3"/>
      <c r="AR1403" s="30"/>
    </row>
    <row r="1404" spans="13:44" x14ac:dyDescent="0.2">
      <c r="M1404" s="3"/>
      <c r="N1404" s="3"/>
      <c r="O1404" s="3"/>
      <c r="P1404" s="3"/>
      <c r="AM1404" s="3"/>
      <c r="AR1404" s="30"/>
    </row>
    <row r="1405" spans="13:44" x14ac:dyDescent="0.2">
      <c r="M1405" s="3"/>
      <c r="N1405" s="3"/>
      <c r="O1405" s="3"/>
      <c r="P1405" s="3"/>
      <c r="AM1405" s="3"/>
      <c r="AR1405" s="30"/>
    </row>
    <row r="1406" spans="13:44" x14ac:dyDescent="0.2">
      <c r="M1406" s="3"/>
      <c r="N1406" s="3"/>
      <c r="O1406" s="3"/>
      <c r="P1406" s="3"/>
      <c r="AM1406" s="3"/>
      <c r="AR1406" s="30"/>
    </row>
    <row r="1407" spans="13:44" x14ac:dyDescent="0.2">
      <c r="M1407" s="3"/>
      <c r="N1407" s="3"/>
      <c r="O1407" s="3"/>
      <c r="P1407" s="3"/>
      <c r="AM1407" s="3"/>
      <c r="AR1407" s="30"/>
    </row>
    <row r="1408" spans="13:44" x14ac:dyDescent="0.2">
      <c r="M1408" s="3"/>
      <c r="N1408" s="3"/>
      <c r="O1408" s="3"/>
      <c r="P1408" s="3"/>
      <c r="AM1408" s="3"/>
      <c r="AR1408" s="30"/>
    </row>
    <row r="1409" spans="13:44" x14ac:dyDescent="0.2">
      <c r="M1409" s="3"/>
      <c r="N1409" s="3"/>
      <c r="O1409" s="3"/>
      <c r="P1409" s="3"/>
      <c r="AM1409" s="3"/>
      <c r="AR1409" s="30"/>
    </row>
    <row r="1410" spans="13:44" x14ac:dyDescent="0.2">
      <c r="M1410" s="3"/>
      <c r="N1410" s="3"/>
      <c r="O1410" s="3"/>
      <c r="P1410" s="3"/>
      <c r="AM1410" s="3"/>
      <c r="AR1410" s="30"/>
    </row>
    <row r="1411" spans="13:44" x14ac:dyDescent="0.2">
      <c r="M1411" s="3"/>
      <c r="N1411" s="3"/>
      <c r="O1411" s="3"/>
      <c r="P1411" s="3"/>
      <c r="AM1411" s="3"/>
      <c r="AR1411" s="30"/>
    </row>
    <row r="1412" spans="13:44" x14ac:dyDescent="0.2">
      <c r="M1412" s="3"/>
      <c r="N1412" s="3"/>
      <c r="O1412" s="3"/>
      <c r="P1412" s="3"/>
      <c r="AM1412" s="3"/>
      <c r="AR1412" s="30"/>
    </row>
    <row r="1413" spans="13:44" x14ac:dyDescent="0.2">
      <c r="M1413" s="3"/>
      <c r="N1413" s="3"/>
      <c r="O1413" s="3"/>
      <c r="P1413" s="3"/>
      <c r="AM1413" s="3"/>
      <c r="AR1413" s="30"/>
    </row>
    <row r="1414" spans="13:44" x14ac:dyDescent="0.2">
      <c r="M1414" s="3"/>
      <c r="N1414" s="3"/>
      <c r="O1414" s="3"/>
      <c r="P1414" s="3"/>
      <c r="AM1414" s="3"/>
      <c r="AR1414" s="30"/>
    </row>
    <row r="1415" spans="13:44" x14ac:dyDescent="0.2">
      <c r="M1415" s="3"/>
      <c r="N1415" s="3"/>
      <c r="O1415" s="3"/>
      <c r="P1415" s="3"/>
      <c r="AM1415" s="3"/>
      <c r="AR1415" s="30"/>
    </row>
    <row r="1416" spans="13:44" x14ac:dyDescent="0.2">
      <c r="M1416" s="3"/>
      <c r="N1416" s="3"/>
      <c r="O1416" s="3"/>
      <c r="P1416" s="3"/>
      <c r="AM1416" s="3"/>
      <c r="AR1416" s="30"/>
    </row>
    <row r="1417" spans="13:44" x14ac:dyDescent="0.2">
      <c r="M1417" s="3"/>
      <c r="N1417" s="3"/>
      <c r="O1417" s="3"/>
      <c r="P1417" s="3"/>
      <c r="AM1417" s="3"/>
      <c r="AR1417" s="30"/>
    </row>
    <row r="1418" spans="13:44" x14ac:dyDescent="0.2">
      <c r="M1418" s="3"/>
      <c r="N1418" s="3"/>
      <c r="O1418" s="3"/>
      <c r="P1418" s="3"/>
      <c r="AM1418" s="3"/>
      <c r="AR1418" s="30"/>
    </row>
    <row r="1419" spans="13:44" x14ac:dyDescent="0.2">
      <c r="M1419" s="3"/>
      <c r="N1419" s="3"/>
      <c r="O1419" s="3"/>
      <c r="P1419" s="3"/>
      <c r="AM1419" s="3"/>
      <c r="AR1419" s="30"/>
    </row>
    <row r="1420" spans="13:44" x14ac:dyDescent="0.2">
      <c r="M1420" s="3"/>
      <c r="N1420" s="3"/>
      <c r="O1420" s="3"/>
      <c r="P1420" s="3"/>
      <c r="AM1420" s="3"/>
      <c r="AR1420" s="30"/>
    </row>
    <row r="1421" spans="13:44" x14ac:dyDescent="0.2">
      <c r="M1421" s="3"/>
      <c r="N1421" s="3"/>
      <c r="O1421" s="3"/>
      <c r="P1421" s="3"/>
      <c r="AM1421" s="3"/>
      <c r="AR1421" s="30"/>
    </row>
    <row r="1422" spans="13:44" x14ac:dyDescent="0.2">
      <c r="M1422" s="3"/>
      <c r="N1422" s="3"/>
      <c r="O1422" s="3"/>
      <c r="P1422" s="3"/>
      <c r="AM1422" s="3"/>
      <c r="AR1422" s="30"/>
    </row>
    <row r="1423" spans="13:44" x14ac:dyDescent="0.2">
      <c r="M1423" s="3"/>
      <c r="N1423" s="3"/>
      <c r="O1423" s="3"/>
      <c r="P1423" s="3"/>
      <c r="AM1423" s="3"/>
      <c r="AR1423" s="30"/>
    </row>
    <row r="1424" spans="13:44" x14ac:dyDescent="0.2">
      <c r="M1424" s="3"/>
      <c r="N1424" s="3"/>
      <c r="O1424" s="3"/>
      <c r="P1424" s="3"/>
      <c r="AM1424" s="3"/>
      <c r="AR1424" s="30"/>
    </row>
    <row r="1425" spans="13:44" x14ac:dyDescent="0.2">
      <c r="M1425" s="3"/>
      <c r="N1425" s="3"/>
      <c r="O1425" s="3"/>
      <c r="P1425" s="3"/>
      <c r="AM1425" s="3"/>
      <c r="AR1425" s="30"/>
    </row>
    <row r="1426" spans="13:44" x14ac:dyDescent="0.2">
      <c r="M1426" s="3"/>
      <c r="N1426" s="3"/>
      <c r="O1426" s="3"/>
      <c r="P1426" s="3"/>
      <c r="AM1426" s="3"/>
      <c r="AR1426" s="30"/>
    </row>
    <row r="1427" spans="13:44" x14ac:dyDescent="0.2">
      <c r="M1427" s="3"/>
      <c r="N1427" s="3"/>
      <c r="O1427" s="3"/>
      <c r="P1427" s="3"/>
      <c r="AM1427" s="3"/>
      <c r="AR1427" s="30"/>
    </row>
    <row r="1428" spans="13:44" x14ac:dyDescent="0.2">
      <c r="M1428" s="3"/>
      <c r="N1428" s="3"/>
      <c r="O1428" s="3"/>
      <c r="P1428" s="3"/>
      <c r="AM1428" s="3"/>
      <c r="AR1428" s="30"/>
    </row>
    <row r="1429" spans="13:44" x14ac:dyDescent="0.2">
      <c r="M1429" s="3"/>
      <c r="N1429" s="3"/>
      <c r="O1429" s="3"/>
      <c r="P1429" s="3"/>
      <c r="AM1429" s="3"/>
      <c r="AR1429" s="30"/>
    </row>
    <row r="1430" spans="13:44" x14ac:dyDescent="0.2">
      <c r="M1430" s="3"/>
      <c r="N1430" s="3"/>
      <c r="O1430" s="3"/>
      <c r="P1430" s="3"/>
      <c r="AM1430" s="3"/>
      <c r="AR1430" s="30"/>
    </row>
    <row r="1431" spans="13:44" x14ac:dyDescent="0.2">
      <c r="M1431" s="3"/>
      <c r="N1431" s="3"/>
      <c r="O1431" s="3"/>
      <c r="P1431" s="3"/>
      <c r="AM1431" s="3"/>
      <c r="AR1431" s="30"/>
    </row>
    <row r="1432" spans="13:44" x14ac:dyDescent="0.2">
      <c r="M1432" s="3"/>
      <c r="N1432" s="3"/>
      <c r="O1432" s="3"/>
      <c r="P1432" s="3"/>
      <c r="AM1432" s="3"/>
      <c r="AR1432" s="30"/>
    </row>
    <row r="1433" spans="13:44" x14ac:dyDescent="0.2">
      <c r="M1433" s="3"/>
      <c r="N1433" s="3"/>
      <c r="O1433" s="3"/>
      <c r="P1433" s="3"/>
      <c r="AM1433" s="3"/>
      <c r="AR1433" s="30"/>
    </row>
    <row r="1434" spans="13:44" x14ac:dyDescent="0.2">
      <c r="M1434" s="3"/>
      <c r="N1434" s="3"/>
      <c r="O1434" s="3"/>
      <c r="P1434" s="3"/>
      <c r="AM1434" s="3"/>
      <c r="AR1434" s="30"/>
    </row>
    <row r="1435" spans="13:44" x14ac:dyDescent="0.2">
      <c r="M1435" s="3"/>
      <c r="N1435" s="3"/>
      <c r="O1435" s="3"/>
      <c r="P1435" s="3"/>
      <c r="AM1435" s="3"/>
      <c r="AR1435" s="30"/>
    </row>
    <row r="1436" spans="13:44" x14ac:dyDescent="0.2">
      <c r="M1436" s="3"/>
      <c r="N1436" s="3"/>
      <c r="O1436" s="3"/>
      <c r="P1436" s="3"/>
      <c r="AM1436" s="3"/>
      <c r="AR1436" s="30"/>
    </row>
    <row r="1437" spans="13:44" x14ac:dyDescent="0.2">
      <c r="M1437" s="3"/>
      <c r="N1437" s="3"/>
      <c r="O1437" s="3"/>
      <c r="P1437" s="3"/>
      <c r="AM1437" s="3"/>
      <c r="AR1437" s="30"/>
    </row>
    <row r="1438" spans="13:44" x14ac:dyDescent="0.2">
      <c r="M1438" s="3"/>
      <c r="N1438" s="3"/>
      <c r="O1438" s="3"/>
      <c r="P1438" s="3"/>
      <c r="AM1438" s="3"/>
      <c r="AR1438" s="30"/>
    </row>
    <row r="1439" spans="13:44" x14ac:dyDescent="0.2">
      <c r="M1439" s="3"/>
      <c r="N1439" s="3"/>
      <c r="O1439" s="3"/>
      <c r="P1439" s="3"/>
      <c r="AM1439" s="3"/>
      <c r="AR1439" s="30"/>
    </row>
    <row r="1440" spans="13:44" x14ac:dyDescent="0.2">
      <c r="M1440" s="3"/>
      <c r="N1440" s="3"/>
      <c r="O1440" s="3"/>
      <c r="P1440" s="3"/>
      <c r="AM1440" s="3"/>
      <c r="AR1440" s="30"/>
    </row>
    <row r="1441" spans="13:44" x14ac:dyDescent="0.2">
      <c r="M1441" s="3"/>
      <c r="N1441" s="3"/>
      <c r="O1441" s="3"/>
      <c r="P1441" s="3"/>
      <c r="AM1441" s="3"/>
      <c r="AR1441" s="30"/>
    </row>
    <row r="1442" spans="13:44" x14ac:dyDescent="0.2">
      <c r="M1442" s="3"/>
      <c r="N1442" s="3"/>
      <c r="O1442" s="3"/>
      <c r="P1442" s="3"/>
      <c r="AM1442" s="3"/>
      <c r="AR1442" s="30"/>
    </row>
    <row r="1443" spans="13:44" x14ac:dyDescent="0.2">
      <c r="M1443" s="3"/>
      <c r="N1443" s="3"/>
      <c r="O1443" s="3"/>
      <c r="P1443" s="3"/>
      <c r="AM1443" s="3"/>
      <c r="AR1443" s="30"/>
    </row>
    <row r="1444" spans="13:44" x14ac:dyDescent="0.2">
      <c r="M1444" s="3"/>
      <c r="N1444" s="3"/>
      <c r="O1444" s="3"/>
      <c r="P1444" s="3"/>
      <c r="AM1444" s="3"/>
      <c r="AR1444" s="30"/>
    </row>
    <row r="1445" spans="13:44" x14ac:dyDescent="0.2">
      <c r="M1445" s="3"/>
      <c r="N1445" s="3"/>
      <c r="O1445" s="3"/>
      <c r="P1445" s="3"/>
      <c r="AM1445" s="3"/>
      <c r="AR1445" s="30"/>
    </row>
    <row r="1446" spans="13:44" x14ac:dyDescent="0.2">
      <c r="M1446" s="3"/>
      <c r="N1446" s="3"/>
      <c r="O1446" s="3"/>
      <c r="P1446" s="3"/>
      <c r="AM1446" s="3"/>
      <c r="AR1446" s="30"/>
    </row>
    <row r="1447" spans="13:44" x14ac:dyDescent="0.2">
      <c r="M1447" s="3"/>
      <c r="N1447" s="3"/>
      <c r="O1447" s="3"/>
      <c r="P1447" s="3"/>
      <c r="AM1447" s="3"/>
      <c r="AR1447" s="30"/>
    </row>
    <row r="1448" spans="13:44" x14ac:dyDescent="0.2">
      <c r="M1448" s="3"/>
      <c r="N1448" s="3"/>
      <c r="O1448" s="3"/>
      <c r="P1448" s="3"/>
      <c r="AM1448" s="3"/>
      <c r="AR1448" s="30"/>
    </row>
    <row r="1449" spans="13:44" x14ac:dyDescent="0.2">
      <c r="M1449" s="3"/>
      <c r="N1449" s="3"/>
      <c r="O1449" s="3"/>
      <c r="P1449" s="3"/>
      <c r="AM1449" s="3"/>
      <c r="AR1449" s="30"/>
    </row>
    <row r="1450" spans="13:44" x14ac:dyDescent="0.2">
      <c r="M1450" s="3"/>
      <c r="N1450" s="3"/>
      <c r="O1450" s="3"/>
      <c r="P1450" s="3"/>
      <c r="AM1450" s="3"/>
      <c r="AR1450" s="30"/>
    </row>
    <row r="1451" spans="13:44" x14ac:dyDescent="0.2">
      <c r="M1451" s="3"/>
      <c r="N1451" s="3"/>
      <c r="O1451" s="3"/>
      <c r="P1451" s="3"/>
      <c r="AM1451" s="3"/>
      <c r="AR1451" s="30"/>
    </row>
    <row r="1452" spans="13:44" x14ac:dyDescent="0.2">
      <c r="M1452" s="3"/>
      <c r="N1452" s="3"/>
      <c r="O1452" s="3"/>
      <c r="P1452" s="3"/>
      <c r="AM1452" s="3"/>
      <c r="AR1452" s="30"/>
    </row>
    <row r="1453" spans="13:44" x14ac:dyDescent="0.2">
      <c r="M1453" s="3"/>
      <c r="N1453" s="3"/>
      <c r="O1453" s="3"/>
      <c r="P1453" s="3"/>
      <c r="AM1453" s="3"/>
      <c r="AR1453" s="30"/>
    </row>
    <row r="1454" spans="13:44" x14ac:dyDescent="0.2">
      <c r="M1454" s="3"/>
      <c r="N1454" s="3"/>
      <c r="O1454" s="3"/>
      <c r="P1454" s="3"/>
      <c r="AM1454" s="3"/>
      <c r="AR1454" s="30"/>
    </row>
    <row r="1455" spans="13:44" x14ac:dyDescent="0.2">
      <c r="M1455" s="3"/>
      <c r="N1455" s="3"/>
      <c r="O1455" s="3"/>
      <c r="P1455" s="3"/>
      <c r="AM1455" s="3"/>
      <c r="AR1455" s="30"/>
    </row>
    <row r="1456" spans="13:44" x14ac:dyDescent="0.2">
      <c r="M1456" s="3"/>
      <c r="N1456" s="3"/>
      <c r="O1456" s="3"/>
      <c r="P1456" s="3"/>
      <c r="AM1456" s="3"/>
      <c r="AR1456" s="30"/>
    </row>
    <row r="1457" spans="13:44" x14ac:dyDescent="0.2">
      <c r="M1457" s="3"/>
      <c r="N1457" s="3"/>
      <c r="O1457" s="3"/>
      <c r="P1457" s="3"/>
      <c r="AM1457" s="3"/>
      <c r="AR1457" s="30"/>
    </row>
    <row r="1458" spans="13:44" x14ac:dyDescent="0.2">
      <c r="M1458" s="3"/>
      <c r="N1458" s="3"/>
      <c r="O1458" s="3"/>
      <c r="P1458" s="3"/>
      <c r="AM1458" s="3"/>
      <c r="AR1458" s="30"/>
    </row>
    <row r="1459" spans="13:44" x14ac:dyDescent="0.2">
      <c r="M1459" s="3"/>
      <c r="N1459" s="3"/>
      <c r="O1459" s="3"/>
      <c r="P1459" s="3"/>
      <c r="AM1459" s="3"/>
      <c r="AR1459" s="30"/>
    </row>
    <row r="1460" spans="13:44" x14ac:dyDescent="0.2">
      <c r="M1460" s="3"/>
      <c r="N1460" s="3"/>
      <c r="O1460" s="3"/>
      <c r="P1460" s="3"/>
      <c r="AM1460" s="3"/>
      <c r="AR1460" s="30"/>
    </row>
    <row r="1461" spans="13:44" x14ac:dyDescent="0.2">
      <c r="M1461" s="3"/>
      <c r="N1461" s="3"/>
      <c r="O1461" s="3"/>
      <c r="P1461" s="3"/>
      <c r="AM1461" s="3"/>
      <c r="AR1461" s="30"/>
    </row>
    <row r="1462" spans="13:44" x14ac:dyDescent="0.2">
      <c r="M1462" s="3"/>
      <c r="N1462" s="3"/>
      <c r="O1462" s="3"/>
      <c r="P1462" s="3"/>
      <c r="AM1462" s="3"/>
      <c r="AR1462" s="30"/>
    </row>
    <row r="1463" spans="13:44" x14ac:dyDescent="0.2">
      <c r="M1463" s="3"/>
      <c r="N1463" s="3"/>
      <c r="O1463" s="3"/>
      <c r="P1463" s="3"/>
      <c r="AM1463" s="3"/>
      <c r="AR1463" s="30"/>
    </row>
    <row r="1464" spans="13:44" x14ac:dyDescent="0.2">
      <c r="M1464" s="3"/>
      <c r="N1464" s="3"/>
      <c r="O1464" s="3"/>
      <c r="P1464" s="3"/>
      <c r="AM1464" s="3"/>
      <c r="AR1464" s="30"/>
    </row>
    <row r="1465" spans="13:44" x14ac:dyDescent="0.2">
      <c r="M1465" s="3"/>
      <c r="N1465" s="3"/>
      <c r="O1465" s="3"/>
      <c r="P1465" s="3"/>
      <c r="AM1465" s="3"/>
      <c r="AR1465" s="30"/>
    </row>
    <row r="1466" spans="13:44" x14ac:dyDescent="0.2">
      <c r="M1466" s="3"/>
      <c r="N1466" s="3"/>
      <c r="O1466" s="3"/>
      <c r="P1466" s="3"/>
      <c r="AM1466" s="3"/>
      <c r="AR1466" s="30"/>
    </row>
    <row r="1467" spans="13:44" x14ac:dyDescent="0.2">
      <c r="M1467" s="3"/>
      <c r="N1467" s="3"/>
      <c r="O1467" s="3"/>
      <c r="P1467" s="3"/>
      <c r="AM1467" s="3"/>
      <c r="AR1467" s="30"/>
    </row>
    <row r="1468" spans="13:44" x14ac:dyDescent="0.2">
      <c r="M1468" s="3"/>
      <c r="N1468" s="3"/>
      <c r="O1468" s="3"/>
      <c r="P1468" s="3"/>
      <c r="AM1468" s="3"/>
      <c r="AR1468" s="30"/>
    </row>
    <row r="1469" spans="13:44" x14ac:dyDescent="0.2">
      <c r="M1469" s="3"/>
      <c r="N1469" s="3"/>
      <c r="O1469" s="3"/>
      <c r="P1469" s="3"/>
      <c r="AM1469" s="3"/>
      <c r="AR1469" s="30"/>
    </row>
    <row r="1470" spans="13:44" x14ac:dyDescent="0.2">
      <c r="M1470" s="3"/>
      <c r="N1470" s="3"/>
      <c r="O1470" s="3"/>
      <c r="P1470" s="3"/>
      <c r="AM1470" s="3"/>
      <c r="AR1470" s="30"/>
    </row>
    <row r="1471" spans="13:44" x14ac:dyDescent="0.2">
      <c r="M1471" s="3"/>
      <c r="N1471" s="3"/>
      <c r="O1471" s="3"/>
      <c r="P1471" s="3"/>
      <c r="AM1471" s="3"/>
      <c r="AR1471" s="30"/>
    </row>
    <row r="1472" spans="13:44" x14ac:dyDescent="0.2">
      <c r="M1472" s="3"/>
      <c r="N1472" s="3"/>
      <c r="O1472" s="3"/>
      <c r="P1472" s="3"/>
      <c r="AM1472" s="3"/>
      <c r="AR1472" s="30"/>
    </row>
    <row r="1473" spans="13:44" x14ac:dyDescent="0.2">
      <c r="M1473" s="3"/>
      <c r="N1473" s="3"/>
      <c r="O1473" s="3"/>
      <c r="P1473" s="3"/>
      <c r="AM1473" s="3"/>
      <c r="AR1473" s="30"/>
    </row>
    <row r="1474" spans="13:44" x14ac:dyDescent="0.2">
      <c r="M1474" s="3"/>
      <c r="N1474" s="3"/>
      <c r="O1474" s="3"/>
      <c r="P1474" s="3"/>
      <c r="AM1474" s="3"/>
      <c r="AR1474" s="30"/>
    </row>
    <row r="1475" spans="13:44" x14ac:dyDescent="0.2">
      <c r="M1475" s="3"/>
      <c r="N1475" s="3"/>
      <c r="O1475" s="3"/>
      <c r="P1475" s="3"/>
      <c r="AM1475" s="3"/>
      <c r="AR1475" s="30"/>
    </row>
    <row r="1476" spans="13:44" x14ac:dyDescent="0.2">
      <c r="M1476" s="3"/>
      <c r="N1476" s="3"/>
      <c r="O1476" s="3"/>
      <c r="P1476" s="3"/>
      <c r="AM1476" s="3"/>
      <c r="AR1476" s="30"/>
    </row>
    <row r="1477" spans="13:44" x14ac:dyDescent="0.2">
      <c r="M1477" s="3"/>
      <c r="N1477" s="3"/>
      <c r="O1477" s="3"/>
      <c r="P1477" s="3"/>
      <c r="AM1477" s="3"/>
      <c r="AR1477" s="30"/>
    </row>
    <row r="1478" spans="13:44" x14ac:dyDescent="0.2">
      <c r="M1478" s="3"/>
      <c r="N1478" s="3"/>
      <c r="O1478" s="3"/>
      <c r="P1478" s="3"/>
      <c r="AM1478" s="3"/>
      <c r="AR1478" s="30"/>
    </row>
    <row r="1479" spans="13:44" x14ac:dyDescent="0.2">
      <c r="M1479" s="3"/>
      <c r="N1479" s="3"/>
      <c r="O1479" s="3"/>
      <c r="P1479" s="3"/>
      <c r="AM1479" s="3"/>
      <c r="AR1479" s="30"/>
    </row>
    <row r="1480" spans="13:44" x14ac:dyDescent="0.2">
      <c r="M1480" s="3"/>
      <c r="N1480" s="3"/>
      <c r="O1480" s="3"/>
      <c r="P1480" s="3"/>
      <c r="AM1480" s="3"/>
      <c r="AR1480" s="30"/>
    </row>
    <row r="1481" spans="13:44" x14ac:dyDescent="0.2">
      <c r="M1481" s="3"/>
      <c r="N1481" s="3"/>
      <c r="O1481" s="3"/>
      <c r="P1481" s="3"/>
      <c r="AM1481" s="3"/>
      <c r="AR1481" s="30"/>
    </row>
    <row r="1482" spans="13:44" x14ac:dyDescent="0.2">
      <c r="M1482" s="3"/>
      <c r="N1482" s="3"/>
      <c r="O1482" s="3"/>
      <c r="P1482" s="3"/>
      <c r="AM1482" s="3"/>
      <c r="AR1482" s="30"/>
    </row>
    <row r="1483" spans="13:44" x14ac:dyDescent="0.2">
      <c r="M1483" s="3"/>
      <c r="N1483" s="3"/>
      <c r="O1483" s="3"/>
      <c r="P1483" s="3"/>
      <c r="AM1483" s="3"/>
      <c r="AR1483" s="30"/>
    </row>
    <row r="1484" spans="13:44" x14ac:dyDescent="0.2">
      <c r="M1484" s="3"/>
      <c r="N1484" s="3"/>
      <c r="O1484" s="3"/>
      <c r="P1484" s="3"/>
      <c r="AM1484" s="3"/>
      <c r="AR1484" s="30"/>
    </row>
    <row r="1485" spans="13:44" x14ac:dyDescent="0.2">
      <c r="M1485" s="3"/>
      <c r="N1485" s="3"/>
      <c r="O1485" s="3"/>
      <c r="P1485" s="3"/>
      <c r="AM1485" s="3"/>
      <c r="AR1485" s="30"/>
    </row>
    <row r="1486" spans="13:44" x14ac:dyDescent="0.2">
      <c r="M1486" s="3"/>
      <c r="N1486" s="3"/>
      <c r="O1486" s="3"/>
      <c r="P1486" s="3"/>
      <c r="AM1486" s="3"/>
      <c r="AR1486" s="30"/>
    </row>
    <row r="1487" spans="13:44" x14ac:dyDescent="0.2">
      <c r="M1487" s="3"/>
      <c r="N1487" s="3"/>
      <c r="O1487" s="3"/>
      <c r="P1487" s="3"/>
      <c r="AM1487" s="3"/>
      <c r="AR1487" s="30"/>
    </row>
    <row r="1488" spans="13:44" x14ac:dyDescent="0.2">
      <c r="M1488" s="3"/>
      <c r="N1488" s="3"/>
      <c r="O1488" s="3"/>
      <c r="P1488" s="3"/>
      <c r="AM1488" s="3"/>
      <c r="AR1488" s="30"/>
    </row>
    <row r="1489" spans="13:44" x14ac:dyDescent="0.2">
      <c r="M1489" s="3"/>
      <c r="N1489" s="3"/>
      <c r="O1489" s="3"/>
      <c r="P1489" s="3"/>
      <c r="AM1489" s="3"/>
      <c r="AR1489" s="30"/>
    </row>
    <row r="1490" spans="13:44" x14ac:dyDescent="0.2">
      <c r="M1490" s="3"/>
      <c r="N1490" s="3"/>
      <c r="O1490" s="3"/>
      <c r="P1490" s="3"/>
      <c r="AM1490" s="3"/>
      <c r="AR1490" s="30"/>
    </row>
    <row r="1491" spans="13:44" x14ac:dyDescent="0.2">
      <c r="M1491" s="3"/>
      <c r="N1491" s="3"/>
      <c r="O1491" s="3"/>
      <c r="P1491" s="3"/>
      <c r="AM1491" s="3"/>
      <c r="AR1491" s="30"/>
    </row>
    <row r="1492" spans="13:44" x14ac:dyDescent="0.2">
      <c r="M1492" s="3"/>
      <c r="N1492" s="3"/>
      <c r="O1492" s="3"/>
      <c r="P1492" s="3"/>
      <c r="AM1492" s="3"/>
      <c r="AR1492" s="30"/>
    </row>
    <row r="1493" spans="13:44" x14ac:dyDescent="0.2">
      <c r="M1493" s="3"/>
      <c r="N1493" s="3"/>
      <c r="O1493" s="3"/>
      <c r="P1493" s="3"/>
      <c r="AM1493" s="3"/>
      <c r="AR1493" s="30"/>
    </row>
    <row r="1494" spans="13:44" x14ac:dyDescent="0.2">
      <c r="M1494" s="3"/>
      <c r="N1494" s="3"/>
      <c r="O1494" s="3"/>
      <c r="P1494" s="3"/>
      <c r="AM1494" s="3"/>
      <c r="AR1494" s="30"/>
    </row>
    <row r="1495" spans="13:44" x14ac:dyDescent="0.2">
      <c r="M1495" s="3"/>
      <c r="N1495" s="3"/>
      <c r="O1495" s="3"/>
      <c r="P1495" s="3"/>
      <c r="AM1495" s="3"/>
      <c r="AR1495" s="30"/>
    </row>
    <row r="1496" spans="13:44" x14ac:dyDescent="0.2">
      <c r="M1496" s="3"/>
      <c r="N1496" s="3"/>
      <c r="O1496" s="3"/>
      <c r="P1496" s="3"/>
      <c r="AM1496" s="3"/>
      <c r="AR1496" s="30"/>
    </row>
    <row r="1497" spans="13:44" x14ac:dyDescent="0.2">
      <c r="M1497" s="3"/>
      <c r="N1497" s="3"/>
      <c r="O1497" s="3"/>
      <c r="P1497" s="3"/>
      <c r="AM1497" s="3"/>
      <c r="AR1497" s="30"/>
    </row>
    <row r="1498" spans="13:44" x14ac:dyDescent="0.2">
      <c r="M1498" s="3"/>
      <c r="N1498" s="3"/>
      <c r="O1498" s="3"/>
      <c r="P1498" s="3"/>
      <c r="AM1498" s="3"/>
      <c r="AR1498" s="30"/>
    </row>
    <row r="1499" spans="13:44" x14ac:dyDescent="0.2">
      <c r="M1499" s="3"/>
      <c r="N1499" s="3"/>
      <c r="O1499" s="3"/>
      <c r="P1499" s="3"/>
      <c r="AM1499" s="3"/>
      <c r="AR1499" s="30"/>
    </row>
    <row r="1500" spans="13:44" x14ac:dyDescent="0.2">
      <c r="M1500" s="3"/>
      <c r="N1500" s="3"/>
      <c r="O1500" s="3"/>
      <c r="P1500" s="3"/>
      <c r="AM1500" s="3"/>
      <c r="AR1500" s="30"/>
    </row>
    <row r="1501" spans="13:44" x14ac:dyDescent="0.2">
      <c r="M1501" s="3"/>
      <c r="N1501" s="3"/>
      <c r="O1501" s="3"/>
      <c r="P1501" s="3"/>
      <c r="AM1501" s="3"/>
      <c r="AR1501" s="30"/>
    </row>
    <row r="1502" spans="13:44" x14ac:dyDescent="0.2">
      <c r="M1502" s="3"/>
      <c r="N1502" s="3"/>
      <c r="O1502" s="3"/>
      <c r="P1502" s="3"/>
      <c r="AM1502" s="3"/>
      <c r="AR1502" s="30"/>
    </row>
    <row r="1503" spans="13:44" x14ac:dyDescent="0.2">
      <c r="M1503" s="3"/>
      <c r="N1503" s="3"/>
      <c r="O1503" s="3"/>
      <c r="P1503" s="3"/>
      <c r="AM1503" s="3"/>
      <c r="AR1503" s="30"/>
    </row>
    <row r="1504" spans="13:44" x14ac:dyDescent="0.2">
      <c r="M1504" s="3"/>
      <c r="N1504" s="3"/>
      <c r="O1504" s="3"/>
      <c r="P1504" s="3"/>
      <c r="AM1504" s="3"/>
      <c r="AR1504" s="30"/>
    </row>
    <row r="1505" spans="13:44" x14ac:dyDescent="0.2">
      <c r="M1505" s="3"/>
      <c r="N1505" s="3"/>
      <c r="O1505" s="3"/>
      <c r="P1505" s="3"/>
      <c r="AM1505" s="3"/>
      <c r="AR1505" s="30"/>
    </row>
    <row r="1506" spans="13:44" x14ac:dyDescent="0.2">
      <c r="M1506" s="3"/>
      <c r="N1506" s="3"/>
      <c r="O1506" s="3"/>
      <c r="P1506" s="3"/>
      <c r="AM1506" s="3"/>
      <c r="AR1506" s="30"/>
    </row>
    <row r="1507" spans="13:44" x14ac:dyDescent="0.2">
      <c r="M1507" s="3"/>
      <c r="N1507" s="3"/>
      <c r="O1507" s="3"/>
      <c r="P1507" s="3"/>
      <c r="AM1507" s="3"/>
      <c r="AR1507" s="30"/>
    </row>
    <row r="1508" spans="13:44" x14ac:dyDescent="0.2">
      <c r="M1508" s="3"/>
      <c r="N1508" s="3"/>
      <c r="O1508" s="3"/>
      <c r="P1508" s="3"/>
      <c r="AM1508" s="3"/>
      <c r="AR1508" s="30"/>
    </row>
    <row r="1509" spans="13:44" x14ac:dyDescent="0.2">
      <c r="M1509" s="3"/>
      <c r="N1509" s="3"/>
      <c r="O1509" s="3"/>
      <c r="P1509" s="3"/>
      <c r="AM1509" s="3"/>
      <c r="AR1509" s="30"/>
    </row>
    <row r="1510" spans="13:44" x14ac:dyDescent="0.2">
      <c r="M1510" s="3"/>
      <c r="N1510" s="3"/>
      <c r="O1510" s="3"/>
      <c r="P1510" s="3"/>
      <c r="AM1510" s="3"/>
      <c r="AR1510" s="30"/>
    </row>
    <row r="1511" spans="13:44" x14ac:dyDescent="0.2">
      <c r="M1511" s="3"/>
      <c r="N1511" s="3"/>
      <c r="O1511" s="3"/>
      <c r="P1511" s="3"/>
      <c r="AM1511" s="3"/>
      <c r="AR1511" s="30"/>
    </row>
    <row r="1512" spans="13:44" x14ac:dyDescent="0.2">
      <c r="M1512" s="3"/>
      <c r="N1512" s="3"/>
      <c r="O1512" s="3"/>
      <c r="P1512" s="3"/>
      <c r="AM1512" s="3"/>
      <c r="AR1512" s="30"/>
    </row>
    <row r="1513" spans="13:44" x14ac:dyDescent="0.2">
      <c r="M1513" s="3"/>
      <c r="N1513" s="3"/>
      <c r="O1513" s="3"/>
      <c r="P1513" s="3"/>
      <c r="AM1513" s="3"/>
      <c r="AR1513" s="30"/>
    </row>
    <row r="1514" spans="13:44" x14ac:dyDescent="0.2">
      <c r="M1514" s="3"/>
      <c r="N1514" s="3"/>
      <c r="O1514" s="3"/>
      <c r="P1514" s="3"/>
      <c r="AM1514" s="3"/>
      <c r="AR1514" s="30"/>
    </row>
    <row r="1515" spans="13:44" x14ac:dyDescent="0.2">
      <c r="M1515" s="3"/>
      <c r="N1515" s="3"/>
      <c r="O1515" s="3"/>
      <c r="P1515" s="3"/>
      <c r="AM1515" s="3"/>
      <c r="AR1515" s="30"/>
    </row>
    <row r="1516" spans="13:44" x14ac:dyDescent="0.2">
      <c r="M1516" s="3"/>
      <c r="N1516" s="3"/>
      <c r="O1516" s="3"/>
      <c r="P1516" s="3"/>
      <c r="AM1516" s="3"/>
      <c r="AR1516" s="30"/>
    </row>
    <row r="1517" spans="13:44" x14ac:dyDescent="0.2">
      <c r="M1517" s="3"/>
      <c r="N1517" s="3"/>
      <c r="O1517" s="3"/>
      <c r="P1517" s="3"/>
      <c r="AM1517" s="3"/>
      <c r="AR1517" s="30"/>
    </row>
    <row r="1518" spans="13:44" x14ac:dyDescent="0.2">
      <c r="M1518" s="3"/>
      <c r="N1518" s="3"/>
      <c r="O1518" s="3"/>
      <c r="P1518" s="3"/>
      <c r="AM1518" s="3"/>
      <c r="AR1518" s="30"/>
    </row>
    <row r="1519" spans="13:44" x14ac:dyDescent="0.2">
      <c r="M1519" s="3"/>
      <c r="N1519" s="3"/>
      <c r="O1519" s="3"/>
      <c r="P1519" s="3"/>
      <c r="AM1519" s="3"/>
      <c r="AR1519" s="30"/>
    </row>
    <row r="1520" spans="13:44" x14ac:dyDescent="0.2">
      <c r="M1520" s="3"/>
      <c r="N1520" s="3"/>
      <c r="O1520" s="3"/>
      <c r="P1520" s="3"/>
      <c r="AM1520" s="3"/>
      <c r="AR1520" s="30"/>
    </row>
    <row r="1521" spans="13:44" x14ac:dyDescent="0.2">
      <c r="M1521" s="3"/>
      <c r="N1521" s="3"/>
      <c r="O1521" s="3"/>
      <c r="P1521" s="3"/>
      <c r="AM1521" s="3"/>
      <c r="AR1521" s="30"/>
    </row>
    <row r="1522" spans="13:44" x14ac:dyDescent="0.2">
      <c r="M1522" s="3"/>
      <c r="N1522" s="3"/>
      <c r="O1522" s="3"/>
      <c r="P1522" s="3"/>
      <c r="AM1522" s="3"/>
      <c r="AR1522" s="30"/>
    </row>
    <row r="1523" spans="13:44" x14ac:dyDescent="0.2">
      <c r="M1523" s="3"/>
      <c r="N1523" s="3"/>
      <c r="O1523" s="3"/>
      <c r="P1523" s="3"/>
      <c r="AM1523" s="3"/>
      <c r="AR1523" s="30"/>
    </row>
    <row r="1524" spans="13:44" x14ac:dyDescent="0.2">
      <c r="M1524" s="3"/>
      <c r="N1524" s="3"/>
      <c r="O1524" s="3"/>
      <c r="P1524" s="3"/>
      <c r="AM1524" s="3"/>
      <c r="AR1524" s="30"/>
    </row>
    <row r="1525" spans="13:44" x14ac:dyDescent="0.2">
      <c r="M1525" s="3"/>
      <c r="N1525" s="3"/>
      <c r="O1525" s="3"/>
      <c r="P1525" s="3"/>
      <c r="AM1525" s="3"/>
      <c r="AR1525" s="30"/>
    </row>
  </sheetData>
  <sortState ref="A20:AN524">
    <sortCondition descending="1" ref="AN20:AN524"/>
  </sortState>
  <phoneticPr fontId="4" type="noConversion"/>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6"/>
  <sheetViews>
    <sheetView zoomScale="85" zoomScaleNormal="85" workbookViewId="0"/>
  </sheetViews>
  <sheetFormatPr defaultRowHeight="12.75" x14ac:dyDescent="0.2"/>
  <cols>
    <col min="1" max="16384" width="9.140625" style="131"/>
  </cols>
  <sheetData>
    <row r="26" spans="3:3" x14ac:dyDescent="0.2">
      <c r="C26" s="130"/>
    </row>
  </sheetData>
  <pageMargins left="0.7" right="0.7" top="0.75" bottom="0.75" header="0.3" footer="0.3"/>
  <headerFooter alignWithMargins="0"/>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Overall</vt:lpstr>
      <vt:lpstr>Summary</vt:lpstr>
      <vt:lpstr>TopNames</vt:lpstr>
      <vt:lpstr>S&amp;P500</vt:lpstr>
      <vt:lpstr>Contact</vt:lpstr>
    </vt:vector>
  </TitlesOfParts>
  <Company>Nomura</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611646</dc:creator>
  <cp:lastModifiedBy>Cooper  Mandelblatt</cp:lastModifiedBy>
  <dcterms:created xsi:type="dcterms:W3CDTF">2009-03-11T05:08:42Z</dcterms:created>
  <dcterms:modified xsi:type="dcterms:W3CDTF">2016-08-30T17:44:50Z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