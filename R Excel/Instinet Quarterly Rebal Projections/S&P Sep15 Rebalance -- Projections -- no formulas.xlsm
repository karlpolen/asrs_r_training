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Contact" sheetId="11" r:id="rId5"/>
  </sheets>
  <functionGroups builtInGroupCount="17"/>
  <externalReferences>
    <externalReference r:id="rId6"/>
    <externalReference r:id="rId7"/>
    <externalReference r:id="rId8"/>
  </externalReferences>
  <definedNames>
    <definedName name="BLPH1" localSheetId="4" hidden="1">[1]USA!#REF!</definedName>
    <definedName name="BLPH1" hidden="1">[2]USA!#REF!</definedName>
    <definedName name="BLPH105" localSheetId="4" hidden="1">#REF!</definedName>
    <definedName name="BLPH105" hidden="1">#REF!</definedName>
    <definedName name="BLPH106" localSheetId="4" hidden="1">#REF!</definedName>
    <definedName name="BLPH106" hidden="1">#REF!</definedName>
    <definedName name="BLPH92" localSheetId="4" hidden="1">#REF!</definedName>
    <definedName name="BLPH92" hidden="1">#REF!</definedName>
    <definedName name="BLPH93" localSheetId="4" hidden="1">#REF!</definedName>
    <definedName name="BLPH93" hidden="1">#REF!</definedName>
    <definedName name="Input">[3]Summary!#REF!</definedName>
    <definedName name="LOL" hidden="1">[1]USA!#REF!</definedName>
  </definedNames>
  <calcPr calcId="145621"/>
</workbook>
</file>

<file path=xl/calcChain.xml><?xml version="1.0" encoding="utf-8"?>
<calcChain xmlns="http://schemas.openxmlformats.org/spreadsheetml/2006/main">
  <c r="AL170" i="1" l="1"/>
  <c r="AL95" i="1"/>
  <c r="AL184" i="1"/>
  <c r="AL92" i="1"/>
  <c r="AL165" i="1"/>
  <c r="AL123" i="1"/>
  <c r="AL75" i="1"/>
  <c r="AL454" i="1"/>
  <c r="AL513" i="1"/>
  <c r="AL266" i="1"/>
  <c r="AL445" i="1" l="1"/>
  <c r="AL88" i="1"/>
  <c r="AL277" i="1"/>
  <c r="AL478" i="1"/>
  <c r="AL57" i="1"/>
  <c r="AL400" i="1"/>
  <c r="AL62" i="1"/>
  <c r="AL306" i="1"/>
  <c r="AL524" i="1"/>
  <c r="AL242" i="1"/>
  <c r="AL506" i="1"/>
  <c r="AL30" i="1"/>
  <c r="AL297" i="1"/>
  <c r="AL32" i="1"/>
  <c r="AL27" i="1"/>
  <c r="AL150" i="1"/>
  <c r="AL192" i="1"/>
  <c r="AL107" i="1"/>
  <c r="AL216" i="1"/>
  <c r="AL233" i="1"/>
  <c r="AL256" i="1"/>
  <c r="AL293" i="1"/>
  <c r="AL365" i="1"/>
  <c r="AL311" i="1"/>
  <c r="AL326" i="1"/>
  <c r="AL491" i="1"/>
  <c r="AL229" i="1"/>
  <c r="AL508" i="1"/>
  <c r="AL93" i="1"/>
  <c r="AL375" i="1"/>
  <c r="AL466" i="1"/>
  <c r="AL100" i="1"/>
  <c r="AL222" i="1"/>
  <c r="AL20" i="1"/>
  <c r="AL461" i="1"/>
  <c r="AL502" i="1"/>
  <c r="AL158" i="1"/>
  <c r="AL91" i="1"/>
  <c r="AL61" i="1"/>
  <c r="AL413" i="1"/>
  <c r="AL467" i="1"/>
  <c r="AL271" i="1"/>
  <c r="AL183" i="1"/>
  <c r="AL433" i="1"/>
  <c r="AL323" i="1"/>
  <c r="AL86" i="1"/>
  <c r="AL396" i="1"/>
  <c r="AL179" i="1"/>
  <c r="AL473" i="1"/>
  <c r="AL78" i="1"/>
  <c r="AL212" i="1"/>
  <c r="AL512" i="1"/>
  <c r="AL314" i="1"/>
  <c r="AL232" i="1"/>
  <c r="AL120" i="1"/>
  <c r="AL431" i="1"/>
  <c r="AL332" i="1"/>
  <c r="AL164" i="1"/>
  <c r="AL415" i="1"/>
  <c r="AL146" i="1"/>
  <c r="AL477" i="1"/>
  <c r="AL173" i="1"/>
  <c r="AL247" i="1"/>
  <c r="AL202" i="1"/>
  <c r="AL249" i="1"/>
  <c r="AL331" i="1"/>
  <c r="AL73" i="1"/>
  <c r="AL291" i="1"/>
  <c r="AL310" i="1"/>
  <c r="AL260" i="1"/>
  <c r="AL287" i="1"/>
  <c r="AL33" i="1"/>
  <c r="AL141" i="1"/>
  <c r="AL43" i="1"/>
  <c r="AL84" i="1"/>
  <c r="AL497" i="1"/>
  <c r="AL486" i="1"/>
  <c r="AL440" i="1"/>
  <c r="AL436" i="1"/>
  <c r="AL343" i="1"/>
  <c r="AL504" i="1"/>
  <c r="AL515" i="1"/>
  <c r="AL163" i="1"/>
  <c r="AL495" i="1"/>
  <c r="AL52" i="1"/>
  <c r="AL464" i="1"/>
  <c r="AL292" i="1"/>
  <c r="AL259" i="1"/>
  <c r="AL300" i="1"/>
  <c r="AL355" i="1"/>
  <c r="AL428" i="1"/>
  <c r="AL501" i="1"/>
  <c r="AL334" i="1"/>
  <c r="AL28" i="1"/>
  <c r="AL64" i="1"/>
  <c r="AL101" i="1"/>
  <c r="AL206" i="1"/>
  <c r="AL152" i="1"/>
  <c r="AL196" i="1"/>
  <c r="AL210" i="1"/>
  <c r="AL342" i="1"/>
  <c r="AL116" i="1"/>
  <c r="AL410" i="1"/>
  <c r="AL63" i="1"/>
  <c r="AL360" i="1"/>
  <c r="AL244" i="1"/>
  <c r="AL272" i="1"/>
  <c r="AL316" i="1"/>
  <c r="AL215" i="1"/>
  <c r="AL290" i="1"/>
  <c r="AL411" i="1"/>
  <c r="AL439" i="1"/>
  <c r="AL405" i="1"/>
  <c r="AL153" i="1"/>
  <c r="AL482" i="1"/>
  <c r="AL493" i="1"/>
  <c r="AL25" i="1"/>
  <c r="AL80" i="1"/>
  <c r="AL85" i="1"/>
  <c r="AL49" i="1"/>
  <c r="AL262" i="1"/>
  <c r="AL126" i="1"/>
  <c r="AL134" i="1"/>
  <c r="AL345" i="1"/>
  <c r="AL205" i="1"/>
  <c r="AL79" i="1"/>
  <c r="AL252" i="1"/>
  <c r="AL254" i="1"/>
  <c r="AL235" i="1"/>
  <c r="AL190" i="1"/>
  <c r="AL425" i="1"/>
  <c r="AL394" i="1"/>
  <c r="AL321" i="1"/>
  <c r="AL424" i="1"/>
  <c r="AL380" i="1"/>
  <c r="AL319" i="1"/>
  <c r="AL344" i="1"/>
  <c r="AL409" i="1"/>
  <c r="AL377" i="1"/>
  <c r="AL58" i="1"/>
  <c r="AL278" i="1"/>
  <c r="AL460" i="1"/>
  <c r="AL283" i="1"/>
  <c r="AL456" i="1"/>
  <c r="AL135" i="1"/>
  <c r="AL490" i="1"/>
  <c r="AL207" i="1"/>
  <c r="AL401" i="1"/>
  <c r="AL286" i="1"/>
  <c r="AL367" i="1"/>
  <c r="AL87" i="1"/>
  <c r="AL90" i="1"/>
  <c r="AL188" i="1"/>
  <c r="AL274" i="1"/>
  <c r="AL421" i="1"/>
  <c r="AL465" i="1"/>
  <c r="AL180" i="1"/>
  <c r="AL325" i="1"/>
  <c r="AL45" i="1"/>
  <c r="AL110" i="1"/>
  <c r="AL104" i="1"/>
  <c r="AL371" i="1"/>
  <c r="AL496" i="1"/>
  <c r="AL279" i="1"/>
  <c r="AL115" i="1"/>
  <c r="AL139" i="1"/>
  <c r="AL194" i="1"/>
  <c r="AL226" i="1"/>
  <c r="AL128" i="1"/>
  <c r="AL213" i="1"/>
  <c r="AL77" i="1"/>
  <c r="AL448" i="1"/>
  <c r="AL106" i="1"/>
  <c r="AL185" i="1"/>
  <c r="AL385" i="1"/>
  <c r="AL81" i="1"/>
  <c r="AL341" i="1"/>
  <c r="AL468" i="1"/>
  <c r="AL443" i="1"/>
  <c r="AL125" i="1"/>
  <c r="AL228" i="1"/>
  <c r="AL472" i="1"/>
  <c r="AL453" i="1"/>
  <c r="AL109" i="1"/>
  <c r="AL520" i="1"/>
  <c r="AL416" i="1"/>
  <c r="AL349" i="1"/>
  <c r="AL489" i="1"/>
  <c r="AL437" i="1"/>
  <c r="AL336" i="1"/>
  <c r="AL462" i="1"/>
  <c r="AL225" i="1"/>
  <c r="AL459" i="1"/>
  <c r="AL516" i="1"/>
  <c r="AL40" i="1"/>
  <c r="AL111" i="1"/>
  <c r="AL21" i="1"/>
  <c r="AL450" i="1"/>
  <c r="AL328" i="1"/>
  <c r="AL457" i="1"/>
  <c r="AL492" i="1"/>
  <c r="AL369" i="1"/>
  <c r="AL174" i="1"/>
  <c r="AL243" i="1"/>
  <c r="AL131" i="1"/>
  <c r="AL223" i="1"/>
  <c r="AL481" i="1"/>
  <c r="AL509" i="1"/>
  <c r="AL211" i="1"/>
  <c r="AL429" i="1"/>
  <c r="AL302" i="1"/>
  <c r="AL172" i="1"/>
  <c r="AL458" i="1"/>
  <c r="AL177" i="1"/>
  <c r="AL231" i="1"/>
  <c r="AL142" i="1"/>
  <c r="AL441" i="1"/>
  <c r="AL66" i="1"/>
  <c r="AL388" i="1"/>
  <c r="AL404" i="1"/>
  <c r="AL182" i="1"/>
  <c r="AL320" i="1"/>
  <c r="AL181" i="1"/>
  <c r="AL386" i="1"/>
  <c r="AL35" i="1"/>
  <c r="AL451" i="1"/>
  <c r="AL339" i="1"/>
  <c r="AL157" i="1"/>
  <c r="AL145" i="1"/>
  <c r="AL519" i="1"/>
  <c r="AL204" i="1"/>
  <c r="AL485" i="1"/>
  <c r="AL370" i="1"/>
  <c r="AL474" i="1"/>
  <c r="AL390" i="1"/>
  <c r="AL187" i="1"/>
  <c r="AL114" i="1"/>
  <c r="AL51" i="1"/>
  <c r="AL166" i="1"/>
  <c r="AL50" i="1"/>
  <c r="AL248" i="1"/>
  <c r="AL199" i="1"/>
  <c r="AL138" i="1"/>
  <c r="AL417" i="1"/>
  <c r="AL420" i="1"/>
  <c r="AL518" i="1"/>
  <c r="AL305" i="1"/>
  <c r="AL102" i="1"/>
  <c r="AL412" i="1"/>
  <c r="AL54" i="1"/>
  <c r="AL403" i="1"/>
  <c r="AL295" i="1"/>
  <c r="AL133" i="1"/>
  <c r="AL294" i="1"/>
  <c r="AL36" i="1"/>
  <c r="AL366" i="1"/>
  <c r="AL168" i="1"/>
  <c r="AL383" i="1"/>
  <c r="AL154" i="1"/>
  <c r="AL494" i="1"/>
  <c r="AL392" i="1"/>
  <c r="AL238" i="1"/>
  <c r="AL307" i="1"/>
  <c r="AL397" i="1"/>
  <c r="AL435" i="1"/>
  <c r="AL136" i="1"/>
  <c r="AL47" i="1"/>
  <c r="AL240" i="1"/>
  <c r="AL203" i="1"/>
  <c r="AL96" i="1"/>
  <c r="AL358" i="1"/>
  <c r="AL275" i="1"/>
  <c r="AL423" i="1"/>
  <c r="AL348" i="1"/>
  <c r="AL200" i="1"/>
  <c r="AL505" i="1"/>
  <c r="AL119" i="1"/>
  <c r="AL217" i="1"/>
  <c r="AL113" i="1"/>
  <c r="AL151" i="1"/>
  <c r="AL384" i="1"/>
  <c r="AL59" i="1"/>
  <c r="AL267" i="1"/>
  <c r="AL261" i="1"/>
  <c r="AL381" i="1"/>
  <c r="AL29" i="1"/>
  <c r="AL48" i="1"/>
  <c r="AL209" i="1"/>
  <c r="AL160" i="1"/>
  <c r="AL23" i="1"/>
  <c r="AL37" i="1"/>
  <c r="AL257" i="1"/>
  <c r="AL193" i="1"/>
  <c r="AL76" i="1"/>
  <c r="AL368" i="1"/>
  <c r="AL452" i="1"/>
  <c r="AL221" i="1"/>
  <c r="AL280" i="1"/>
  <c r="AL379" i="1"/>
  <c r="AL284" i="1"/>
  <c r="AL422" i="1"/>
  <c r="AL24" i="1"/>
  <c r="AL398" i="1"/>
  <c r="AL34" i="1"/>
  <c r="AL72" i="1"/>
  <c r="AL219" i="1"/>
  <c r="AL208" i="1"/>
  <c r="AL117" i="1"/>
  <c r="AL463" i="1"/>
  <c r="AL510" i="1"/>
  <c r="AL70" i="1"/>
  <c r="AL514" i="1"/>
  <c r="AL301" i="1"/>
  <c r="AL218" i="1"/>
  <c r="AL269" i="1"/>
  <c r="AL484" i="1"/>
  <c r="AL362" i="1"/>
  <c r="AL234" i="1"/>
  <c r="AL56" i="1"/>
  <c r="AL147" i="1"/>
  <c r="AL522" i="1"/>
  <c r="AL65" i="1"/>
  <c r="AL285" i="1"/>
  <c r="AL487" i="1"/>
  <c r="AL315" i="1"/>
  <c r="AL399" i="1"/>
  <c r="AL169" i="1"/>
  <c r="AL288" i="1"/>
  <c r="AL89" i="1"/>
  <c r="AL340" i="1"/>
  <c r="AL265" i="1"/>
  <c r="AL354" i="1"/>
  <c r="AL112" i="1"/>
  <c r="AL402" i="1"/>
  <c r="AL309" i="1"/>
  <c r="AL406" i="1"/>
  <c r="AL313" i="1"/>
  <c r="AL447" i="1"/>
  <c r="AL148" i="1"/>
  <c r="AL99" i="1"/>
  <c r="AL245" i="1"/>
  <c r="AL220" i="1"/>
  <c r="AL442" i="1"/>
  <c r="AL74" i="1"/>
  <c r="AL121" i="1"/>
  <c r="AL97" i="1"/>
  <c r="AL449" i="1"/>
  <c r="AL230" i="1"/>
  <c r="AL118" i="1"/>
  <c r="AL186" i="1"/>
  <c r="AL374" i="1"/>
  <c r="AL382" i="1"/>
  <c r="AL253" i="1"/>
  <c r="AL246" i="1"/>
  <c r="AL264" i="1"/>
  <c r="AL159" i="1"/>
  <c r="AL476" i="1"/>
  <c r="AL201" i="1"/>
  <c r="AL108" i="1"/>
  <c r="AL350" i="1"/>
  <c r="AL318" i="1"/>
  <c r="AL335" i="1"/>
  <c r="AL289" i="1"/>
  <c r="AL137" i="1"/>
  <c r="AL475" i="1"/>
  <c r="AL521" i="1"/>
  <c r="AL427" i="1"/>
  <c r="AL227" i="1"/>
  <c r="AL338" i="1"/>
  <c r="AL389" i="1"/>
  <c r="AL71" i="1"/>
  <c r="AL178" i="1"/>
  <c r="AL60" i="1"/>
  <c r="AL195" i="1"/>
  <c r="AL39" i="1"/>
  <c r="AL488" i="1"/>
  <c r="AL359" i="1"/>
  <c r="AL44" i="1"/>
  <c r="AL224" i="1"/>
  <c r="AL329" i="1"/>
  <c r="AL347" i="1"/>
  <c r="AL407" i="1"/>
  <c r="AL273" i="1"/>
  <c r="AL171" i="1"/>
  <c r="AL251" i="1"/>
  <c r="AL304" i="1"/>
  <c r="AL144" i="1"/>
  <c r="AL38" i="1"/>
  <c r="AL69" i="1"/>
  <c r="AL162" i="1"/>
  <c r="AL214" i="1"/>
  <c r="AL281" i="1"/>
  <c r="AL26" i="1"/>
  <c r="AL239" i="1"/>
  <c r="AL270" i="1"/>
  <c r="AL22" i="1"/>
  <c r="AL471" i="1"/>
  <c r="AL480" i="1"/>
  <c r="AL351" i="1"/>
  <c r="AL237" i="1"/>
  <c r="AL419" i="1"/>
  <c r="AL299" i="1"/>
  <c r="AL361" i="1"/>
  <c r="AL124" i="1"/>
  <c r="AL434" i="1"/>
  <c r="AL308" i="1"/>
  <c r="AL372" i="1"/>
  <c r="AL470" i="1"/>
  <c r="AL418" i="1"/>
  <c r="AL312" i="1"/>
  <c r="AL317" i="1"/>
  <c r="AL498" i="1"/>
  <c r="AL42" i="1"/>
  <c r="AL330" i="1"/>
  <c r="AL376" i="1"/>
  <c r="AL46" i="1"/>
  <c r="AL327" i="1"/>
  <c r="AL357" i="1"/>
  <c r="AL83" i="1"/>
  <c r="AL469" i="1"/>
  <c r="AL176" i="1"/>
  <c r="AL507" i="1"/>
  <c r="AL432" i="1"/>
  <c r="AL156" i="1"/>
  <c r="AL373" i="1"/>
  <c r="AL395" i="1"/>
  <c r="AL346" i="1"/>
  <c r="AL167" i="1"/>
  <c r="AL378" i="1"/>
  <c r="AL161" i="1"/>
  <c r="AL198" i="1"/>
  <c r="AL255" i="1"/>
  <c r="AL103" i="1"/>
  <c r="AL444" i="1"/>
  <c r="AL352" i="1"/>
  <c r="AL67" i="1"/>
  <c r="AL175" i="1"/>
  <c r="AL523" i="1"/>
  <c r="AL303" i="1"/>
  <c r="AL426" i="1"/>
  <c r="AL333" i="1"/>
  <c r="AL155" i="1"/>
  <c r="AL132" i="1"/>
  <c r="AL511" i="1"/>
  <c r="AL391" i="1"/>
  <c r="AL356" i="1"/>
  <c r="AL446" i="1"/>
  <c r="AL517" i="1"/>
  <c r="AL296" i="1"/>
  <c r="AL499" i="1"/>
  <c r="AL68" i="1"/>
  <c r="AL268" i="1"/>
  <c r="AL140" i="1"/>
  <c r="AL127" i="1"/>
  <c r="AL276" i="1"/>
  <c r="AL438" i="1"/>
  <c r="AL143" i="1"/>
  <c r="AL324" i="1"/>
  <c r="AL122" i="1"/>
  <c r="AL337" i="1"/>
  <c r="AL98" i="1"/>
  <c r="AL414" i="1"/>
  <c r="AL430" i="1"/>
  <c r="AL31" i="1"/>
  <c r="AL408" i="1"/>
  <c r="AL105" i="1"/>
  <c r="AL298" i="1"/>
  <c r="AL149" i="1"/>
  <c r="AL393" i="1"/>
  <c r="AL322" i="1"/>
  <c r="AL82" i="1"/>
  <c r="AL483" i="1"/>
  <c r="AL189" i="1"/>
  <c r="AL263" i="1"/>
  <c r="AL353" i="1"/>
  <c r="AL479" i="1"/>
  <c r="AL258" i="1"/>
  <c r="AL250" i="1"/>
  <c r="AL130" i="1"/>
  <c r="AL197" i="1"/>
  <c r="AL241" i="1"/>
  <c r="AL364" i="1"/>
  <c r="AL129" i="1"/>
  <c r="AL191" i="1"/>
  <c r="AL236" i="1"/>
  <c r="AL53" i="1"/>
  <c r="AL282" i="1"/>
  <c r="AL387" i="1"/>
  <c r="AL503" i="1"/>
  <c r="AL41" i="1"/>
  <c r="AL455" i="1"/>
  <c r="AL500" i="1"/>
  <c r="AL55" i="1"/>
  <c r="AL94" i="1"/>
  <c r="AL363" i="1"/>
</calcChain>
</file>

<file path=xl/sharedStrings.xml><?xml version="1.0" encoding="utf-8"?>
<sst xmlns="http://schemas.openxmlformats.org/spreadsheetml/2006/main" count="6864" uniqueCount="2636">
  <si>
    <t>Goodyear Tire &amp; Rubber Co</t>
  </si>
  <si>
    <t>Harman Intl Industries Inc</t>
  </si>
  <si>
    <t>Hasbro Inc</t>
  </si>
  <si>
    <t>Huntington Bancshares (OH)</t>
  </si>
  <si>
    <t>Hudson City Bancorp</t>
  </si>
  <si>
    <t>Health Care REIT Inc</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</si>
  <si>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</si>
  <si>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</si>
  <si>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</si>
  <si>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</si>
  <si>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</si>
  <si>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</si>
  <si>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</si>
  <si>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</si>
  <si>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</si>
  <si>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</si>
  <si>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</si>
  <si>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</si>
  <si>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</si>
  <si>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</si>
  <si>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</si>
  <si>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</si>
  <si>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</si>
  <si>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Illinois Tool Works Inc</t>
  </si>
  <si>
    <t>Invesco Ltd</t>
  </si>
  <si>
    <t>Johnson Controls Inc</t>
  </si>
  <si>
    <t>Jacobs Engineering Group Inc</t>
  </si>
  <si>
    <t>Juniper Networks Inc</t>
  </si>
  <si>
    <t>Nordstrom Inc</t>
  </si>
  <si>
    <t>Kellogg Co</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</si>
  <si>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</si>
  <si>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</si>
  <si>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</si>
  <si>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</si>
  <si>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</si>
  <si>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</si>
  <si>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</si>
  <si>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</si>
  <si>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</si>
  <si>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</si>
  <si>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</si>
  <si>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</si>
  <si>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</si>
  <si>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</si>
  <si>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</si>
  <si>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Macy's Inc</t>
  </si>
  <si>
    <t>Marriott Intl A</t>
  </si>
  <si>
    <t>Masco Corp</t>
  </si>
  <si>
    <t>Mattel Inc</t>
  </si>
  <si>
    <t>Microchip Technology Inc</t>
  </si>
  <si>
    <t>McKesson Corp</t>
  </si>
  <si>
    <t>Moody's Corp</t>
  </si>
  <si>
    <t>McCormick &amp; Co</t>
  </si>
  <si>
    <t>Marsh &amp; McLennan Companies</t>
  </si>
  <si>
    <t>Marathon Oil Corp</t>
  </si>
  <si>
    <t>M&amp;T Bank Corp</t>
  </si>
  <si>
    <t>Micron Technology Inc</t>
  </si>
  <si>
    <t>Murphy Oil Corp</t>
  </si>
  <si>
    <t>Noble Energy Inc</t>
  </si>
  <si>
    <t>Nasdaq OMX Group/The</t>
  </si>
  <si>
    <t>Newmont Mining Corp</t>
  </si>
  <si>
    <t>Nisource Inc</t>
  </si>
  <si>
    <t>Northrop Grumman Corp</t>
  </si>
  <si>
    <t>NetApp Inc</t>
  </si>
  <si>
    <t>Northern Trust Corp (IL)</t>
  </si>
  <si>
    <t>Nucor Corp</t>
  </si>
  <si>
    <t>Nvidia Corp</t>
  </si>
  <si>
    <t>Newell Rubbermaid Inc</t>
  </si>
  <si>
    <t>Owens-Illinois Inc</t>
  </si>
  <si>
    <t>Omnicom Group</t>
  </si>
  <si>
    <t>O'Reilly Automotive</t>
  </si>
  <si>
    <t>Paychex Inc</t>
  </si>
  <si>
    <t>People's United Financial Inc</t>
  </si>
  <si>
    <t>Pitney Bowes Inc</t>
  </si>
  <si>
    <t>PACCAR Inc</t>
  </si>
  <si>
    <t>PG&amp;E Corporation</t>
  </si>
  <si>
    <t>Plum Creek Timber Co</t>
  </si>
  <si>
    <t>Precision Castparts Corp</t>
  </si>
  <si>
    <t>Patterson Cos Inc</t>
  </si>
  <si>
    <t>Public Service Enterprise Grp</t>
  </si>
  <si>
    <t>Principal Financial Group</t>
  </si>
  <si>
    <t>Progressive Corp</t>
  </si>
  <si>
    <t>Parker-Hannifin Corp</t>
  </si>
  <si>
    <t>PerkinElmer Inc</t>
  </si>
  <si>
    <t>Pall Corp</t>
  </si>
  <si>
    <t>PNC Finl Services Group</t>
  </si>
  <si>
    <t>Pinnacle West Capital (AZ)</t>
  </si>
  <si>
    <t>Pepco Holdings Inc</t>
  </si>
  <si>
    <t>PPG Industries Inc</t>
  </si>
  <si>
    <t>PPL Corp</t>
  </si>
  <si>
    <t>Prudential Financial Inc</t>
  </si>
  <si>
    <t>Public Storage</t>
  </si>
  <si>
    <t>Quanta Services Inc</t>
  </si>
  <si>
    <t>Praxair Inc</t>
  </si>
  <si>
    <t>Pioneer Natural Resources</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</si>
  <si>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</si>
  <si>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</si>
  <si>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</si>
  <si>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</si>
  <si>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</si>
  <si>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</si>
  <si>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</si>
  <si>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</si>
  <si>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</si>
  <si>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</si>
  <si>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</si>
  <si>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</si>
  <si>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Sigma-Aldrich Corp</t>
  </si>
  <si>
    <t>Snap On Inc</t>
  </si>
  <si>
    <t>SanDisk Corp</t>
  </si>
  <si>
    <t>Scripps Networks Interactive</t>
  </si>
  <si>
    <t>Simon Property Group</t>
  </si>
  <si>
    <t>Staples Inc</t>
  </si>
  <si>
    <t>Stericycle Inc</t>
  </si>
  <si>
    <t>Sempra Energy</t>
  </si>
  <si>
    <t>SunTrust Banks Inc (GA)</t>
  </si>
  <si>
    <t>St Jude Medical Inc</t>
  </si>
  <si>
    <t>State Street Corp</t>
  </si>
  <si>
    <t>Constellation Brands Inc A</t>
  </si>
  <si>
    <t>Southwestern Energy Co</t>
  </si>
  <si>
    <t>Stryker Corp</t>
  </si>
  <si>
    <t>Symantec Corp</t>
  </si>
  <si>
    <t>Sysco Corp</t>
  </si>
  <si>
    <t>Molson Coors Brewing Co B</t>
  </si>
  <si>
    <t>Teradata Corp</t>
  </si>
  <si>
    <t>TECO Energy Inc</t>
  </si>
  <si>
    <t>Tenet Healthcare</t>
  </si>
  <si>
    <t>Tiffany &amp; Co</t>
  </si>
  <si>
    <t>TJX Cos Inc</t>
  </si>
  <si>
    <t>Torchmark Corp</t>
  </si>
  <si>
    <t>Thermo Fisher Scientific</t>
  </si>
  <si>
    <t>T Rowe Price Group Inc</t>
  </si>
  <si>
    <t>Travelers Cos Inc</t>
  </si>
  <si>
    <t>Tyson Foods Inc A</t>
  </si>
  <si>
    <t>Tesoro Corp</t>
  </si>
  <si>
    <t>Total System Services Inc</t>
  </si>
  <si>
    <t>Time Warner Cable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</si>
  <si>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</si>
  <si>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</si>
  <si>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</si>
  <si>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</si>
  <si>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</si>
  <si>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</si>
  <si>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</si>
  <si>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</si>
  <si>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</si>
  <si>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</si>
  <si>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</si>
  <si>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</si>
  <si>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Whole Foods Market Inc</t>
  </si>
  <si>
    <t>Whirlpool Corp</t>
  </si>
  <si>
    <t>Waste Management Inc</t>
  </si>
  <si>
    <t>Western Union Co</t>
  </si>
  <si>
    <t>Wyndham Worldwide Corp</t>
  </si>
  <si>
    <t>Wynn Resorts Ltd</t>
  </si>
  <si>
    <t>Xcel Energy Inc</t>
  </si>
  <si>
    <t>Xilinx Inc</t>
  </si>
  <si>
    <t>Dentsply Intl</t>
  </si>
  <si>
    <t>Yahoo Inc</t>
  </si>
  <si>
    <t>Yum! Brands Inc</t>
  </si>
  <si>
    <t>Zions Bancorp (UT)</t>
  </si>
  <si>
    <t>XEC</t>
  </si>
  <si>
    <t>AAP UN</t>
  </si>
  <si>
    <t>ARG UN</t>
  </si>
  <si>
    <t>BWA UN</t>
  </si>
  <si>
    <t>CERN UQ</t>
  </si>
  <si>
    <t>CMG UN</t>
  </si>
  <si>
    <t>DLTR UQ</t>
  </si>
  <si>
    <t>ENDP UQ</t>
  </si>
  <si>
    <t>EQIX UQ</t>
  </si>
  <si>
    <t>EW UN</t>
  </si>
  <si>
    <t>FFIV UQ</t>
  </si>
  <si>
    <t>FOSL UQ</t>
  </si>
  <si>
    <t>HBI UN</t>
  </si>
  <si>
    <t>HP UN</t>
  </si>
  <si>
    <t>HSIC UQ</t>
  </si>
  <si>
    <t>JBHT UQ</t>
  </si>
  <si>
    <t>KMX UN</t>
  </si>
  <si>
    <t>KSU UN</t>
  </si>
  <si>
    <t>LRCX UQ</t>
  </si>
  <si>
    <t>MAC UN</t>
  </si>
  <si>
    <t>NFLX UQ</t>
  </si>
  <si>
    <t>NFX UN</t>
  </si>
  <si>
    <t>O UN</t>
  </si>
  <si>
    <t>OKE UN</t>
  </si>
  <si>
    <t>PCLN UQ</t>
  </si>
  <si>
    <t>PNR UN</t>
  </si>
  <si>
    <t>PVH UN</t>
  </si>
  <si>
    <t>ROST UQ</t>
  </si>
  <si>
    <t>SLG UN</t>
  </si>
  <si>
    <t>UHS UN</t>
  </si>
  <si>
    <t>URBN UQ</t>
  </si>
  <si>
    <t>URI UN</t>
  </si>
  <si>
    <t>B0X7DZ3</t>
  </si>
  <si>
    <t>B1BJSL9</t>
  </si>
  <si>
    <t>Current Growth %</t>
  </si>
  <si>
    <t>Current Value %</t>
  </si>
  <si>
    <t>New Growth %</t>
  </si>
  <si>
    <t>New Value %</t>
  </si>
  <si>
    <t>S&amp;P 500 Core</t>
  </si>
  <si>
    <t>S&amp;P 500 Growth</t>
  </si>
  <si>
    <t>S&amp;P 500 Value</t>
  </si>
  <si>
    <t>Portfolio</t>
  </si>
  <si>
    <t>(MM USD)</t>
  </si>
  <si>
    <t>By entering the size of your portfolio</t>
  </si>
  <si>
    <t xml:space="preserve">in the box below, this column will </t>
  </si>
  <si>
    <t>generate your portfolio rebalance.</t>
  </si>
  <si>
    <t>S&amp;P U.S. Indices Trade Summary</t>
  </si>
  <si>
    <t>AON</t>
  </si>
  <si>
    <t>FSLR</t>
  </si>
  <si>
    <t>AON UN</t>
  </si>
  <si>
    <t>FSLR UQ</t>
  </si>
  <si>
    <t>JNPR UN</t>
  </si>
  <si>
    <t>MAT UQ</t>
  </si>
  <si>
    <t>B1HMF22</t>
  </si>
  <si>
    <t>First Solar Inc</t>
  </si>
  <si>
    <t>V UN</t>
  </si>
  <si>
    <t>B2PZN04</t>
  </si>
  <si>
    <t>Most Illiquid Net Buys</t>
  </si>
  <si>
    <t>Most Illiquid Net Sells</t>
  </si>
  <si>
    <t>Largest Net Buys by Trade Value</t>
  </si>
  <si>
    <t>Largest Net Sells by Trade Value</t>
  </si>
  <si>
    <t>BMY</t>
  </si>
  <si>
    <t>Regeneron Pharmaceuticals Inc</t>
  </si>
  <si>
    <t>Skyworks Solutions Inc</t>
  </si>
  <si>
    <t>Tractor Supply Co</t>
  </si>
  <si>
    <t>NDAQ</t>
  </si>
  <si>
    <t>NEM</t>
  </si>
  <si>
    <t>NI</t>
  </si>
  <si>
    <t>NOC</t>
  </si>
  <si>
    <t>NTAP</t>
  </si>
  <si>
    <t>NTRS</t>
  </si>
  <si>
    <t>NUE</t>
  </si>
  <si>
    <t>NVDA</t>
  </si>
  <si>
    <t>NWL</t>
  </si>
  <si>
    <t>NWSA</t>
  </si>
  <si>
    <t>OI</t>
  </si>
  <si>
    <t>OMC</t>
  </si>
  <si>
    <t>ORLY</t>
  </si>
  <si>
    <t>PAYX</t>
  </si>
  <si>
    <t>PBCT</t>
  </si>
  <si>
    <t>PBI</t>
  </si>
  <si>
    <t>PCAR</t>
  </si>
  <si>
    <t>PCG</t>
  </si>
  <si>
    <t>PCL</t>
  </si>
  <si>
    <t>PCP</t>
  </si>
  <si>
    <t>PDCO</t>
  </si>
  <si>
    <t>PEG</t>
  </si>
  <si>
    <t>PFG</t>
  </si>
  <si>
    <t>PGR</t>
  </si>
  <si>
    <t>PH</t>
  </si>
  <si>
    <t>PHM</t>
  </si>
  <si>
    <t>PKI</t>
  </si>
  <si>
    <t>PLD</t>
  </si>
  <si>
    <t>PLL</t>
  </si>
  <si>
    <t>PNC</t>
  </si>
  <si>
    <t>PNW</t>
  </si>
  <si>
    <t>POM</t>
  </si>
  <si>
    <t>PPG</t>
  </si>
  <si>
    <t>PPL</t>
  </si>
  <si>
    <t>PRU</t>
  </si>
  <si>
    <t>PSA</t>
  </si>
  <si>
    <t>PWR</t>
  </si>
  <si>
    <t>PX</t>
  </si>
  <si>
    <t>PXD</t>
  </si>
  <si>
    <t>R</t>
  </si>
  <si>
    <t>RAI</t>
  </si>
  <si>
    <t>RHI</t>
  </si>
  <si>
    <t>RHT</t>
  </si>
  <si>
    <t>RL</t>
  </si>
  <si>
    <t>ROK</t>
  </si>
  <si>
    <t>RRC</t>
  </si>
  <si>
    <t>RSG</t>
  </si>
  <si>
    <t>SBUX</t>
  </si>
  <si>
    <t>SCG</t>
  </si>
  <si>
    <t>SCHW</t>
  </si>
  <si>
    <t>SE</t>
  </si>
  <si>
    <t>SEE</t>
  </si>
  <si>
    <t>SHW</t>
  </si>
  <si>
    <t>SIAL</t>
  </si>
  <si>
    <t>SJM</t>
  </si>
  <si>
    <t>SNA</t>
  </si>
  <si>
    <t>SNDK</t>
  </si>
  <si>
    <t>SNI</t>
  </si>
  <si>
    <t>SPG</t>
  </si>
  <si>
    <t>SPLS</t>
  </si>
  <si>
    <t>SRCL</t>
  </si>
  <si>
    <t>SRE</t>
  </si>
  <si>
    <t>STI</t>
  </si>
  <si>
    <t>STJ</t>
  </si>
  <si>
    <t>STT</t>
  </si>
  <si>
    <t>STZ</t>
  </si>
  <si>
    <t>SWK</t>
  </si>
  <si>
    <t>SWN</t>
  </si>
  <si>
    <t>SYK</t>
  </si>
  <si>
    <t>SYMC</t>
  </si>
  <si>
    <t>SYY</t>
  </si>
  <si>
    <t>TAP</t>
  </si>
  <si>
    <t>TDC</t>
  </si>
  <si>
    <t>TE</t>
  </si>
  <si>
    <t>THC</t>
  </si>
  <si>
    <t>TIF</t>
  </si>
  <si>
    <t>TJX</t>
  </si>
  <si>
    <t>TMK</t>
  </si>
  <si>
    <t>TMO</t>
  </si>
  <si>
    <t>TROW</t>
  </si>
  <si>
    <t>TRV</t>
  </si>
  <si>
    <t>TSN</t>
  </si>
  <si>
    <t>TSO</t>
  </si>
  <si>
    <t>TSS</t>
  </si>
  <si>
    <t>TWC</t>
  </si>
  <si>
    <t>TXT</t>
  </si>
  <si>
    <t>UNM</t>
  </si>
  <si>
    <t>UNP</t>
  </si>
  <si>
    <t>VAR</t>
  </si>
  <si>
    <t>VFC</t>
  </si>
  <si>
    <t>VLO</t>
  </si>
  <si>
    <t>VMC</t>
  </si>
  <si>
    <t>VNO</t>
  </si>
  <si>
    <t>VRSN</t>
  </si>
  <si>
    <t>VTR</t>
  </si>
  <si>
    <t>WAT</t>
  </si>
  <si>
    <t>WDC</t>
  </si>
  <si>
    <t>WEC</t>
  </si>
  <si>
    <t>WHR</t>
  </si>
  <si>
    <t>WM</t>
  </si>
  <si>
    <t>WU</t>
  </si>
  <si>
    <t>WYN</t>
  </si>
  <si>
    <t>WYNN</t>
  </si>
  <si>
    <t>XEL</t>
  </si>
  <si>
    <t>XL</t>
  </si>
  <si>
    <t>XLNX</t>
  </si>
  <si>
    <t>XRAY</t>
  </si>
  <si>
    <t>YHOO</t>
  </si>
  <si>
    <t>YUM</t>
  </si>
  <si>
    <t>ZION</t>
  </si>
  <si>
    <t>REGN</t>
  </si>
  <si>
    <t>SWKS</t>
  </si>
  <si>
    <t>TSCO</t>
  </si>
  <si>
    <t>A UN</t>
  </si>
  <si>
    <t>AAPL UQ</t>
  </si>
  <si>
    <t>ABC UN</t>
  </si>
  <si>
    <t>ADBE UQ</t>
  </si>
  <si>
    <t>ADM UN</t>
  </si>
  <si>
    <t>ADP UQ</t>
  </si>
  <si>
    <t>ADSK UQ</t>
  </si>
  <si>
    <t>AEE UN</t>
  </si>
  <si>
    <t>AES UN</t>
  </si>
  <si>
    <t>AET UN</t>
  </si>
  <si>
    <t>AFL UN</t>
  </si>
  <si>
    <t>AGN UN</t>
  </si>
  <si>
    <t>AIG UN</t>
  </si>
  <si>
    <t>AIV UN</t>
  </si>
  <si>
    <t>AIZ UN</t>
  </si>
  <si>
    <t>AKAM UQ</t>
  </si>
  <si>
    <t>ALTR UQ</t>
  </si>
  <si>
    <t>AMAT UQ</t>
  </si>
  <si>
    <t>AMGN UQ</t>
  </si>
  <si>
    <t>AMP UN</t>
  </si>
  <si>
    <t>AMT UN</t>
  </si>
  <si>
    <t>AMZN UQ</t>
  </si>
  <si>
    <t>AN UN</t>
  </si>
  <si>
    <t>APA UN</t>
  </si>
  <si>
    <t>APC UN</t>
  </si>
  <si>
    <t>APD UN</t>
  </si>
  <si>
    <t>APH UN</t>
  </si>
  <si>
    <t>AVB UN</t>
  </si>
  <si>
    <t>AVY UN</t>
  </si>
  <si>
    <t>AZO UN</t>
  </si>
  <si>
    <t>BBBY UQ</t>
  </si>
  <si>
    <t>BBT UN</t>
  </si>
  <si>
    <t>BBY UN</t>
  </si>
  <si>
    <t>BCR UN</t>
  </si>
  <si>
    <t>BDX UN</t>
  </si>
  <si>
    <t>BEN UN</t>
  </si>
  <si>
    <t>BF/B UN</t>
  </si>
  <si>
    <t>BIIB UQ</t>
  </si>
  <si>
    <t>BLL UN</t>
  </si>
  <si>
    <t>BRCM UQ</t>
  </si>
  <si>
    <t>BSX UN</t>
  </si>
  <si>
    <t>BXP UN</t>
  </si>
  <si>
    <t>CA UQ</t>
  </si>
  <si>
    <t>CAG UN</t>
  </si>
  <si>
    <t>CAH UN</t>
  </si>
  <si>
    <t>CAM UN</t>
  </si>
  <si>
    <t>CB UN</t>
  </si>
  <si>
    <t>CBG UN</t>
  </si>
  <si>
    <t>CBS UN</t>
  </si>
  <si>
    <t>CCE UN</t>
  </si>
  <si>
    <t>CCL UN</t>
  </si>
  <si>
    <t>CELG UQ</t>
  </si>
  <si>
    <t>CF UN</t>
  </si>
  <si>
    <t>CHK UN</t>
  </si>
  <si>
    <t>CHRW UQ</t>
  </si>
  <si>
    <t>CI UN</t>
  </si>
  <si>
    <t>CINF UQ</t>
  </si>
  <si>
    <t>CLX UN</t>
  </si>
  <si>
    <t>CMA UN</t>
  </si>
  <si>
    <t>CMCSA UQ</t>
  </si>
  <si>
    <t>CME UQ</t>
  </si>
  <si>
    <t>CMI UN</t>
  </si>
  <si>
    <t>CMS UN</t>
  </si>
  <si>
    <t>CNP UN</t>
  </si>
  <si>
    <t>CNX UN</t>
  </si>
  <si>
    <t>COG UN</t>
  </si>
  <si>
    <t>COH UN</t>
  </si>
  <si>
    <t>COL UN</t>
  </si>
  <si>
    <t>COST UQ</t>
  </si>
  <si>
    <t>CRM UN</t>
  </si>
  <si>
    <t>CSC UN</t>
  </si>
  <si>
    <t>CSCO UQ</t>
  </si>
  <si>
    <t>CSX UN</t>
  </si>
  <si>
    <t>CTAS UQ</t>
  </si>
  <si>
    <t>CTL UN</t>
  </si>
  <si>
    <t>CTSH UQ</t>
  </si>
  <si>
    <t>CTXS UQ</t>
  </si>
  <si>
    <t>D UN</t>
  </si>
  <si>
    <t>DE UN</t>
  </si>
  <si>
    <t>DFS UN</t>
  </si>
  <si>
    <t>DGX UN</t>
  </si>
  <si>
    <t>DHI UN</t>
  </si>
  <si>
    <t>DHR UN</t>
  </si>
  <si>
    <t>DNB UN</t>
  </si>
  <si>
    <t>DO UN</t>
  </si>
  <si>
    <t>DOV UN</t>
  </si>
  <si>
    <t>DPS UN</t>
  </si>
  <si>
    <t>DRI UN</t>
  </si>
  <si>
    <t>DTE UN</t>
  </si>
  <si>
    <t>DUK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</si>
  <si>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</si>
  <si>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</si>
  <si>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</si>
  <si>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</si>
  <si>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</si>
  <si>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</si>
  <si>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</si>
  <si>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</si>
  <si>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</si>
  <si>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</si>
  <si>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</si>
  <si>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</si>
  <si>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</si>
  <si>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</si>
  <si>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</si>
  <si>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</si>
  <si>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</si>
  <si>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</si>
  <si>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</si>
  <si>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FE UN</t>
  </si>
  <si>
    <t>FIS UN</t>
  </si>
  <si>
    <t>FISV UQ</t>
  </si>
  <si>
    <t>FITB UQ</t>
  </si>
  <si>
    <t>FLIR UQ</t>
  </si>
  <si>
    <t>FLR UN</t>
  </si>
  <si>
    <t>FLS UN</t>
  </si>
  <si>
    <t>FMC UN</t>
  </si>
  <si>
    <t>FTI UN</t>
  </si>
  <si>
    <t>GILD UQ</t>
  </si>
  <si>
    <t>GIS UN</t>
  </si>
  <si>
    <t>GLW UN</t>
  </si>
  <si>
    <t>GME UN</t>
  </si>
  <si>
    <t>GNW UN</t>
  </si>
  <si>
    <t>GOOG UQ</t>
  </si>
  <si>
    <t>GPC UN</t>
  </si>
  <si>
    <t>GPS UN</t>
  </si>
  <si>
    <t>GWW UN</t>
  </si>
  <si>
    <t>HAR UN</t>
  </si>
  <si>
    <t>HBAN UQ</t>
  </si>
  <si>
    <t>HCBK UQ</t>
  </si>
  <si>
    <t>HCN UN</t>
  </si>
  <si>
    <t>HCP UN</t>
  </si>
  <si>
    <t>HES UN</t>
  </si>
  <si>
    <t>HIG UN</t>
  </si>
  <si>
    <t>HOG UN</t>
  </si>
  <si>
    <t>HOT UN</t>
  </si>
  <si>
    <t>HRB UN</t>
  </si>
  <si>
    <t>HRL UN</t>
  </si>
  <si>
    <t>HRS UN</t>
  </si>
  <si>
    <t>HSP UN</t>
  </si>
  <si>
    <t>HST UN</t>
  </si>
  <si>
    <t>HSY UN</t>
  </si>
  <si>
    <t>HUM UN</t>
  </si>
  <si>
    <t>ICE UN</t>
  </si>
  <si>
    <t>IFF UN</t>
  </si>
  <si>
    <t>INTC UQ</t>
  </si>
  <si>
    <t>INTU UQ</t>
  </si>
  <si>
    <t>IP UN</t>
  </si>
  <si>
    <t>IPG UN</t>
  </si>
  <si>
    <t>IRM UN</t>
  </si>
  <si>
    <t>ISRG UQ</t>
  </si>
  <si>
    <t>ITW UN</t>
  </si>
  <si>
    <t>IVZ UN</t>
  </si>
  <si>
    <t>JCI UN</t>
  </si>
  <si>
    <t>JEC UN</t>
  </si>
  <si>
    <t>JWN UN</t>
  </si>
  <si>
    <t>K UN</t>
  </si>
  <si>
    <t>KEY UN</t>
  </si>
  <si>
    <t>KIM UN</t>
  </si>
  <si>
    <t>KLAC UQ</t>
  </si>
  <si>
    <t>KMB UN</t>
  </si>
  <si>
    <t>KR UN</t>
  </si>
  <si>
    <t>KSS UN</t>
  </si>
  <si>
    <t>L UN</t>
  </si>
  <si>
    <t>LEG UN</t>
  </si>
  <si>
    <t>LEN UN</t>
  </si>
  <si>
    <t>LH UN</t>
  </si>
  <si>
    <t>LLL UN</t>
  </si>
  <si>
    <t>LLTC UQ</t>
  </si>
  <si>
    <t>LLY UN</t>
  </si>
  <si>
    <t>LM UN</t>
  </si>
  <si>
    <t>LNC UN</t>
  </si>
  <si>
    <t>LUK UN</t>
  </si>
  <si>
    <t>LUV UN</t>
  </si>
  <si>
    <t>M UN</t>
  </si>
  <si>
    <t>MAS UN</t>
  </si>
  <si>
    <t>MCHP UQ</t>
  </si>
  <si>
    <t>MCK UN</t>
  </si>
  <si>
    <t>MCO UN</t>
  </si>
  <si>
    <t>MKC UN</t>
  </si>
  <si>
    <t>MMC UN</t>
  </si>
  <si>
    <t>MRO UN</t>
  </si>
  <si>
    <t>MSFT UQ</t>
  </si>
  <si>
    <t>MTB UN</t>
  </si>
  <si>
    <t>MUR UN</t>
  </si>
  <si>
    <t>MYL UQ</t>
  </si>
  <si>
    <t>NBL UN</t>
  </si>
  <si>
    <t>NDAQ UQ</t>
  </si>
  <si>
    <t>NEM UN</t>
  </si>
  <si>
    <t>NI UN</t>
  </si>
  <si>
    <t>NOC UN</t>
  </si>
  <si>
    <t>NTAP UQ</t>
  </si>
  <si>
    <t>NTRS UQ</t>
  </si>
  <si>
    <t>NUE UN</t>
  </si>
  <si>
    <t>NVDA UQ</t>
  </si>
  <si>
    <t>NWL UN</t>
  </si>
  <si>
    <t>NWSA UQ</t>
  </si>
  <si>
    <t>OI UN</t>
  </si>
  <si>
    <t>OMC UN</t>
  </si>
  <si>
    <t>ORLY UQ</t>
  </si>
  <si>
    <t>PAYX UQ</t>
  </si>
  <si>
    <t>PBCT UQ</t>
  </si>
  <si>
    <t>PBI UN</t>
  </si>
  <si>
    <t>PCAR UQ</t>
  </si>
  <si>
    <t>PCG UN</t>
  </si>
  <si>
    <t>PCL UN</t>
  </si>
  <si>
    <t>PCP UN</t>
  </si>
  <si>
    <t>PDCO UQ</t>
  </si>
  <si>
    <t>PEG UN</t>
  </si>
  <si>
    <t>PFG UN</t>
  </si>
  <si>
    <t>PGR UN</t>
  </si>
  <si>
    <t>PH UN</t>
  </si>
  <si>
    <t>PHM UN</t>
  </si>
  <si>
    <t>PKI UN</t>
  </si>
  <si>
    <t>PLD UN</t>
  </si>
  <si>
    <t>PLL UN</t>
  </si>
  <si>
    <t>PNC UN</t>
  </si>
  <si>
    <t>PNW UN</t>
  </si>
  <si>
    <t>POM UN</t>
  </si>
  <si>
    <t>PPG UN</t>
  </si>
  <si>
    <t>PPL UN</t>
  </si>
  <si>
    <t>PRU UN</t>
  </si>
  <si>
    <t>PSA UN</t>
  </si>
  <si>
    <t>PWR UN</t>
  </si>
  <si>
    <t>PX UN</t>
  </si>
  <si>
    <t>PXD UN</t>
  </si>
  <si>
    <t>QCOM UQ</t>
  </si>
  <si>
    <t>R UN</t>
  </si>
  <si>
    <t>RAI UN</t>
  </si>
  <si>
    <t>RHI UN</t>
  </si>
  <si>
    <t>RHT UN</t>
  </si>
  <si>
    <t>RL UN</t>
  </si>
  <si>
    <t>ROK UN</t>
  </si>
  <si>
    <t>RRC UN</t>
  </si>
  <si>
    <t>RSG UN</t>
  </si>
  <si>
    <t>SBUX UQ</t>
  </si>
  <si>
    <t>SCG UN</t>
  </si>
  <si>
    <t>SE UN</t>
  </si>
  <si>
    <t>SEE UN</t>
  </si>
  <si>
    <t>SHW UN</t>
  </si>
  <si>
    <t>SIAL UQ</t>
  </si>
  <si>
    <t>SJM UN</t>
  </si>
  <si>
    <t>SNA UN</t>
  </si>
  <si>
    <t>SNDK UQ</t>
  </si>
  <si>
    <t>SNI UN</t>
  </si>
  <si>
    <t>SPG UN</t>
  </si>
  <si>
    <t>SPLS UQ</t>
  </si>
  <si>
    <t>SRCL UQ</t>
  </si>
  <si>
    <t>SRE UN</t>
  </si>
  <si>
    <t>STI UN</t>
  </si>
  <si>
    <t>STJ UN</t>
  </si>
  <si>
    <t>STT UN</t>
  </si>
  <si>
    <t>STZ UN</t>
  </si>
  <si>
    <t>SWK UN</t>
  </si>
  <si>
    <t>SWN UN</t>
  </si>
  <si>
    <t>SYK UN</t>
  </si>
  <si>
    <t>SYMC UQ</t>
  </si>
  <si>
    <t>SYY UN</t>
  </si>
  <si>
    <t>TAP UN</t>
  </si>
  <si>
    <t>TDC UN</t>
  </si>
  <si>
    <t>TE UN</t>
  </si>
  <si>
    <t>THC UN</t>
  </si>
  <si>
    <t>TIF UN</t>
  </si>
  <si>
    <t>TJX UN</t>
  </si>
  <si>
    <t>TMK UN</t>
  </si>
  <si>
    <t>TMO UN</t>
  </si>
  <si>
    <t>TROW UQ</t>
  </si>
  <si>
    <t>TRV UN</t>
  </si>
  <si>
    <t>TSN UN</t>
  </si>
  <si>
    <t>TSO UN</t>
  </si>
  <si>
    <t>TSS UN</t>
  </si>
  <si>
    <t>TWC UN</t>
  </si>
  <si>
    <t>TXT UN</t>
  </si>
  <si>
    <t>UNM UN</t>
  </si>
  <si>
    <t>UNP UN</t>
  </si>
  <si>
    <t>VAR UN</t>
  </si>
  <si>
    <t>VFC UN</t>
  </si>
  <si>
    <t>VLO UN</t>
  </si>
  <si>
    <t>VMC UN</t>
  </si>
  <si>
    <t>VNO UN</t>
  </si>
  <si>
    <t>VRSN UQ</t>
  </si>
  <si>
    <t>VTR UN</t>
  </si>
  <si>
    <t>WAT UN</t>
  </si>
  <si>
    <t>WEC UN</t>
  </si>
  <si>
    <t>WHR UN</t>
  </si>
  <si>
    <t>WM UN</t>
  </si>
  <si>
    <t>WU UN</t>
  </si>
  <si>
    <t>WYN UN</t>
  </si>
  <si>
    <t>WYNN UQ</t>
  </si>
  <si>
    <t>XEL UN</t>
  </si>
  <si>
    <t>XL UN</t>
  </si>
  <si>
    <t>XLNX UQ</t>
  </si>
  <si>
    <t>XRAY UQ</t>
  </si>
  <si>
    <t>YHOO UQ</t>
  </si>
  <si>
    <t>YUM UN</t>
  </si>
  <si>
    <t>ZION UQ</t>
  </si>
  <si>
    <t>B0J7D57</t>
  </si>
  <si>
    <t>B0SRLH6</t>
  </si>
  <si>
    <t>B0G4K50</t>
  </si>
  <si>
    <t>B1YLC43</t>
  </si>
  <si>
    <t>B2QW0Z8</t>
  </si>
  <si>
    <t>B0LLFT5</t>
  </si>
  <si>
    <t>B011WL6</t>
  </si>
  <si>
    <t>B12GHV2</t>
  </si>
  <si>
    <t>B00PWV9</t>
  </si>
  <si>
    <t>B28XP76</t>
  </si>
  <si>
    <t>B1W41J2</t>
  </si>
  <si>
    <t>B1L60G9</t>
  </si>
  <si>
    <t>B39QT24</t>
  </si>
  <si>
    <t>B067BM3</t>
  </si>
  <si>
    <t>B247H10</t>
  </si>
  <si>
    <t>B63BPC8</t>
  </si>
  <si>
    <t>B0SRLF4</t>
  </si>
  <si>
    <t>B1F76F9</t>
  </si>
  <si>
    <t>B198391</t>
  </si>
  <si>
    <t>Advance Auto Parts Inc</t>
  </si>
  <si>
    <t>Alliance Data Systems Corp</t>
  </si>
  <si>
    <t>AGL Resources</t>
  </si>
  <si>
    <t>REGN UQ</t>
  </si>
  <si>
    <t>SWKS UQ</t>
  </si>
  <si>
    <t>AMETEK Inc</t>
  </si>
  <si>
    <t>Affiliated Managers Grp</t>
  </si>
  <si>
    <t>Airgas Inc</t>
  </si>
  <si>
    <t>Borgwarner Inc</t>
  </si>
  <si>
    <t>Cerner Corp</t>
  </si>
  <si>
    <t>Dollar Tree Inc</t>
  </si>
  <si>
    <t>Equinix Inc</t>
  </si>
  <si>
    <t>Essex Property Trust</t>
  </si>
  <si>
    <t>Edwards Lifesciences Corp</t>
  </si>
  <si>
    <t>F5 Networks Inc</t>
  </si>
  <si>
    <t>Hanesbrands Inc</t>
  </si>
  <si>
    <t>Helmerich &amp; Payne Inc</t>
  </si>
  <si>
    <t>Joy Global Inc</t>
  </si>
  <si>
    <t>Carmax Inc</t>
  </si>
  <si>
    <t>Kansas City Southern Inc</t>
  </si>
  <si>
    <t>Lam Research Corp</t>
  </si>
  <si>
    <t>Macerich Co</t>
  </si>
  <si>
    <t>Mohawk Industries Inc</t>
  </si>
  <si>
    <t>Martin Marietta Materials</t>
  </si>
  <si>
    <t>NetFlix Inc</t>
  </si>
  <si>
    <t>Newfield Exploration Co</t>
  </si>
  <si>
    <t>Realty Income Corp</t>
  </si>
  <si>
    <t>ONEOK Inc</t>
  </si>
  <si>
    <t>Frontier Communications Corp</t>
  </si>
  <si>
    <t>General Mills Inc</t>
  </si>
  <si>
    <t>Corning Inc</t>
  </si>
  <si>
    <t>GameStop Corp A</t>
  </si>
  <si>
    <t>Genworth Financial Inc</t>
  </si>
  <si>
    <t>Genuine Parts Co</t>
  </si>
  <si>
    <t>Gap Inc</t>
  </si>
  <si>
    <t>Ross Stores Inc</t>
  </si>
  <si>
    <t>SL Green Realty Corp</t>
  </si>
  <si>
    <t>Under Armour Inc A</t>
  </si>
  <si>
    <t>Universal Health Services B</t>
  </si>
  <si>
    <t>Urban Outfitters</t>
  </si>
  <si>
    <t>United Rentals Inc</t>
  </si>
  <si>
    <t>Vertex Pharmaceuticals Inc</t>
  </si>
  <si>
    <t>Cimarex Energy Co</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</si>
  <si>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</si>
  <si>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</si>
  <si>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</si>
  <si>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</si>
  <si>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</si>
  <si>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</si>
  <si>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</si>
  <si>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</si>
  <si>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</si>
  <si>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</si>
  <si>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</si>
  <si>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</si>
  <si>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</si>
  <si>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</si>
  <si>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</si>
  <si>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Altera Corp</t>
  </si>
  <si>
    <t>Applied Materials Inc</t>
  </si>
  <si>
    <t>Ameriprise Financial Inc</t>
  </si>
  <si>
    <t>American Tower Corp A</t>
  </si>
  <si>
    <t>AutoNation Inc</t>
  </si>
  <si>
    <t>Apache Corp</t>
  </si>
  <si>
    <t>Anadarko Petroleum Corp</t>
  </si>
  <si>
    <t>Air Products &amp; Chemicals Inc</t>
  </si>
  <si>
    <t>Amphenol Corp A</t>
  </si>
  <si>
    <t>AvalonBay Communities Inc</t>
  </si>
  <si>
    <t>Avery Dennison Corp</t>
  </si>
  <si>
    <t>AutoZone Inc</t>
  </si>
  <si>
    <t>Bed Bath &amp; Beyond Inc</t>
  </si>
  <si>
    <t>BB&amp;T Corp</t>
  </si>
  <si>
    <t>Best Buy Co Inc</t>
  </si>
  <si>
    <t>Franklin Resources Inc</t>
  </si>
  <si>
    <t>Brown-Forman Corp B</t>
  </si>
  <si>
    <t>Ball Corp</t>
  </si>
  <si>
    <t>Broadcom Corp A</t>
  </si>
  <si>
    <t>Boston Scientific Corp</t>
  </si>
  <si>
    <t>Boston Properties Inc</t>
  </si>
  <si>
    <t>CA Inc</t>
  </si>
  <si>
    <t>ConAgra Foods Inc</t>
  </si>
  <si>
    <t>Cardinal Health Inc</t>
  </si>
  <si>
    <t>Cameron International Corp</t>
  </si>
  <si>
    <t>Chubb Corp</t>
  </si>
  <si>
    <t>CBS Corp B</t>
  </si>
  <si>
    <t>Coca-Cola Enterprises</t>
  </si>
  <si>
    <t>Carnival Corp</t>
  </si>
  <si>
    <t>Celgene Corp</t>
  </si>
  <si>
    <t>CF Industries Holdings</t>
  </si>
  <si>
    <t>Chesapeake Energy Corp</t>
  </si>
  <si>
    <t>CH Robinson Worldwide Inc</t>
  </si>
  <si>
    <t>Cincinnati Financial Corp</t>
  </si>
  <si>
    <t>Clorox Co</t>
  </si>
  <si>
    <t>Comerica Inc (MI)</t>
  </si>
  <si>
    <t>Cummins Inc</t>
  </si>
  <si>
    <t>CMS Energy Corp</t>
  </si>
  <si>
    <t>Centerpoint Energy Inc</t>
  </si>
  <si>
    <t>CONSOL Energy Inc</t>
  </si>
  <si>
    <t>Cabot Oil &amp; Gas A</t>
  </si>
  <si>
    <t>Coach Inc</t>
  </si>
  <si>
    <t>Rockwell Collins</t>
  </si>
  <si>
    <t>Salesforce.com</t>
  </si>
  <si>
    <t>Computer Sciences</t>
  </si>
  <si>
    <t>CSX Corp</t>
  </si>
  <si>
    <t>Cintas Corp</t>
  </si>
  <si>
    <t>Cognizant Tech Solutions Corp</t>
  </si>
  <si>
    <t>Citrix Systems Inc</t>
  </si>
  <si>
    <t>Dominion Resources Inc</t>
  </si>
  <si>
    <t>Deere &amp; Co</t>
  </si>
  <si>
    <t>Discover Financial Services</t>
  </si>
  <si>
    <t>Quest Diagnostics</t>
  </si>
  <si>
    <t>Danaher Corp</t>
  </si>
  <si>
    <t>Dun &amp; Bradstreet Corp</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</si>
  <si>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</si>
  <si>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</si>
  <si>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</si>
  <si>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</si>
  <si>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</si>
  <si>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</si>
  <si>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</si>
  <si>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</si>
  <si>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</si>
  <si>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</si>
  <si>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</si>
  <si>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Estee Lauder Cos.</t>
  </si>
  <si>
    <t>Eastman Chemical Co</t>
  </si>
  <si>
    <t>Emerson Electric Co</t>
  </si>
  <si>
    <t>EOG Resources</t>
  </si>
  <si>
    <t>Equity Residential</t>
  </si>
  <si>
    <t>EQT Corporation</t>
  </si>
  <si>
    <t>Electronic Arts</t>
  </si>
  <si>
    <t>E*TRADE Financial Corp</t>
  </si>
  <si>
    <t>Expeditors Intl of WA Inc</t>
  </si>
  <si>
    <t>Expedia</t>
  </si>
  <si>
    <t>Fastenal Co</t>
  </si>
  <si>
    <t>FirstEnergy Corp</t>
  </si>
  <si>
    <t>Fidelity National Information</t>
  </si>
  <si>
    <t>Fiserv Inc</t>
  </si>
  <si>
    <t>Fifth Third Bancorp (OH)</t>
  </si>
  <si>
    <t>FLIR Systems Inc</t>
  </si>
  <si>
    <t>Fluor Corp</t>
  </si>
  <si>
    <t>Flowserve Corp</t>
  </si>
  <si>
    <t>FMC Corp</t>
  </si>
  <si>
    <t>FMC Technologies Inc</t>
  </si>
  <si>
    <t>AAP</t>
  </si>
  <si>
    <t>ADS</t>
  </si>
  <si>
    <t>AME</t>
  </si>
  <si>
    <t>AMG</t>
  </si>
  <si>
    <t>ARG</t>
  </si>
  <si>
    <t>BWA</t>
  </si>
  <si>
    <t>CERN</t>
  </si>
  <si>
    <t>CMG</t>
  </si>
  <si>
    <t>DLTR</t>
  </si>
  <si>
    <t>ENDP</t>
  </si>
  <si>
    <t>EQIX</t>
  </si>
  <si>
    <t>ESS</t>
  </si>
  <si>
    <t>EW</t>
  </si>
  <si>
    <t>FFIV</t>
  </si>
  <si>
    <t>FOSL</t>
  </si>
  <si>
    <t>HBI</t>
  </si>
  <si>
    <t>HP</t>
  </si>
  <si>
    <t>HSIC</t>
  </si>
  <si>
    <t>JBHT</t>
  </si>
  <si>
    <t>KMX</t>
  </si>
  <si>
    <t>KSU</t>
  </si>
  <si>
    <t>LRCX</t>
  </si>
  <si>
    <t>MAC</t>
  </si>
  <si>
    <t>MHK</t>
  </si>
  <si>
    <t>MLM</t>
  </si>
  <si>
    <t>NFLX</t>
  </si>
  <si>
    <t>NFX</t>
  </si>
  <si>
    <t>O</t>
  </si>
  <si>
    <t>OKE</t>
  </si>
  <si>
    <t>PCLN</t>
  </si>
  <si>
    <t>PNR</t>
  </si>
  <si>
    <t>PRGO</t>
  </si>
  <si>
    <t>PVH</t>
  </si>
  <si>
    <t>ROP</t>
  </si>
  <si>
    <t>SLG</t>
  </si>
  <si>
    <t>UA</t>
  </si>
  <si>
    <t>UHS</t>
  </si>
  <si>
    <t>URBN</t>
  </si>
  <si>
    <t>URI</t>
  </si>
  <si>
    <t>VRTX</t>
  </si>
  <si>
    <t>--</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</si>
  <si>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</si>
  <si>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</si>
  <si>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</si>
  <si>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</si>
  <si>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</si>
  <si>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</si>
  <si>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</si>
  <si>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</si>
  <si>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</si>
  <si>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</si>
  <si>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</si>
  <si>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</si>
  <si>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</si>
  <si>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</si>
  <si>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</si>
  <si>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</si>
  <si>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</si>
  <si>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</si>
  <si>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</si>
  <si>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</si>
  <si>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</si>
  <si>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</si>
  <si>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</si>
  <si>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</si>
  <si>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</si>
  <si>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</si>
  <si>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</si>
  <si>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</si>
  <si>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</si>
  <si>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</si>
  <si>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</si>
  <si>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</si>
  <si>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</si>
  <si>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</si>
  <si>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</si>
  <si>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</si>
  <si>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</si>
  <si>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</si>
  <si>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</si>
  <si>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</si>
  <si>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</si>
  <si>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</si>
  <si>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</si>
  <si>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</si>
  <si>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</si>
  <si>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</si>
  <si>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</si>
  <si>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</si>
  <si>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</si>
  <si>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</si>
  <si>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</si>
  <si>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</si>
  <si>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</si>
  <si>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</si>
  <si>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</si>
  <si>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</si>
  <si>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</si>
  <si>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</si>
  <si>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</si>
  <si>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</si>
  <si>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</si>
  <si>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</si>
  <si>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</si>
  <si>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Hewlett-Packard Co</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</si>
  <si>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</si>
  <si>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</si>
  <si>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</si>
  <si>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</si>
  <si>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</si>
  <si>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</si>
  <si>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</si>
  <si>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</si>
  <si>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</si>
  <si>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</si>
  <si>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</si>
  <si>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</si>
  <si>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</si>
  <si>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</si>
  <si>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</si>
  <si>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</si>
  <si>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</si>
  <si>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</si>
  <si>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</si>
  <si>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</si>
  <si>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</si>
  <si>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Abs. Liquidity</t>
  </si>
  <si>
    <t>Wgt. Increase</t>
  </si>
  <si>
    <t>Wgt. Decrease</t>
  </si>
  <si>
    <t># Buys</t>
  </si>
  <si>
    <t># Sells</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</si>
  <si>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</si>
  <si>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</si>
  <si>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</si>
  <si>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</si>
  <si>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</si>
  <si>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</si>
  <si>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</si>
  <si>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</si>
  <si>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</si>
  <si>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</si>
  <si>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</si>
  <si>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</si>
  <si>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</si>
  <si>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</si>
  <si>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</si>
  <si>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</si>
  <si>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</si>
  <si>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</si>
  <si>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</si>
  <si>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</si>
  <si>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</si>
  <si>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</si>
  <si>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</si>
  <si>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</si>
  <si>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</si>
  <si>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</si>
  <si>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</si>
  <si>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</si>
  <si>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</si>
  <si>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</si>
  <si>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</si>
  <si>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</si>
  <si>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</si>
  <si>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</si>
  <si>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</si>
  <si>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</si>
  <si>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</si>
  <si>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</si>
  <si>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</si>
  <si>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</si>
  <si>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</si>
  <si>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</si>
  <si>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</si>
  <si>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</si>
  <si>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</si>
  <si>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</si>
  <si>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</si>
  <si>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</si>
  <si>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</si>
  <si>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</si>
  <si>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</si>
  <si>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</si>
  <si>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</si>
  <si>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</si>
  <si>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</si>
  <si>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</si>
  <si>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</si>
  <si>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</si>
  <si>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</si>
  <si>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</si>
  <si>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</si>
  <si>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</si>
  <si>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</si>
  <si>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</si>
  <si>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</si>
  <si>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</si>
  <si>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</si>
  <si>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</si>
  <si>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</si>
  <si>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</si>
  <si>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</si>
  <si>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</si>
  <si>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</si>
  <si>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</si>
  <si>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</si>
  <si>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</si>
  <si>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</si>
  <si>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</si>
  <si>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</si>
  <si>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</si>
  <si>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</si>
  <si>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</si>
  <si>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</si>
  <si>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</si>
  <si>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</si>
  <si>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</si>
  <si>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</si>
  <si>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</si>
  <si>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</si>
  <si>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</si>
  <si>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</si>
  <si>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</si>
  <si>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</si>
  <si>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</si>
  <si>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</si>
  <si>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</si>
  <si>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</si>
  <si>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</si>
  <si>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</si>
  <si>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</si>
  <si>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</si>
  <si>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</si>
  <si>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</si>
  <si>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</si>
  <si>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</si>
  <si>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</si>
  <si>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</si>
  <si>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</si>
  <si>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</si>
  <si>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</si>
  <si>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</si>
  <si>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</si>
  <si>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B1Z77F6</t>
  </si>
  <si>
    <t>B020QX2</t>
  </si>
  <si>
    <t>B121557</t>
  </si>
  <si>
    <t>B2PKRQ3</t>
  </si>
  <si>
    <t>B01R311</t>
  </si>
  <si>
    <t>B63QTN2</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</si>
  <si>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</si>
  <si>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</si>
  <si>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</si>
  <si>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</si>
  <si>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</si>
  <si>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</si>
  <si>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</si>
  <si>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</si>
  <si>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</si>
  <si>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</si>
  <si>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</si>
  <si>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</si>
  <si>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</si>
  <si>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United Parcel Service Inc B</t>
  </si>
  <si>
    <t>US Bancorp</t>
  </si>
  <si>
    <t>United Technologies Corp</t>
  </si>
  <si>
    <t>Verizon Communications Inc</t>
  </si>
  <si>
    <t>Wells Fargo &amp; Co</t>
  </si>
  <si>
    <t>Wal-Mart Stores</t>
  </si>
  <si>
    <t>Weyerhaeuser Co</t>
  </si>
  <si>
    <t>Exxon Mobil Corp</t>
  </si>
  <si>
    <t>Xerox Corp</t>
  </si>
  <si>
    <t>Prim. Ticker</t>
  </si>
  <si>
    <t>AA UN</t>
  </si>
  <si>
    <t>ABT UN</t>
  </si>
  <si>
    <t>AEP UN</t>
  </si>
  <si>
    <t>ALL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</si>
  <si>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</si>
  <si>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</si>
  <si>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</si>
  <si>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</si>
  <si>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</si>
  <si>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</si>
  <si>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</si>
  <si>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</si>
  <si>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</si>
  <si>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</si>
  <si>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</si>
  <si>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</si>
  <si>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</si>
  <si>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</si>
  <si>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</si>
  <si>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</si>
  <si>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</si>
  <si>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</si>
  <si>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</si>
  <si>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</si>
  <si>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</si>
  <si>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</si>
  <si>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</si>
  <si>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</si>
  <si>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</si>
  <si>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</si>
  <si>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</si>
  <si>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</si>
  <si>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</si>
  <si>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</si>
  <si>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</si>
  <si>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</si>
  <si>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</si>
  <si>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</si>
  <si>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</si>
  <si>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</si>
  <si>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</si>
  <si>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</si>
  <si>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</si>
  <si>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</si>
  <si>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</si>
  <si>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</si>
  <si>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</si>
  <si>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</si>
  <si>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</si>
  <si>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</si>
  <si>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</si>
  <si>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</si>
  <si>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</si>
  <si>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</si>
  <si>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</si>
  <si>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</si>
  <si>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</si>
  <si>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</si>
  <si>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</si>
  <si>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</si>
  <si>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</si>
  <si>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</si>
  <si>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</si>
  <si>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</si>
  <si>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</si>
  <si>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</si>
  <si>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</si>
  <si>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</si>
  <si>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</si>
  <si>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</si>
  <si>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</si>
  <si>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</si>
  <si>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</si>
  <si>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</si>
  <si>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</si>
  <si>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</si>
  <si>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</si>
  <si>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</si>
  <si>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</si>
  <si>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</si>
  <si>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</si>
  <si>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</si>
  <si>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</si>
  <si>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</si>
  <si>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</si>
  <si>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</si>
  <si>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</si>
  <si>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</si>
  <si>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</si>
  <si>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</si>
  <si>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</si>
  <si>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</si>
  <si>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</si>
  <si>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</si>
  <si>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</si>
  <si>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</si>
  <si>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</si>
  <si>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</si>
  <si>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</si>
  <si>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</si>
  <si>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</si>
  <si>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A</t>
  </si>
  <si>
    <t>ABC</t>
  </si>
  <si>
    <t>ADBE</t>
  </si>
  <si>
    <t>ADI</t>
  </si>
  <si>
    <t>ADM</t>
  </si>
  <si>
    <t>ADP</t>
  </si>
  <si>
    <t>ADSK</t>
  </si>
  <si>
    <t>AEE</t>
  </si>
  <si>
    <t>AES</t>
  </si>
  <si>
    <t>AET</t>
  </si>
  <si>
    <t>AFL</t>
  </si>
  <si>
    <t>AGN</t>
  </si>
  <si>
    <t>AIG</t>
  </si>
  <si>
    <t>AIV</t>
  </si>
  <si>
    <t>AIZ</t>
  </si>
  <si>
    <t>AKAM</t>
  </si>
  <si>
    <t>ALTR</t>
  </si>
  <si>
    <t>AMAT</t>
  </si>
  <si>
    <t>AMP</t>
  </si>
  <si>
    <t>AMT</t>
  </si>
  <si>
    <t>AN</t>
  </si>
  <si>
    <t>APA</t>
  </si>
  <si>
    <t>APC</t>
  </si>
  <si>
    <t>APD</t>
  </si>
  <si>
    <t>APH</t>
  </si>
  <si>
    <t>AVB</t>
  </si>
  <si>
    <t>AVY</t>
  </si>
  <si>
    <t>AZO</t>
  </si>
  <si>
    <t>BBBY</t>
  </si>
  <si>
    <t>BBT</t>
  </si>
  <si>
    <t>BBY</t>
  </si>
  <si>
    <t>BCR</t>
  </si>
  <si>
    <t>BDX</t>
  </si>
  <si>
    <t>BEN</t>
  </si>
  <si>
    <t>BF/B</t>
  </si>
  <si>
    <t>BIIB</t>
  </si>
  <si>
    <t>BLL</t>
  </si>
  <si>
    <t>BRCM</t>
  </si>
  <si>
    <t>BSX</t>
  </si>
  <si>
    <t>BXP</t>
  </si>
  <si>
    <t>CA</t>
  </si>
  <si>
    <t>CAG</t>
  </si>
  <si>
    <t>CAH</t>
  </si>
  <si>
    <t>CAM</t>
  </si>
  <si>
    <t>CB</t>
  </si>
  <si>
    <t>CBG</t>
  </si>
  <si>
    <t>CBS</t>
  </si>
  <si>
    <t>CCE</t>
  </si>
  <si>
    <t>CCL</t>
  </si>
  <si>
    <t>CELG</t>
  </si>
  <si>
    <t>CF</t>
  </si>
  <si>
    <t>CHK</t>
  </si>
  <si>
    <t>CHRW</t>
  </si>
  <si>
    <t>CI</t>
  </si>
  <si>
    <t>CINF</t>
  </si>
  <si>
    <t>CLX</t>
  </si>
  <si>
    <t>CMA</t>
  </si>
  <si>
    <t>CME</t>
  </si>
  <si>
    <t>CMI</t>
  </si>
  <si>
    <t>CMS</t>
  </si>
  <si>
    <t>CNP</t>
  </si>
  <si>
    <t>CNX</t>
  </si>
  <si>
    <t>COG</t>
  </si>
  <si>
    <t>COH</t>
  </si>
  <si>
    <t>COL</t>
  </si>
  <si>
    <t>CRM</t>
  </si>
  <si>
    <t>CSC</t>
  </si>
  <si>
    <t>CSX</t>
  </si>
  <si>
    <t>CTAS</t>
  </si>
  <si>
    <t>CTL</t>
  </si>
  <si>
    <t>CTSH</t>
  </si>
  <si>
    <t>CTXS</t>
  </si>
  <si>
    <t>D</t>
  </si>
  <si>
    <t>DE</t>
  </si>
  <si>
    <t>DFS</t>
  </si>
  <si>
    <t>DGX</t>
  </si>
  <si>
    <t>DHI</t>
  </si>
  <si>
    <t>DHR</t>
  </si>
  <si>
    <t>DNB</t>
  </si>
  <si>
    <t>DO</t>
  </si>
  <si>
    <t>DOV</t>
  </si>
  <si>
    <t>DPS</t>
  </si>
  <si>
    <t>DRI</t>
  </si>
  <si>
    <t>DTE</t>
  </si>
  <si>
    <t>DUK</t>
  </si>
  <si>
    <t>DVA</t>
  </si>
  <si>
    <t>EBAY</t>
  </si>
  <si>
    <t>ECL</t>
  </si>
  <si>
    <t>ED</t>
  </si>
  <si>
    <t>EFX</t>
  </si>
  <si>
    <t>EIX</t>
  </si>
  <si>
    <t>EL</t>
  </si>
  <si>
    <t>EMN</t>
  </si>
  <si>
    <t>EMR</t>
  </si>
  <si>
    <t>EOG</t>
  </si>
  <si>
    <t>EQR</t>
  </si>
  <si>
    <t>EQT</t>
  </si>
  <si>
    <t>ESRX</t>
  </si>
  <si>
    <t>ETFC</t>
  </si>
  <si>
    <t>ETN</t>
  </si>
  <si>
    <t>EXPD</t>
  </si>
  <si>
    <t>EXPE</t>
  </si>
  <si>
    <t>FAST</t>
  </si>
  <si>
    <t>FCX</t>
  </si>
  <si>
    <t>FE</t>
  </si>
  <si>
    <t>FIS</t>
  </si>
  <si>
    <t>FISV</t>
  </si>
  <si>
    <t>FITB</t>
  </si>
  <si>
    <t>FLIR</t>
  </si>
  <si>
    <t>FLR</t>
  </si>
  <si>
    <t>FLS</t>
  </si>
  <si>
    <t>FMC</t>
  </si>
  <si>
    <t>FTI</t>
  </si>
  <si>
    <t>FTR</t>
  </si>
  <si>
    <t>GIS</t>
  </si>
  <si>
    <t>GLW</t>
  </si>
  <si>
    <t>GME</t>
  </si>
  <si>
    <t>GNW</t>
  </si>
  <si>
    <t>GPC</t>
  </si>
  <si>
    <t>GPS</t>
  </si>
  <si>
    <t>GT</t>
  </si>
  <si>
    <t>GWW</t>
  </si>
  <si>
    <t>HAR</t>
  </si>
  <si>
    <t>HAS</t>
  </si>
  <si>
    <t>HBAN</t>
  </si>
  <si>
    <t>HCBK</t>
  </si>
  <si>
    <t>HCN</t>
  </si>
  <si>
    <t>HCP</t>
  </si>
  <si>
    <t>HES</t>
  </si>
  <si>
    <t>HIG</t>
  </si>
  <si>
    <t>HOG</t>
  </si>
  <si>
    <t>HOT</t>
  </si>
  <si>
    <t>HRB</t>
  </si>
  <si>
    <t>HRL</t>
  </si>
  <si>
    <t>HRS</t>
  </si>
  <si>
    <t>HSP</t>
  </si>
  <si>
    <t>HST</t>
  </si>
  <si>
    <t>HSY</t>
  </si>
  <si>
    <t>HUM</t>
  </si>
  <si>
    <t>ICE</t>
  </si>
  <si>
    <t>IFF</t>
  </si>
  <si>
    <t>INTU</t>
  </si>
  <si>
    <t>IP</t>
  </si>
  <si>
    <t>IPG</t>
  </si>
  <si>
    <t>IRM</t>
  </si>
  <si>
    <t>ISRG</t>
  </si>
  <si>
    <t>ITW</t>
  </si>
  <si>
    <t>IVZ</t>
  </si>
  <si>
    <t>JCI</t>
  </si>
  <si>
    <t>JEC</t>
  </si>
  <si>
    <t>JNPR</t>
  </si>
  <si>
    <t>JWN</t>
  </si>
  <si>
    <t>K</t>
  </si>
  <si>
    <t>KEY</t>
  </si>
  <si>
    <t>KIM</t>
  </si>
  <si>
    <t>KLAC</t>
  </si>
  <si>
    <t>KMB</t>
  </si>
  <si>
    <t>KR</t>
  </si>
  <si>
    <t>KSS</t>
  </si>
  <si>
    <t>L</t>
  </si>
  <si>
    <t>LEG</t>
  </si>
  <si>
    <t>LEN</t>
  </si>
  <si>
    <t>LH</t>
  </si>
  <si>
    <t>LLL</t>
  </si>
  <si>
    <t>LLTC</t>
  </si>
  <si>
    <t>LLY</t>
  </si>
  <si>
    <t>LM</t>
  </si>
  <si>
    <t>LNC</t>
  </si>
  <si>
    <t>LUK</t>
  </si>
  <si>
    <t>LUV</t>
  </si>
  <si>
    <t>M</t>
  </si>
  <si>
    <t>MAR</t>
  </si>
  <si>
    <t>MAS</t>
  </si>
  <si>
    <t>MAT</t>
  </si>
  <si>
    <t>MCHP</t>
  </si>
  <si>
    <t>MCK</t>
  </si>
  <si>
    <t>MCO</t>
  </si>
  <si>
    <t>MKC</t>
  </si>
  <si>
    <t>MMC</t>
  </si>
  <si>
    <t>MRO</t>
  </si>
  <si>
    <t>MTB</t>
  </si>
  <si>
    <t>MU</t>
  </si>
  <si>
    <t>MUR</t>
  </si>
  <si>
    <t>MYL</t>
  </si>
  <si>
    <t>NBL</t>
  </si>
  <si>
    <t>GMCR</t>
  </si>
  <si>
    <t>Chipotle Mexican Grill Inc.</t>
  </si>
  <si>
    <t>ACE UN</t>
  </si>
  <si>
    <t>BRK/B UN</t>
  </si>
  <si>
    <t>DISCA UQ</t>
  </si>
  <si>
    <t>IR UN</t>
  </si>
  <si>
    <t>MJN UN</t>
  </si>
  <si>
    <t>MU UQ</t>
  </si>
  <si>
    <t>NRG UN</t>
  </si>
  <si>
    <t>NEE UN</t>
  </si>
  <si>
    <t>SCHW UN</t>
  </si>
  <si>
    <t>TYC UN</t>
  </si>
  <si>
    <t>ACE Limited</t>
  </si>
  <si>
    <t>Berkshire Hathaway B</t>
  </si>
  <si>
    <t>CenturyLink Inc</t>
  </si>
  <si>
    <t>Comcast Corp</t>
  </si>
  <si>
    <t>Ingersoll-Rand Plc</t>
  </si>
  <si>
    <t>Lennar Corp</t>
  </si>
  <si>
    <t>Mead Johnson Nutrition Co</t>
  </si>
  <si>
    <t>NRG Energy</t>
  </si>
  <si>
    <t>News Corporation</t>
  </si>
  <si>
    <t>NextEra Energy Inc</t>
  </si>
  <si>
    <t>Pulte Group Inc</t>
  </si>
  <si>
    <t>Stanley Black &amp; Decker</t>
  </si>
  <si>
    <t>Tyco Intl</t>
  </si>
  <si>
    <t>Viacom Inc B</t>
  </si>
  <si>
    <t>Visa Inc</t>
  </si>
  <si>
    <t>XL Group Plc</t>
  </si>
  <si>
    <t>ACE</t>
  </si>
  <si>
    <t>BRK/B</t>
  </si>
  <si>
    <t>DISCA</t>
  </si>
  <si>
    <t>IR</t>
  </si>
  <si>
    <t>MJN</t>
  </si>
  <si>
    <t>NRG</t>
  </si>
  <si>
    <t>NEE</t>
  </si>
  <si>
    <t>ROST</t>
  </si>
  <si>
    <t>TYC</t>
  </si>
  <si>
    <t>V</t>
  </si>
  <si>
    <t>B3BQMF6</t>
  </si>
  <si>
    <t>B42BPG9</t>
  </si>
  <si>
    <t>B3D7K31</t>
  </si>
  <si>
    <t>B633030</t>
  </si>
  <si>
    <t>B4W9F29</t>
  </si>
  <si>
    <t>B3Q2FJ4</t>
  </si>
  <si>
    <t>B5LRLL2</t>
  </si>
  <si>
    <t>CVC</t>
  </si>
  <si>
    <t>MSI</t>
  </si>
  <si>
    <t>CVC UN</t>
  </si>
  <si>
    <t>HAS UQ</t>
  </si>
  <si>
    <t>MSI UN</t>
  </si>
  <si>
    <t>B5BKPQ4</t>
  </si>
  <si>
    <t>B65LWX6</t>
  </si>
  <si>
    <t>Cablevision Systems Co A</t>
  </si>
  <si>
    <t>PORTFOLIO TOTAL Shares to Trade</t>
  </si>
  <si>
    <t>NET TOTAL Liquidity</t>
  </si>
  <si>
    <t>WFM UQ</t>
  </si>
  <si>
    <t>BLK UN</t>
  </si>
  <si>
    <t>WFM</t>
  </si>
  <si>
    <t>BLK</t>
  </si>
  <si>
    <t>BlackRock Inc</t>
  </si>
  <si>
    <t>B44WZD7</t>
  </si>
  <si>
    <t>MPC UN</t>
  </si>
  <si>
    <t>ACN UN</t>
  </si>
  <si>
    <t>MPC</t>
  </si>
  <si>
    <t>ACN</t>
  </si>
  <si>
    <t>Marathon Petroleum Corp.</t>
  </si>
  <si>
    <t>Accenture plc</t>
  </si>
  <si>
    <t>Ralph Lauren Corp</t>
  </si>
  <si>
    <t>B3K3L40</t>
  </si>
  <si>
    <t>B4BNMY3</t>
  </si>
  <si>
    <t>B4V9661</t>
  </si>
  <si>
    <t>PVH Corp</t>
  </si>
  <si>
    <t>B3V9F12</t>
  </si>
  <si>
    <t>JOY UN</t>
  </si>
  <si>
    <t>MOS UN</t>
  </si>
  <si>
    <t>TEL UN</t>
  </si>
  <si>
    <t>VIAB UQ</t>
  </si>
  <si>
    <t>XYL UN</t>
  </si>
  <si>
    <t>Cigna Corporation</t>
  </si>
  <si>
    <t>Mosaic Co</t>
  </si>
  <si>
    <t>TE Connectivity Ltd.</t>
  </si>
  <si>
    <t>Xylem Inc</t>
  </si>
  <si>
    <t>JOY</t>
  </si>
  <si>
    <t>MOS</t>
  </si>
  <si>
    <t>TEL</t>
  </si>
  <si>
    <t>VIAB</t>
  </si>
  <si>
    <t>XYL</t>
  </si>
  <si>
    <t>B6WVMH3</t>
  </si>
  <si>
    <t>B3NPHP6</t>
  </si>
  <si>
    <t>B62B7C3</t>
  </si>
  <si>
    <t>B3P2CN8</t>
  </si>
  <si>
    <t>SIG UN</t>
  </si>
  <si>
    <t>Signet Jewelers Ltd</t>
  </si>
  <si>
    <t>SIG</t>
  </si>
  <si>
    <t>B3CTNK6</t>
  </si>
  <si>
    <t>GAS UN</t>
  </si>
  <si>
    <t>EA UQ</t>
  </si>
  <si>
    <t>FTR UQ</t>
  </si>
  <si>
    <t>TXN UQ</t>
  </si>
  <si>
    <t>TRIP UQ</t>
  </si>
  <si>
    <t>GAS</t>
  </si>
  <si>
    <t>EA</t>
  </si>
  <si>
    <t>TRIP</t>
  </si>
  <si>
    <t>B7FBFL2</t>
  </si>
  <si>
    <t>B748CK2</t>
  </si>
  <si>
    <t>B6ZC3N6</t>
  </si>
  <si>
    <t>The Williams Companies Inc</t>
  </si>
  <si>
    <t>TripAdvisor Inc.</t>
  </si>
  <si>
    <t>MNST UQ</t>
  </si>
  <si>
    <t>MNST</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</si>
  <si>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</si>
  <si>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</si>
  <si>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</si>
  <si>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</si>
  <si>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</si>
  <si>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</si>
  <si>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</si>
  <si>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</si>
  <si>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</si>
  <si>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</si>
  <si>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</si>
  <si>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</si>
  <si>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</si>
  <si>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</si>
  <si>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</si>
  <si>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</si>
  <si>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B5BT0K0</t>
  </si>
  <si>
    <t>B7QQYV9</t>
  </si>
  <si>
    <t>B3NQ4P8</t>
  </si>
  <si>
    <t>B78C4Y8</t>
  </si>
  <si>
    <t>Source: S&amp;P, Bloomberg</t>
  </si>
  <si>
    <t>DG</t>
  </si>
  <si>
    <t>ESV</t>
  </si>
  <si>
    <t>GRMN</t>
  </si>
  <si>
    <t>LYB</t>
  </si>
  <si>
    <t>MDLZ</t>
  </si>
  <si>
    <t>STX</t>
  </si>
  <si>
    <t>ADT</t>
  </si>
  <si>
    <t>DG UN</t>
  </si>
  <si>
    <t>ESV UN</t>
  </si>
  <si>
    <t>GRMN UQ</t>
  </si>
  <si>
    <t>LYB UN</t>
  </si>
  <si>
    <t>MDLZ UQ</t>
  </si>
  <si>
    <t>STX UQ</t>
  </si>
  <si>
    <t>ADT UN</t>
  </si>
  <si>
    <t>B5B1S13</t>
  </si>
  <si>
    <t>B7VD3F2</t>
  </si>
  <si>
    <t>B8KQN82</t>
  </si>
  <si>
    <t>B4VLR19</t>
  </si>
  <si>
    <t>B3Z5T14</t>
  </si>
  <si>
    <t>B3SPXZ3</t>
  </si>
  <si>
    <t>B8CKK03</t>
  </si>
  <si>
    <t>B58JVZ5</t>
  </si>
  <si>
    <t>B8DMK08</t>
  </si>
  <si>
    <t>B7XWRM2</t>
  </si>
  <si>
    <t>DaVita HealthCare Partners Inc</t>
  </si>
  <si>
    <t>Dollar General Corp</t>
  </si>
  <si>
    <t>E. I. du Pont de Nemours and Company</t>
  </si>
  <si>
    <t>Eaton Corp plc</t>
  </si>
  <si>
    <t>Ensco PLC - CL A</t>
  </si>
  <si>
    <t>Garmin Ltd</t>
  </si>
  <si>
    <t>LyondellBasell Industries N.V.</t>
  </si>
  <si>
    <t>Mondelez International Inc</t>
  </si>
  <si>
    <t>Seagate Technology</t>
  </si>
  <si>
    <t>The ADT Corp.</t>
  </si>
  <si>
    <t>Bard C.R. Inc</t>
  </si>
  <si>
    <t>Becton Dickinson &amp; Co</t>
  </si>
  <si>
    <t>CBRE Group Inc.</t>
  </si>
  <si>
    <t>Grainger W.W. Inc</t>
  </si>
  <si>
    <t>Horton D.R. Inc</t>
  </si>
  <si>
    <t>Hospira Inc</t>
  </si>
  <si>
    <t>Lilly Eli &amp; Co</t>
  </si>
  <si>
    <t>Motorola Solutions Inc</t>
  </si>
  <si>
    <t>ProLogis Inc</t>
  </si>
  <si>
    <t>Schwab Charles Corp</t>
  </si>
  <si>
    <t>Smucker J.M. Co</t>
  </si>
  <si>
    <t>Hunt J.B. Transport Services</t>
  </si>
  <si>
    <t>Schein Henry Inc</t>
  </si>
  <si>
    <t>ABBV UN</t>
  </si>
  <si>
    <t>DLPH UN</t>
  </si>
  <si>
    <t>GT UQ</t>
  </si>
  <si>
    <t>ABBV</t>
  </si>
  <si>
    <t>DLPH</t>
  </si>
  <si>
    <t>B92SR70</t>
  </si>
  <si>
    <t>B783TY6</t>
  </si>
  <si>
    <t>AbbVie Inc.</t>
  </si>
  <si>
    <t>CME Group Inc</t>
  </si>
  <si>
    <t>Delphi Automotive PLC</t>
  </si>
  <si>
    <t>MHFI UN</t>
  </si>
  <si>
    <t>MHFI</t>
  </si>
  <si>
    <t>B9M2WX3</t>
  </si>
  <si>
    <t>L Brands Inc</t>
  </si>
  <si>
    <t>McGraw Hill Financial Inc</t>
  </si>
  <si>
    <t>GM</t>
  </si>
  <si>
    <t>GM UN</t>
  </si>
  <si>
    <t>B665KZ5</t>
  </si>
  <si>
    <t>NLSN UN</t>
  </si>
  <si>
    <t>NLSN</t>
  </si>
  <si>
    <t>ORCL UN</t>
  </si>
  <si>
    <t>FOXA</t>
  </si>
  <si>
    <t>PRGO UN</t>
  </si>
  <si>
    <t>ZTS UN</t>
  </si>
  <si>
    <t>ZTS</t>
  </si>
  <si>
    <t>General Motors Company</t>
  </si>
  <si>
    <t>Twenty-First Century Fox, Inc</t>
  </si>
  <si>
    <t>Fossil Group Inc</t>
  </si>
  <si>
    <t>Zoetis Inc</t>
  </si>
  <si>
    <t>B4NTRF5</t>
  </si>
  <si>
    <t>BBM4S68</t>
  </si>
  <si>
    <t>BBGT609</t>
  </si>
  <si>
    <t>BBGVT40</t>
  </si>
  <si>
    <t>B95WG16</t>
  </si>
  <si>
    <t>MNK</t>
  </si>
  <si>
    <t>Mallinckrodt plc</t>
  </si>
  <si>
    <t>BJ3V905</t>
  </si>
  <si>
    <t>2445416</t>
  </si>
  <si>
    <t>2923785</t>
  </si>
  <si>
    <t>2724193</t>
  </si>
  <si>
    <t>2096847</t>
  </si>
  <si>
    <t>2822019</t>
  </si>
  <si>
    <t>2961053</t>
  </si>
  <si>
    <t>2134781</t>
  </si>
  <si>
    <t>2416962</t>
  </si>
  <si>
    <t>Endo International plc</t>
  </si>
  <si>
    <t>AME UN</t>
  </si>
  <si>
    <t>AMG UN</t>
  </si>
  <si>
    <t>ALLE UN</t>
  </si>
  <si>
    <t>ADS UN</t>
  </si>
  <si>
    <t>AVGO UQ</t>
  </si>
  <si>
    <t>XEC UN</t>
  </si>
  <si>
    <t>DAL UN</t>
  </si>
  <si>
    <t>DISCK UQ</t>
  </si>
  <si>
    <t>ESS UN</t>
  </si>
  <si>
    <t>FB UQ</t>
  </si>
  <si>
    <t>GGP UN</t>
  </si>
  <si>
    <t>GOOGL UQ</t>
  </si>
  <si>
    <t>GMCR UQ</t>
  </si>
  <si>
    <t>LB UN</t>
  </si>
  <si>
    <t>MNK UN</t>
  </si>
  <si>
    <t>MAR UQ</t>
  </si>
  <si>
    <t>MLM UN</t>
  </si>
  <si>
    <t>KORS UN</t>
  </si>
  <si>
    <t>MHK UN</t>
  </si>
  <si>
    <t>NAVI UQ</t>
  </si>
  <si>
    <t>TSCO UQ</t>
  </si>
  <si>
    <t>RIG UN</t>
  </si>
  <si>
    <t>UA UN</t>
  </si>
  <si>
    <t>VRTX UQ</t>
  </si>
  <si>
    <t>ALLE</t>
  </si>
  <si>
    <t>AVGO</t>
  </si>
  <si>
    <t>DAL</t>
  </si>
  <si>
    <t>DISCK</t>
  </si>
  <si>
    <t>FB</t>
  </si>
  <si>
    <t>GGP</t>
  </si>
  <si>
    <t>GOOGL</t>
  </si>
  <si>
    <t>LB</t>
  </si>
  <si>
    <t>KORS</t>
  </si>
  <si>
    <t>NAVI</t>
  </si>
  <si>
    <t>RIG</t>
  </si>
  <si>
    <t>BFRT3W7</t>
  </si>
  <si>
    <t>B3WS2X9</t>
  </si>
  <si>
    <t>B1W9D46</t>
  </si>
  <si>
    <t>B3D7KG4</t>
  </si>
  <si>
    <t>B7TL820</t>
  </si>
  <si>
    <t>B56VLR5</t>
  </si>
  <si>
    <t>BKM4JZ7</t>
  </si>
  <si>
    <t>BFSSDS9</t>
  </si>
  <si>
    <t>BKQVM44</t>
  </si>
  <si>
    <t>BBJTYC4</t>
  </si>
  <si>
    <t>B7341C6</t>
  </si>
  <si>
    <t>BLP5GX1</t>
  </si>
  <si>
    <t>BLS09M3</t>
  </si>
  <si>
    <t>BGH1M56</t>
  </si>
  <si>
    <t>B3KFWW1</t>
  </si>
  <si>
    <t>B0PZN11</t>
  </si>
  <si>
    <t>Allegion plc</t>
  </si>
  <si>
    <t>Avago Technologies Ltd</t>
  </si>
  <si>
    <t>Delta Air Lines</t>
  </si>
  <si>
    <t>Facebook Inc</t>
  </si>
  <si>
    <t>Freeport-McMoRan Inc</t>
  </si>
  <si>
    <t>General Growth Properties Inc</t>
  </si>
  <si>
    <t>Google Inc A</t>
  </si>
  <si>
    <t>Google Inc C</t>
  </si>
  <si>
    <t>Intercontinental Exchange Inc</t>
  </si>
  <si>
    <t>Keurig Green Mountain Inc</t>
  </si>
  <si>
    <t>Michael Kors Holdings Ltd</t>
  </si>
  <si>
    <t>Navient Corp</t>
  </si>
  <si>
    <t>Nielsen NV</t>
  </si>
  <si>
    <t>Pentair PLC</t>
  </si>
  <si>
    <t>Perrigo Company plc</t>
  </si>
  <si>
    <t>The Priceline Group Inc</t>
  </si>
  <si>
    <t>Transocean Ltd</t>
  </si>
  <si>
    <t>S&amp;P 500 September 2014 Annual Float Review &amp; Quarterly Share Rebalance (PROJECTIONS)</t>
  </si>
  <si>
    <t>S&amp;P 500 Index September 2015 Multiple Share Review, Annual Float Review, &amp; Quarterly Share Rebalance (PROJECTIONS)</t>
  </si>
  <si>
    <t>Effective at the close on September 18, 2015</t>
  </si>
  <si>
    <t>Note: S&amp;P Annual Float Review and Quarterly Share Rebalance changes will be announced after the U.S. close on September 4, 2015. Trade values are measured in millions of USD.</t>
  </si>
  <si>
    <t>Price (12Aug15)</t>
  </si>
  <si>
    <t>AAL UQ</t>
  </si>
  <si>
    <t>ANTM UN</t>
  </si>
  <si>
    <t>BXLT UN</t>
  </si>
  <si>
    <t>CPGX UN</t>
  </si>
  <si>
    <t>ES UN</t>
  </si>
  <si>
    <t>FOXA.OQ</t>
  </si>
  <si>
    <t>HCA UN</t>
  </si>
  <si>
    <t>KHC UQ</t>
  </si>
  <si>
    <t>LVLT UN</t>
  </si>
  <si>
    <t>PYPL UQ</t>
  </si>
  <si>
    <t>QRVO.OQ</t>
  </si>
  <si>
    <t>RCL UN</t>
  </si>
  <si>
    <t>ROP.N</t>
  </si>
  <si>
    <t>TGNA UN</t>
  </si>
  <si>
    <t>WBA UQ</t>
  </si>
  <si>
    <t>WRK UN</t>
  </si>
  <si>
    <t>ZBH UN</t>
  </si>
  <si>
    <t>AAL</t>
  </si>
  <si>
    <t>ANTM</t>
  </si>
  <si>
    <t>BXLT</t>
  </si>
  <si>
    <t>CPGX</t>
  </si>
  <si>
    <t>ES</t>
  </si>
  <si>
    <t>HCA</t>
  </si>
  <si>
    <t>KHC</t>
  </si>
  <si>
    <t>LVLT</t>
  </si>
  <si>
    <t>PYPL</t>
  </si>
  <si>
    <t>QRVO</t>
  </si>
  <si>
    <t>RCL</t>
  </si>
  <si>
    <t>TGNA</t>
  </si>
  <si>
    <t>WBA</t>
  </si>
  <si>
    <t>WRK</t>
  </si>
  <si>
    <t>ZBH</t>
  </si>
  <si>
    <t>American Airlines Group Inc.</t>
  </si>
  <si>
    <t>Allergan plc</t>
  </si>
  <si>
    <t>Anthem Inc</t>
  </si>
  <si>
    <t>Biogen Inc</t>
  </si>
  <si>
    <t>Baxalta Inc</t>
  </si>
  <si>
    <t>Columbia Pipeline Group</t>
  </si>
  <si>
    <t>CVS Health Corporation</t>
  </si>
  <si>
    <t>Discovery Communications Inc A</t>
  </si>
  <si>
    <t>Discovery Communications Inc C</t>
  </si>
  <si>
    <t>Eversource Energy</t>
  </si>
  <si>
    <t>Twenty-First Century Fox</t>
  </si>
  <si>
    <t>HCA Holdings Inc</t>
  </si>
  <si>
    <t>The Kraft Heinz Company</t>
  </si>
  <si>
    <t>Level 3 Communications</t>
  </si>
  <si>
    <t>Medtronic plc</t>
  </si>
  <si>
    <t>Monster Beverage Corp New</t>
  </si>
  <si>
    <t>Mylan NV</t>
  </si>
  <si>
    <t>PayPal Holdings Inc.</t>
  </si>
  <si>
    <t>Qorvo</t>
  </si>
  <si>
    <t>Royal Caribbean Cruises Ltd</t>
  </si>
  <si>
    <t>Roper Technologies</t>
  </si>
  <si>
    <t>TEGNA Inc</t>
  </si>
  <si>
    <t>Walgreens Boots Alliance Inc</t>
  </si>
  <si>
    <t>WEC Energy Group Inc</t>
  </si>
  <si>
    <t>WestRock Co</t>
  </si>
  <si>
    <t>Zimmer Biomet Holdings Inc</t>
  </si>
  <si>
    <t>FOX</t>
  </si>
  <si>
    <t>CMCSK</t>
  </si>
  <si>
    <t>NWS</t>
  </si>
  <si>
    <t>FOX UW</t>
  </si>
  <si>
    <t>CMCSK UW</t>
  </si>
  <si>
    <t>NWS UW</t>
  </si>
  <si>
    <t>8259P706</t>
  </si>
  <si>
    <t>0030N200</t>
  </si>
  <si>
    <t>2089687</t>
  </si>
  <si>
    <t>0303M102</t>
  </si>
  <si>
    <t>0130A200</t>
  </si>
  <si>
    <t>BBM4S80</t>
  </si>
  <si>
    <t>84670702</t>
  </si>
  <si>
    <t>2073390</t>
  </si>
  <si>
    <t>9456B101</t>
  </si>
  <si>
    <t>7045V100</t>
  </si>
  <si>
    <t>31142103</t>
  </si>
  <si>
    <t>2936921</t>
  </si>
  <si>
    <t>0412C101</t>
  </si>
  <si>
    <t>B4MGBG6</t>
  </si>
  <si>
    <t>2826C839</t>
  </si>
  <si>
    <t>43315103</t>
  </si>
  <si>
    <t>2705024</t>
  </si>
  <si>
    <t>23135106</t>
  </si>
  <si>
    <t>2000019</t>
  </si>
  <si>
    <t>5249B208</t>
  </si>
  <si>
    <t>BBGVT51</t>
  </si>
  <si>
    <t>69604103</t>
  </si>
  <si>
    <t>2380498</t>
  </si>
  <si>
    <t>1945C103</t>
  </si>
  <si>
    <t>17081103</t>
  </si>
  <si>
    <t>2684703</t>
  </si>
  <si>
    <t>5339F101</t>
  </si>
  <si>
    <t>2328915</t>
  </si>
  <si>
    <t>0206R102</t>
  </si>
  <si>
    <t>2831811</t>
  </si>
  <si>
    <t>11320107</t>
  </si>
  <si>
    <t>2235822</t>
  </si>
  <si>
    <t>0177J108</t>
  </si>
  <si>
    <t>BY9D546</t>
  </si>
  <si>
    <t>58140100</t>
  </si>
  <si>
    <t>2463247</t>
  </si>
  <si>
    <t>18439104</t>
  </si>
  <si>
    <t>2320524</t>
  </si>
  <si>
    <t>11312106</t>
  </si>
  <si>
    <t>2517382</t>
  </si>
  <si>
    <t>42718109</t>
  </si>
  <si>
    <t>2704407</t>
  </si>
  <si>
    <t>66764100</t>
  </si>
  <si>
    <t>2838555</t>
  </si>
  <si>
    <t>7780T103</t>
  </si>
  <si>
    <t>2754907</t>
  </si>
  <si>
    <t>1324P102</t>
  </si>
  <si>
    <t>2917766</t>
  </si>
  <si>
    <t>78160104</t>
  </si>
  <si>
    <t>2475833</t>
  </si>
  <si>
    <t>15351109</t>
  </si>
  <si>
    <t>2036070</t>
  </si>
  <si>
    <t>02494103</t>
  </si>
  <si>
    <t>2909730</t>
  </si>
  <si>
    <t>9331C108</t>
  </si>
  <si>
    <t>2689560</t>
  </si>
  <si>
    <t>37076102</t>
  </si>
  <si>
    <t>2434209</t>
  </si>
  <si>
    <t>69457100</t>
  </si>
  <si>
    <t>2967181</t>
  </si>
  <si>
    <t>30401106</t>
  </si>
  <si>
    <t>7275R102</t>
  </si>
  <si>
    <t>2198163</t>
  </si>
  <si>
    <t>18172109</t>
  </si>
  <si>
    <t>84802104</t>
  </si>
  <si>
    <t>2380863</t>
  </si>
  <si>
    <t>2572Q105</t>
  </si>
  <si>
    <t>2965839</t>
  </si>
  <si>
    <t>10122108</t>
  </si>
  <si>
    <t>2126335</t>
  </si>
  <si>
    <t>31427108</t>
  </si>
  <si>
    <t>BTN1Y44</t>
  </si>
  <si>
    <t>60543103</t>
  </si>
  <si>
    <t>2278719</t>
  </si>
  <si>
    <t>1036P108</t>
  </si>
  <si>
    <t>2170473</t>
  </si>
  <si>
    <t>43658300</t>
  </si>
  <si>
    <t>2523044</t>
  </si>
  <si>
    <t>75558103</t>
  </si>
  <si>
    <t>2369174</t>
  </si>
  <si>
    <t>2809H107</t>
  </si>
  <si>
    <t>2023748</t>
  </si>
  <si>
    <t>1174X109</t>
  </si>
  <si>
    <t>BZ07BW4</t>
  </si>
  <si>
    <t>8155Q103</t>
  </si>
  <si>
    <t>2378534</t>
  </si>
  <si>
    <t>02824100</t>
  </si>
  <si>
    <t>2002305</t>
  </si>
  <si>
    <t>04311107</t>
  </si>
  <si>
    <t>13017109</t>
  </si>
  <si>
    <t>2915500</t>
  </si>
  <si>
    <t>00754106</t>
  </si>
  <si>
    <t>BYRY499</t>
  </si>
  <si>
    <t>38516106</t>
  </si>
  <si>
    <t>2020459</t>
  </si>
  <si>
    <t>06216101</t>
  </si>
  <si>
    <t>2405302</t>
  </si>
  <si>
    <t>2504L109</t>
  </si>
  <si>
    <t>0450Y103</t>
  </si>
  <si>
    <t>BYW36M8</t>
  </si>
  <si>
    <t>70334104</t>
  </si>
  <si>
    <t>2367026</t>
  </si>
  <si>
    <t>05887102</t>
  </si>
  <si>
    <t>2215460</t>
  </si>
  <si>
    <t>9156R108</t>
  </si>
  <si>
    <t>2573209</t>
  </si>
  <si>
    <t>0871R209</t>
  </si>
  <si>
    <t>0231G102</t>
  </si>
  <si>
    <t>2326618</t>
  </si>
  <si>
    <t>86516101</t>
  </si>
  <si>
    <t>2094670</t>
  </si>
  <si>
    <t>0825C104</t>
  </si>
  <si>
    <t>2685717</t>
  </si>
  <si>
    <t>83556102</t>
  </si>
  <si>
    <t>2886907</t>
  </si>
  <si>
    <t>9062X103</t>
  </si>
  <si>
    <t>2455965</t>
  </si>
  <si>
    <t>2532F100</t>
  </si>
  <si>
    <t>2931034</t>
  </si>
  <si>
    <t>8732J207</t>
  </si>
  <si>
    <t>75887109</t>
  </si>
  <si>
    <t>2087807</t>
  </si>
  <si>
    <t>48661107</t>
  </si>
  <si>
    <t>2536763</t>
  </si>
  <si>
    <t>2160K105</t>
  </si>
  <si>
    <t>2701271</t>
  </si>
  <si>
    <t>5746U109</t>
  </si>
  <si>
    <t>2542049</t>
  </si>
  <si>
    <t>0219G108</t>
  </si>
  <si>
    <t>53484101</t>
  </si>
  <si>
    <t>2131179</t>
  </si>
  <si>
    <t>54937107</t>
  </si>
  <si>
    <t>2830904</t>
  </si>
  <si>
    <t>20076307</t>
  </si>
  <si>
    <t>32457108</t>
  </si>
  <si>
    <t>2516152</t>
  </si>
  <si>
    <t>84332106</t>
  </si>
  <si>
    <t>2986539</t>
  </si>
  <si>
    <t>78642103</t>
  </si>
  <si>
    <t>2293819</t>
  </si>
  <si>
    <t>73284106</t>
  </si>
  <si>
    <t>2572079</t>
  </si>
  <si>
    <t>2276F100</t>
  </si>
  <si>
    <t>2927925</t>
  </si>
  <si>
    <t>08190104</t>
  </si>
  <si>
    <t>2598699</t>
  </si>
  <si>
    <t>28236103</t>
  </si>
  <si>
    <t>2424006</t>
  </si>
  <si>
    <t>90849103</t>
  </si>
  <si>
    <t>2767381</t>
  </si>
  <si>
    <t>6441C204</t>
  </si>
  <si>
    <t>91906109</t>
  </si>
  <si>
    <t>2897697</t>
  </si>
  <si>
    <t>9466L302</t>
  </si>
  <si>
    <t>2310525</t>
  </si>
  <si>
    <t>4110L106</t>
  </si>
  <si>
    <t>2857817</t>
  </si>
  <si>
    <t>95112103</t>
  </si>
  <si>
    <t>2588184</t>
  </si>
  <si>
    <t>7612E106</t>
  </si>
  <si>
    <t>2259101</t>
  </si>
  <si>
    <t>6875P101</t>
  </si>
  <si>
    <t>2318024</t>
  </si>
  <si>
    <t>94368103</t>
  </si>
  <si>
    <t>2491839</t>
  </si>
  <si>
    <t>3027X100</t>
  </si>
  <si>
    <t>72540109</t>
  </si>
  <si>
    <t>2989301</t>
  </si>
  <si>
    <t>32696405</t>
  </si>
  <si>
    <t>2951452</t>
  </si>
  <si>
    <t>37194105</t>
  </si>
  <si>
    <t>2289874</t>
  </si>
  <si>
    <t>57224107</t>
  </si>
  <si>
    <t>2072085</t>
  </si>
  <si>
    <t>42587107</t>
  </si>
  <si>
    <t>2829601</t>
  </si>
  <si>
    <t>6120E602</t>
  </si>
  <si>
    <t>2871301</t>
  </si>
  <si>
    <t>69656105</t>
  </si>
  <si>
    <t>59465109</t>
  </si>
  <si>
    <t>BVFMFG8</t>
  </si>
  <si>
    <t>6284V101</t>
  </si>
  <si>
    <t>BVFTF03</t>
  </si>
  <si>
    <t>34429109</t>
  </si>
  <si>
    <t>2162845</t>
  </si>
  <si>
    <t>63534109</t>
  </si>
  <si>
    <t>2018175</t>
  </si>
  <si>
    <t>56109104</t>
  </si>
  <si>
    <t>25509109</t>
  </si>
  <si>
    <t>2196479</t>
  </si>
  <si>
    <t>32511107</t>
  </si>
  <si>
    <t>2032380</t>
  </si>
  <si>
    <t>2217K106</t>
  </si>
  <si>
    <t>2440961</t>
  </si>
  <si>
    <t>97178105</t>
  </si>
  <si>
    <t>2316619</t>
  </si>
  <si>
    <t>85512109</t>
  </si>
  <si>
    <t>2310194</t>
  </si>
  <si>
    <t>01137107</t>
  </si>
  <si>
    <t>2113434</t>
  </si>
  <si>
    <t>25537101</t>
  </si>
  <si>
    <t>2026242</t>
  </si>
  <si>
    <t>5281A109</t>
  </si>
  <si>
    <t>2523334</t>
  </si>
  <si>
    <t>71798101</t>
  </si>
  <si>
    <t>2987521</t>
  </si>
  <si>
    <t>18204108</t>
  </si>
  <si>
    <t>2928683</t>
  </si>
  <si>
    <t>71813109</t>
  </si>
  <si>
    <t>2085102</t>
  </si>
  <si>
    <t>6145D105</t>
  </si>
  <si>
    <t>BYR0914</t>
  </si>
  <si>
    <t>09158106</t>
  </si>
  <si>
    <t>2011602</t>
  </si>
  <si>
    <t>13903100</t>
  </si>
  <si>
    <t>71503108</t>
  </si>
  <si>
    <t>2861078</t>
  </si>
  <si>
    <t>56782104</t>
  </si>
  <si>
    <t>2185284</t>
  </si>
  <si>
    <t>29183103</t>
  </si>
  <si>
    <t>4460D109</t>
  </si>
  <si>
    <t>2852533</t>
  </si>
  <si>
    <t>21441100</t>
  </si>
  <si>
    <t>2021690</t>
  </si>
  <si>
    <t>0161N101</t>
  </si>
  <si>
    <t>2670519</t>
  </si>
  <si>
    <t>31162100</t>
  </si>
  <si>
    <t>2023607</t>
  </si>
  <si>
    <t>26552101</t>
  </si>
  <si>
    <t>2807566</t>
  </si>
  <si>
    <t>44199105</t>
  </si>
  <si>
    <t>2261203</t>
  </si>
  <si>
    <t>37411105</t>
  </si>
  <si>
    <t>2043962</t>
  </si>
  <si>
    <t>9476L107</t>
  </si>
  <si>
    <t>2319157</t>
  </si>
  <si>
    <t>2729N308</t>
  </si>
  <si>
    <t>B5LL299</t>
  </si>
  <si>
    <t>26408103</t>
  </si>
  <si>
    <t>2160753</t>
  </si>
  <si>
    <t>61202103</t>
  </si>
  <si>
    <t>2459020</t>
  </si>
  <si>
    <t>5906A108</t>
  </si>
  <si>
    <t>2197933</t>
  </si>
  <si>
    <t>0414L109</t>
  </si>
  <si>
    <t>2417578</t>
  </si>
  <si>
    <t>45658107</t>
  </si>
  <si>
    <t>97822103</t>
  </si>
  <si>
    <t>29160109</t>
  </si>
  <si>
    <t>2931205</t>
  </si>
  <si>
    <t>47791101</t>
  </si>
  <si>
    <t>5261F104</t>
  </si>
  <si>
    <t>2340168</t>
  </si>
  <si>
    <t>87836108</t>
  </si>
  <si>
    <t>2486813</t>
  </si>
  <si>
    <t>8933Y105</t>
  </si>
  <si>
    <t>2778844</t>
  </si>
  <si>
    <t>49123101</t>
  </si>
  <si>
    <t>2180201</t>
  </si>
  <si>
    <t>93718108</t>
  </si>
  <si>
    <t>2665861</t>
  </si>
  <si>
    <t>65849106</t>
  </si>
  <si>
    <t>2910970</t>
  </si>
  <si>
    <t>16851109</t>
  </si>
  <si>
    <t>2138158</t>
  </si>
  <si>
    <t>2343V104</t>
  </si>
  <si>
    <t>2090571</t>
  </si>
  <si>
    <t>01121101</t>
  </si>
  <si>
    <t>2019479</t>
  </si>
  <si>
    <t>8956P102</t>
  </si>
  <si>
    <t>2783815</t>
  </si>
  <si>
    <t>3918K108</t>
  </si>
  <si>
    <t>2898087</t>
  </si>
  <si>
    <t>76696106</t>
  </si>
  <si>
    <t>2749602</t>
  </si>
  <si>
    <t>0212P303</t>
  </si>
  <si>
    <t>31100100</t>
  </si>
  <si>
    <t>2089212</t>
  </si>
  <si>
    <t>24348106</t>
  </si>
  <si>
    <t>2804211</t>
  </si>
  <si>
    <t>56677105</t>
  </si>
  <si>
    <t>71829107</t>
  </si>
  <si>
    <t>2868165</t>
  </si>
  <si>
    <t>92446102</t>
  </si>
  <si>
    <t>2257019</t>
  </si>
  <si>
    <t>2939U106</t>
  </si>
  <si>
    <t>BYY8XK8</t>
  </si>
  <si>
    <t>9351T106</t>
  </si>
  <si>
    <t>2680905</t>
  </si>
  <si>
    <t>82839106</t>
  </si>
  <si>
    <t>5785G107</t>
  </si>
  <si>
    <t>44573106</t>
  </si>
  <si>
    <t>2707677</t>
  </si>
  <si>
    <t>5616P104</t>
  </si>
  <si>
    <t>2345022</t>
  </si>
  <si>
    <t>4340W103</t>
  </si>
  <si>
    <t>0817Y108</t>
  </si>
  <si>
    <t>2695921</t>
  </si>
  <si>
    <t>38222105</t>
  </si>
  <si>
    <t>2046552</t>
  </si>
  <si>
    <t>05363104</t>
  </si>
  <si>
    <t>2215200</t>
  </si>
  <si>
    <t>77376100</t>
  </si>
  <si>
    <t>2182553</t>
  </si>
  <si>
    <t>91442106</t>
  </si>
  <si>
    <t>BQRQXQ9</t>
  </si>
  <si>
    <t>8389B100</t>
  </si>
  <si>
    <t>2614807</t>
  </si>
  <si>
    <t>47560109</t>
  </si>
  <si>
    <t>32095101</t>
  </si>
  <si>
    <t>2145084</t>
  </si>
  <si>
    <t>93671105</t>
  </si>
  <si>
    <t>2105505</t>
  </si>
  <si>
    <t>70346105</t>
  </si>
  <si>
    <t>2651086</t>
  </si>
  <si>
    <t>78366107</t>
  </si>
  <si>
    <t>2476803</t>
  </si>
  <si>
    <t>60505104</t>
  </si>
  <si>
    <t>2295677</t>
  </si>
  <si>
    <t>01797104</t>
  </si>
  <si>
    <t>23787107</t>
  </si>
  <si>
    <t>2690830</t>
  </si>
  <si>
    <t>81020107</t>
  </si>
  <si>
    <t>2829515</t>
  </si>
  <si>
    <t>41060100</t>
  </si>
  <si>
    <t>09115104</t>
  </si>
  <si>
    <t>2216850</t>
  </si>
  <si>
    <t>0540R409</t>
  </si>
  <si>
    <t>2586122</t>
  </si>
  <si>
    <t>2686C109</t>
  </si>
  <si>
    <t>2162243</t>
  </si>
  <si>
    <t>9444U700</t>
  </si>
  <si>
    <t>BVLZX12</t>
  </si>
  <si>
    <t>2209S103</t>
  </si>
  <si>
    <t>2692632</t>
  </si>
  <si>
    <t>32654105</t>
  </si>
  <si>
    <t>2032067</t>
  </si>
  <si>
    <t>37932107</t>
  </si>
  <si>
    <t>2100920</t>
  </si>
  <si>
    <t>10345102</t>
  </si>
  <si>
    <t>13875105</t>
  </si>
  <si>
    <t>2412001</t>
  </si>
  <si>
    <t>58102105</t>
  </si>
  <si>
    <t>2954699</t>
  </si>
  <si>
    <t>7S00T104</t>
  </si>
  <si>
    <t>95017104</t>
  </si>
  <si>
    <t>2592174</t>
  </si>
  <si>
    <t>56577102</t>
  </si>
  <si>
    <t>2447218</t>
  </si>
  <si>
    <t>56746108</t>
  </si>
  <si>
    <t>2272476</t>
  </si>
  <si>
    <t>18056107</t>
  </si>
  <si>
    <t>2414580</t>
  </si>
  <si>
    <t>5179M103</t>
  </si>
  <si>
    <t>2480677</t>
  </si>
  <si>
    <t>25896100</t>
  </si>
  <si>
    <t>2219224</t>
  </si>
  <si>
    <t>58498106</t>
  </si>
  <si>
    <t>2073022</t>
  </si>
  <si>
    <t>01094104</t>
  </si>
  <si>
    <t>2671501</t>
  </si>
  <si>
    <t>89054109</t>
  </si>
  <si>
    <t>2204026</t>
  </si>
  <si>
    <t>55044105</t>
  </si>
  <si>
    <t>2640761</t>
  </si>
  <si>
    <t>33331107</t>
  </si>
  <si>
    <t>2280220</t>
  </si>
  <si>
    <t>96429307</t>
  </si>
  <si>
    <t>2668804</t>
  </si>
  <si>
    <t>89701107</t>
  </si>
  <si>
    <t>2989828</t>
  </si>
  <si>
    <t>0971T101</t>
  </si>
  <si>
    <t>2507457</t>
  </si>
  <si>
    <t>8176E108</t>
  </si>
  <si>
    <t>2567116</t>
  </si>
  <si>
    <t>6884L109</t>
  </si>
  <si>
    <t>2319414</t>
  </si>
  <si>
    <t>53611109</t>
  </si>
  <si>
    <t>2066408</t>
  </si>
  <si>
    <t>9446R109</t>
  </si>
  <si>
    <t>2491594</t>
  </si>
  <si>
    <t>13817101</t>
  </si>
  <si>
    <t>2021805</t>
  </si>
  <si>
    <t>16773100</t>
  </si>
  <si>
    <t>2336747</t>
  </si>
  <si>
    <t>0846U101</t>
  </si>
  <si>
    <t>2520153</t>
  </si>
  <si>
    <t>27097103</t>
  </si>
  <si>
    <t>2162340</t>
  </si>
  <si>
    <t>9364G103</t>
  </si>
  <si>
    <t>2317087</t>
  </si>
  <si>
    <t>0751Y106</t>
  </si>
  <si>
    <t>52769106</t>
  </si>
  <si>
    <t>2065159</t>
  </si>
  <si>
    <t>54382101</t>
  </si>
  <si>
    <t>2543967</t>
  </si>
  <si>
    <t>8440X101</t>
  </si>
  <si>
    <t>7066G104</t>
  </si>
  <si>
    <t>2379504</t>
  </si>
  <si>
    <t>67383109</t>
  </si>
  <si>
    <t>2077905</t>
  </si>
  <si>
    <t>00255104</t>
  </si>
  <si>
    <t>2496113</t>
  </si>
  <si>
    <t>82680103</t>
  </si>
  <si>
    <t>2130109</t>
  </si>
  <si>
    <t>83919101</t>
  </si>
  <si>
    <t>2985677</t>
  </si>
  <si>
    <t>3342B105</t>
  </si>
  <si>
    <t>2222233</t>
  </si>
  <si>
    <t>12807108</t>
  </si>
  <si>
    <t>2502247</t>
  </si>
  <si>
    <t>69246401</t>
  </si>
  <si>
    <t>2299011</t>
  </si>
  <si>
    <t>3331A109</t>
  </si>
  <si>
    <t>2250687</t>
  </si>
  <si>
    <t>99724106</t>
  </si>
  <si>
    <t>2111955</t>
  </si>
  <si>
    <t>5671D857</t>
  </si>
  <si>
    <t>2352118</t>
  </si>
  <si>
    <t>3157S106</t>
  </si>
  <si>
    <t>98280109</t>
  </si>
  <si>
    <t>BZ03VL1</t>
  </si>
  <si>
    <t>55664100</t>
  </si>
  <si>
    <t>2641827</t>
  </si>
  <si>
    <t>51639106</t>
  </si>
  <si>
    <t>2636607</t>
  </si>
  <si>
    <t>8978V103</t>
  </si>
  <si>
    <t>23608102</t>
  </si>
  <si>
    <t>2050832</t>
  </si>
  <si>
    <t>0130H105</t>
  </si>
  <si>
    <t>2002479</t>
  </si>
  <si>
    <t>8033G407</t>
  </si>
  <si>
    <t>4736K101</t>
  </si>
  <si>
    <t>BR9YYP4</t>
  </si>
  <si>
    <t>35678106</t>
  </si>
  <si>
    <t>2516839</t>
  </si>
  <si>
    <t>56700106</t>
  </si>
  <si>
    <t>2185046</t>
  </si>
  <si>
    <t>81276100</t>
  </si>
  <si>
    <t>77081102</t>
  </si>
  <si>
    <t>2572303</t>
  </si>
  <si>
    <t>0040W108</t>
  </si>
  <si>
    <t>BVVN4Q8</t>
  </si>
  <si>
    <t>93656100</t>
  </si>
  <si>
    <t>51020104</t>
  </si>
  <si>
    <t>2182348</t>
  </si>
  <si>
    <t>55030102</t>
  </si>
  <si>
    <t>2841489</t>
  </si>
  <si>
    <t>12704105</t>
  </si>
  <si>
    <t>13291102</t>
  </si>
  <si>
    <t>2971698</t>
  </si>
  <si>
    <t>5189T107</t>
  </si>
  <si>
    <t>2440637</t>
  </si>
  <si>
    <t>4834L100</t>
  </si>
  <si>
    <t>2702791</t>
  </si>
  <si>
    <t>89754104</t>
  </si>
  <si>
    <t>2646015</t>
  </si>
  <si>
    <t>13086109</t>
  </si>
  <si>
    <t>2411138</t>
  </si>
  <si>
    <t>0176J109</t>
  </si>
  <si>
    <t>23452101</t>
  </si>
  <si>
    <t>2420101</t>
  </si>
  <si>
    <t>14046109</t>
  </si>
  <si>
    <t>2305844</t>
  </si>
  <si>
    <t>66837106</t>
  </si>
  <si>
    <t>2963899</t>
  </si>
  <si>
    <t>40452100</t>
  </si>
  <si>
    <t>2437264</t>
  </si>
  <si>
    <t>3088M102</t>
  </si>
  <si>
    <t>23484101</t>
  </si>
  <si>
    <t>2048804</t>
  </si>
  <si>
    <t>0589M102</t>
  </si>
  <si>
    <t>2545844</t>
  </si>
  <si>
    <t>88498101</t>
  </si>
  <si>
    <t>2098876</t>
  </si>
  <si>
    <t>01204106</t>
  </si>
  <si>
    <t>2060961</t>
  </si>
  <si>
    <t>5473P105</t>
  </si>
  <si>
    <t>2645409</t>
  </si>
  <si>
    <t>49030107</t>
  </si>
  <si>
    <t>2364339</t>
  </si>
  <si>
    <t>51290108</t>
  </si>
  <si>
    <t>2635079</t>
  </si>
  <si>
    <t>02491303</t>
  </si>
  <si>
    <t>2328603</t>
  </si>
  <si>
    <t>8419M100</t>
  </si>
  <si>
    <t>00340107</t>
  </si>
  <si>
    <t>2212870</t>
  </si>
  <si>
    <t>27288104</t>
  </si>
  <si>
    <t>2513012</t>
  </si>
  <si>
    <t>6483E100</t>
  </si>
  <si>
    <t>2636254</t>
  </si>
  <si>
    <t>06857108</t>
  </si>
  <si>
    <t>2779201</t>
  </si>
  <si>
    <t>65859104</t>
  </si>
  <si>
    <t>2648668</t>
  </si>
  <si>
    <t>83549108</t>
  </si>
  <si>
    <t>2760669</t>
  </si>
  <si>
    <t>3748R101</t>
  </si>
  <si>
    <t>2057059</t>
  </si>
  <si>
    <t>61713106</t>
  </si>
  <si>
    <t>2429090</t>
  </si>
  <si>
    <t>24901105</t>
  </si>
  <si>
    <t>2510615</t>
  </si>
  <si>
    <t>8817H100</t>
  </si>
  <si>
    <t>6625H100</t>
  </si>
  <si>
    <t>2190385</t>
  </si>
  <si>
    <t>03395103</t>
  </si>
  <si>
    <t>2672689</t>
  </si>
  <si>
    <t>85170302</t>
  </si>
  <si>
    <t>2607647</t>
  </si>
  <si>
    <t>72375100</t>
  </si>
  <si>
    <t>2880255</t>
  </si>
  <si>
    <t>24479100</t>
  </si>
  <si>
    <t>2690506</t>
  </si>
  <si>
    <t>5470F104</t>
  </si>
  <si>
    <t>02445101</t>
  </si>
  <si>
    <t>2344717</t>
  </si>
  <si>
    <t>82550101</t>
  </si>
  <si>
    <t>2378200</t>
  </si>
  <si>
    <t>6467W109</t>
  </si>
  <si>
    <t>43683107</t>
  </si>
  <si>
    <t>2437952</t>
  </si>
  <si>
    <t>36433107</t>
  </si>
  <si>
    <t>77432100</t>
  </si>
  <si>
    <t>2298386</t>
  </si>
  <si>
    <t>72062101</t>
  </si>
  <si>
    <t>2196888</t>
  </si>
  <si>
    <t>0854P109</t>
  </si>
  <si>
    <t>2413758</t>
  </si>
  <si>
    <t>1151C101</t>
  </si>
  <si>
    <t>58912108</t>
  </si>
  <si>
    <t>2860826</t>
  </si>
  <si>
    <t>06407102</t>
  </si>
  <si>
    <t>7901J105</t>
  </si>
  <si>
    <t>BZ0P3Z5</t>
  </si>
  <si>
    <t>33034101</t>
  </si>
  <si>
    <t>2818740</t>
  </si>
  <si>
    <t>63320106</t>
  </si>
  <si>
    <t>2960384</t>
  </si>
  <si>
    <t>7247D106</t>
  </si>
  <si>
    <t>81165108</t>
  </si>
  <si>
    <t>2781905</t>
  </si>
  <si>
    <t>5590A401</t>
  </si>
  <si>
    <t>54502101</t>
  </si>
  <si>
    <t>96945201</t>
  </si>
  <si>
    <t>8076W103</t>
  </si>
  <si>
    <t>51229106</t>
  </si>
  <si>
    <t>2635701</t>
  </si>
  <si>
    <t>90768403</t>
  </si>
  <si>
    <t>2662862</t>
  </si>
  <si>
    <t>83134107</t>
  </si>
  <si>
    <t>2963811</t>
  </si>
  <si>
    <t>59506101</t>
  </si>
  <si>
    <t>2464165</t>
  </si>
  <si>
    <t>73903109</t>
  </si>
  <si>
    <t>2754060</t>
  </si>
  <si>
    <t>1428X106</t>
  </si>
  <si>
    <t>2142784</t>
  </si>
  <si>
    <t>74341101</t>
  </si>
  <si>
    <t>2767228</t>
  </si>
  <si>
    <t>72460105</t>
  </si>
  <si>
    <t>2367480</t>
  </si>
  <si>
    <t>70323103</t>
  </si>
  <si>
    <t>2110703</t>
  </si>
  <si>
    <t>83203101</t>
  </si>
  <si>
    <t>2885937</t>
  </si>
  <si>
    <t>29251108</t>
  </si>
  <si>
    <t>2692397</t>
  </si>
  <si>
    <t>92356106</t>
  </si>
  <si>
    <t>2900335</t>
  </si>
  <si>
    <t>6138E109</t>
  </si>
  <si>
    <t>67914103</t>
  </si>
  <si>
    <t>2860990</t>
  </si>
  <si>
    <t>27866108</t>
  </si>
  <si>
    <t>2422806</t>
  </si>
  <si>
    <t>93506107</t>
  </si>
  <si>
    <t>2698470</t>
  </si>
  <si>
    <t>41848103</t>
  </si>
  <si>
    <t>2937689</t>
  </si>
  <si>
    <t>491BT108</t>
  </si>
  <si>
    <t>0249U101</t>
  </si>
  <si>
    <t>2763561</t>
  </si>
  <si>
    <t>45467109</t>
  </si>
  <si>
    <t>2828619</t>
  </si>
  <si>
    <t>80645109</t>
  </si>
  <si>
    <t>2551443</t>
  </si>
  <si>
    <t>60690100</t>
  </si>
  <si>
    <t>2466321</t>
  </si>
  <si>
    <t>24660107</t>
  </si>
  <si>
    <t>2510682</t>
  </si>
  <si>
    <t>52308109</t>
  </si>
  <si>
    <t>2457552</t>
  </si>
  <si>
    <t>0101J106</t>
  </si>
  <si>
    <t>65167107</t>
  </si>
  <si>
    <t>2182779</t>
  </si>
  <si>
    <t>43130102</t>
  </si>
  <si>
    <t>2983563</t>
  </si>
  <si>
    <t>46150104</t>
  </si>
  <si>
    <t>2445966</t>
  </si>
  <si>
    <t>11065101</t>
  </si>
  <si>
    <t>04326107</t>
  </si>
  <si>
    <t>2674458</t>
  </si>
  <si>
    <t>44320102</t>
  </si>
  <si>
    <t>2819118</t>
  </si>
  <si>
    <t>29377508</t>
  </si>
  <si>
    <t>2212922</t>
  </si>
  <si>
    <t>91027104</t>
  </si>
  <si>
    <t>2896713</t>
  </si>
  <si>
    <t>94429105</t>
  </si>
  <si>
    <t>2319146</t>
  </si>
  <si>
    <t>81919106</t>
  </si>
  <si>
    <t>2279303</t>
  </si>
  <si>
    <t>63667101</t>
  </si>
  <si>
    <t>2853688</t>
  </si>
  <si>
    <t>4354P105</t>
  </si>
  <si>
    <t>2288406</t>
  </si>
  <si>
    <t>63218106</t>
  </si>
  <si>
    <t>7177M103</t>
  </si>
  <si>
    <t>BZ0CYQ4</t>
  </si>
  <si>
    <t>08252108</t>
  </si>
  <si>
    <t>2127899</t>
  </si>
  <si>
    <t>4988V106</t>
  </si>
  <si>
    <t>78296103</t>
  </si>
  <si>
    <t>2746711</t>
  </si>
  <si>
    <t>62166104</t>
  </si>
  <si>
    <t>2958936</t>
  </si>
  <si>
    <t>51212101</t>
  </si>
  <si>
    <t>40189105</t>
  </si>
  <si>
    <t>2699514</t>
  </si>
  <si>
    <t>55111507</t>
  </si>
  <si>
    <t>2758051</t>
  </si>
  <si>
    <t>09363102</t>
  </si>
  <si>
    <t>2011561</t>
  </si>
  <si>
    <t>69814107</t>
  </si>
  <si>
    <t>2469052</t>
  </si>
  <si>
    <t>5271C102</t>
  </si>
  <si>
    <t>2261021</t>
  </si>
  <si>
    <t>1620M106</t>
  </si>
  <si>
    <t>2769796</t>
  </si>
  <si>
    <t>59802109</t>
  </si>
  <si>
    <t>2673P105</t>
  </si>
  <si>
    <t>2214832</t>
  </si>
  <si>
    <t>2220P105</t>
  </si>
  <si>
    <t>2927516</t>
  </si>
  <si>
    <t>93267108</t>
  </si>
  <si>
    <t>2490911</t>
  </si>
  <si>
    <t>34187109</t>
  </si>
  <si>
    <t>2516378</t>
  </si>
  <si>
    <t>5470F302</t>
  </si>
  <si>
    <t>74599106</t>
  </si>
  <si>
    <t>2570200</t>
  </si>
  <si>
    <t>0724F101</t>
  </si>
  <si>
    <t>2008154</t>
  </si>
  <si>
    <t>4621X108</t>
  </si>
  <si>
    <t>2331430</t>
  </si>
  <si>
    <t>0408V102</t>
  </si>
  <si>
    <t>1529Y106</t>
  </si>
  <si>
    <t>2433842</t>
  </si>
  <si>
    <t>02130109</t>
  </si>
  <si>
    <t>2325507</t>
  </si>
  <si>
    <t>75896100</t>
  </si>
  <si>
    <t>2085878</t>
  </si>
  <si>
    <t>17047102</t>
  </si>
  <si>
    <t>2933438</t>
  </si>
  <si>
    <t>2906T109</t>
  </si>
  <si>
    <t>4107P104</t>
  </si>
  <si>
    <t>2567503</t>
  </si>
  <si>
    <t>94162103</t>
  </si>
  <si>
    <t>2209106</t>
  </si>
  <si>
    <t>31103108</t>
  </si>
  <si>
    <t>2965107</t>
  </si>
  <si>
    <t>86547108</t>
  </si>
  <si>
    <t>2892090</t>
  </si>
  <si>
    <t>11363109</t>
  </si>
  <si>
    <t>15616102</t>
  </si>
  <si>
    <t>2427599</t>
  </si>
  <si>
    <t>25269100</t>
  </si>
  <si>
    <t>4005P104</t>
  </si>
  <si>
    <t>2699291</t>
  </si>
  <si>
    <t>43412102</t>
  </si>
  <si>
    <t>2696838</t>
  </si>
  <si>
    <t>7636Q104</t>
  </si>
  <si>
    <t>82480100</t>
  </si>
  <si>
    <t>2480138</t>
  </si>
  <si>
    <t>29042109</t>
  </si>
  <si>
    <t>2933632</t>
  </si>
  <si>
    <t>74599105</t>
  </si>
  <si>
    <t>2655408</t>
  </si>
  <si>
    <t>01055102</t>
  </si>
  <si>
    <t>2026361</t>
  </si>
  <si>
    <t>18581108</t>
  </si>
  <si>
    <t>2762030</t>
  </si>
  <si>
    <t>4251V102</t>
  </si>
  <si>
    <t>2803014</t>
  </si>
  <si>
    <t>37071101</t>
  </si>
  <si>
    <t>2624486</t>
  </si>
  <si>
    <t>591EP100</t>
  </si>
  <si>
    <t>31021106</t>
  </si>
  <si>
    <t>2240202</t>
  </si>
  <si>
    <t>8310W108</t>
  </si>
  <si>
    <t>37738108</t>
  </si>
  <si>
    <t>2342034</t>
  </si>
  <si>
    <t>45867101</t>
  </si>
  <si>
    <t>2708841</t>
  </si>
  <si>
    <t>98290102</t>
  </si>
  <si>
    <t>12822108</t>
  </si>
  <si>
    <t>2411053</t>
  </si>
  <si>
    <t>28806109</t>
  </si>
  <si>
    <t>2812452</t>
  </si>
  <si>
    <t>5329W102</t>
  </si>
  <si>
    <t>2732635</t>
  </si>
  <si>
    <t>26717102</t>
  </si>
  <si>
    <t>2611206</t>
  </si>
  <si>
    <t>9122T109</t>
  </si>
  <si>
    <t>11900104</t>
  </si>
  <si>
    <t>2332262</t>
  </si>
  <si>
    <t>57477103</t>
  </si>
  <si>
    <t>2842040</t>
  </si>
  <si>
    <t>0004C101</t>
  </si>
  <si>
    <t>2765802</t>
  </si>
  <si>
    <t>4040H105</t>
  </si>
  <si>
    <t>2654461</t>
  </si>
  <si>
    <t>53015103</t>
  </si>
  <si>
    <t>2065308</t>
  </si>
  <si>
    <t>78865100</t>
  </si>
  <si>
    <t>2304227</t>
  </si>
  <si>
    <t>16515104</t>
  </si>
  <si>
    <t>2476193</t>
  </si>
  <si>
    <t>60146103</t>
  </si>
  <si>
    <t>2465254</t>
  </si>
  <si>
    <t>84989104</t>
  </si>
  <si>
    <t>13448108</t>
  </si>
  <si>
    <t>2681511</t>
  </si>
  <si>
    <t>0023R105</t>
  </si>
  <si>
    <t>4106L109</t>
  </si>
  <si>
    <t>2937667</t>
  </si>
  <si>
    <t>55844108</t>
  </si>
  <si>
    <t>2641894</t>
  </si>
  <si>
    <t>1211K100</t>
  </si>
  <si>
    <t>2232793</t>
  </si>
  <si>
    <t>4149Y108</t>
  </si>
  <si>
    <t>2175672</t>
  </si>
  <si>
    <t>02424104</t>
  </si>
  <si>
    <t>2247366</t>
  </si>
  <si>
    <t>60754101</t>
  </si>
  <si>
    <t>5866F104</t>
  </si>
  <si>
    <t>44859102</t>
  </si>
  <si>
    <t>2445063</t>
  </si>
  <si>
    <t>26057104</t>
  </si>
  <si>
    <t>2511920</t>
  </si>
  <si>
    <t>01044101</t>
  </si>
  <si>
    <t>2497406</t>
  </si>
  <si>
    <t>3938C108</t>
  </si>
  <si>
    <t>2822V101</t>
  </si>
  <si>
    <t>BTGQCX1</t>
  </si>
  <si>
    <t>60003108</t>
  </si>
  <si>
    <t>2278407</t>
  </si>
  <si>
    <t>40424108</t>
  </si>
  <si>
    <t>2523022</t>
  </si>
  <si>
    <t>18546104</t>
  </si>
  <si>
    <t>93475105</t>
  </si>
  <si>
    <t>2692665</t>
  </si>
  <si>
    <t>08513105</t>
  </si>
  <si>
    <t>2779397</t>
  </si>
  <si>
    <t>59200101</t>
  </si>
  <si>
    <t>2005973</t>
  </si>
  <si>
    <t>2541W209</t>
  </si>
  <si>
    <t>2116228</t>
  </si>
  <si>
    <t>71232101</t>
  </si>
  <si>
    <t>2195722</t>
  </si>
  <si>
    <t>44741108</t>
  </si>
  <si>
    <t>2831543</t>
  </si>
  <si>
    <t>02973304</t>
  </si>
  <si>
    <t>2736035</t>
  </si>
  <si>
    <t>27823106</t>
  </si>
  <si>
    <t>64760108</t>
  </si>
  <si>
    <t>2360326</t>
  </si>
  <si>
    <t>81609101</t>
  </si>
  <si>
    <t>2884569</t>
  </si>
  <si>
    <t>3073E105</t>
  </si>
  <si>
    <t>2795393</t>
  </si>
  <si>
    <t>68648102</t>
  </si>
  <si>
    <t>2295172</t>
  </si>
  <si>
    <t>72908105</t>
  </si>
  <si>
    <t>2197137</t>
  </si>
  <si>
    <t>54687106</t>
  </si>
  <si>
    <t>2270726</t>
  </si>
  <si>
    <t>17446448</t>
  </si>
  <si>
    <t>2262314</t>
  </si>
  <si>
    <t>6585A102</t>
  </si>
  <si>
    <t>36752103</t>
  </si>
  <si>
    <t>BSPHGL4</t>
  </si>
  <si>
    <t>7103H107</t>
  </si>
  <si>
    <t>3076C106</t>
  </si>
  <si>
    <t>54709108</t>
  </si>
  <si>
    <t>2343E102</t>
  </si>
  <si>
    <t>2142922</t>
  </si>
  <si>
    <t>84121103</t>
  </si>
  <si>
    <t>2985202</t>
  </si>
  <si>
    <t>4110D104</t>
  </si>
  <si>
    <t>2630643</t>
  </si>
  <si>
    <t>15369105</t>
  </si>
  <si>
    <t>2252058</t>
  </si>
  <si>
    <t>24857202</t>
  </si>
  <si>
    <t>54613101</t>
  </si>
  <si>
    <t>2350684</t>
  </si>
  <si>
    <t>4762E102</t>
  </si>
  <si>
    <t>2150204</t>
  </si>
  <si>
    <t>71748102</t>
  </si>
  <si>
    <t>2567741</t>
  </si>
  <si>
    <t>9271M100</t>
  </si>
  <si>
    <t>4144T108</t>
  </si>
  <si>
    <t>2702337</t>
  </si>
  <si>
    <t>53745100</t>
  </si>
  <si>
    <t>91011104</t>
  </si>
  <si>
    <t>2313405</t>
  </si>
  <si>
    <t>39483102</t>
  </si>
  <si>
    <t>2047317</t>
  </si>
  <si>
    <t>71903202</t>
  </si>
  <si>
    <t>2210614</t>
  </si>
  <si>
    <t>09207105</t>
  </si>
  <si>
    <t>8203R104</t>
  </si>
  <si>
    <t>2431846</t>
  </si>
  <si>
    <t>07818108</t>
  </si>
  <si>
    <t>2914734</t>
  </si>
  <si>
    <t>70023103</t>
  </si>
  <si>
    <t>5960L103</t>
  </si>
  <si>
    <t>BTN1Y11</t>
  </si>
  <si>
    <t>20002101</t>
  </si>
  <si>
    <t>2019952</t>
  </si>
  <si>
    <t>64058100</t>
  </si>
  <si>
    <t>60759100</t>
  </si>
  <si>
    <t>2262530</t>
  </si>
  <si>
    <t>87317303</t>
  </si>
  <si>
    <t>5886F107</t>
  </si>
  <si>
    <t>2730190</t>
  </si>
  <si>
    <t>19350105</t>
  </si>
  <si>
    <t>2224701</t>
  </si>
  <si>
    <t>82508104</t>
  </si>
  <si>
    <t>2885409</t>
  </si>
  <si>
    <t>53332102</t>
  </si>
  <si>
    <t>2065955</t>
  </si>
  <si>
    <t>39830109</t>
  </si>
  <si>
    <t>2522096</t>
  </si>
  <si>
    <t>55244109</t>
  </si>
  <si>
    <t>2842255</t>
  </si>
  <si>
    <t>9417E109</t>
  </si>
  <si>
    <t>2769503</t>
  </si>
  <si>
    <t>1166W101</t>
  </si>
  <si>
    <t>2654320</t>
  </si>
  <si>
    <t>1913Y100</t>
  </si>
  <si>
    <t>2041364</t>
  </si>
  <si>
    <t>9247X101</t>
  </si>
  <si>
    <t>2494504</t>
  </si>
  <si>
    <t>7945M107</t>
  </si>
  <si>
    <t>72967424</t>
  </si>
  <si>
    <t>2297907</t>
  </si>
  <si>
    <t>2376R102</t>
  </si>
  <si>
    <t>BCV7KT2</t>
  </si>
  <si>
    <t>45370860</t>
  </si>
  <si>
    <t>2615468</t>
  </si>
  <si>
    <t>79780206</t>
  </si>
  <si>
    <t>2550161</t>
  </si>
  <si>
    <t>66807102</t>
  </si>
  <si>
    <t>2648806</t>
  </si>
  <si>
    <t>26650100</t>
  </si>
  <si>
    <t>2577609</t>
  </si>
  <si>
    <t>47361702</t>
  </si>
  <si>
    <t>8579Y101</t>
  </si>
  <si>
    <t>2595708</t>
  </si>
  <si>
    <t>69550108</t>
  </si>
  <si>
    <t>2365161</t>
  </si>
  <si>
    <t>41503403</t>
  </si>
  <si>
    <t>2779063</t>
  </si>
  <si>
    <t>97023105</t>
  </si>
  <si>
    <t>2108601</t>
  </si>
  <si>
    <t>80135101</t>
  </si>
  <si>
    <t>2550707</t>
  </si>
  <si>
    <t>0486S104</t>
  </si>
  <si>
    <t>91216100</t>
  </si>
  <si>
    <t>2206657</t>
  </si>
  <si>
    <t>25816109</t>
  </si>
  <si>
    <t>2026082</t>
  </si>
  <si>
    <t>5249B109</t>
  </si>
  <si>
    <t>35851102</t>
  </si>
  <si>
    <t>2250870</t>
  </si>
  <si>
    <t>54106103</t>
  </si>
  <si>
    <t>2640147</t>
  </si>
  <si>
    <t>8389X105</t>
  </si>
  <si>
    <t>2661568</t>
  </si>
  <si>
    <t>8141G104</t>
  </si>
  <si>
    <t>2407966</t>
  </si>
  <si>
    <t>26874784</t>
  </si>
  <si>
    <t>2027342</t>
  </si>
  <si>
    <t>2553P201</t>
  </si>
  <si>
    <t>49746101</t>
  </si>
  <si>
    <t>2649100</t>
  </si>
  <si>
    <t>94918104</t>
  </si>
  <si>
    <t>2588173</t>
  </si>
  <si>
    <t>47525103</t>
  </si>
  <si>
    <t>2714923</t>
  </si>
  <si>
    <t>0287Y109</t>
  </si>
  <si>
    <t>37833100</t>
  </si>
  <si>
    <t>2046251</t>
  </si>
  <si>
    <t>15637209</t>
  </si>
  <si>
    <t>2146838</t>
  </si>
  <si>
    <t>0130A101</t>
  </si>
  <si>
    <t>0030N101</t>
  </si>
  <si>
    <t>2044545</t>
  </si>
  <si>
    <t>8259P508</t>
  </si>
  <si>
    <t>Multiple Share Classes</t>
  </si>
  <si>
    <t>Addition</t>
  </si>
  <si>
    <t>Twenty-First Century Fox B</t>
  </si>
  <si>
    <t>Twenty-First Century Fox A</t>
  </si>
  <si>
    <t>Comcast Corp C</t>
  </si>
  <si>
    <t>Comcast Corp A</t>
  </si>
  <si>
    <t>News Corporation B</t>
  </si>
  <si>
    <t>News Corporation 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</si>
</sst>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20">
    <font>
      <sz val="11"/>
      <color theme="1"/>
      <name val="Calibri"/>
      <family val="2"/>
      <scheme val="minor"/>
    </font>
    <font>
      <sz val="10"/>
      <color theme="1"/>
      <name val="Arial"/>
      <family val="2"/>
    </font>
    <font>
      <sz val="10"/>
      <color theme="1"/>
      <name val="Arial"/>
      <family val="2"/>
    </font>
    <font>
      <sz val="10"/>
      <name val="Arial"/>
      <family val="2"/>
    </font>
    <font>
      <sz val="11"/>
      <color indexed="8"/>
      <name val="Calibri"/>
      <family val="2"/>
    </font>
    <font>
      <sz val="8"/>
      <name val="Calibri"/>
      <family val="2"/>
    </font>
    <font>
      <sz val="11"/>
      <color indexed="8"/>
      <name val="Calibri"/>
      <family val="3"/>
      <charset val="128"/>
    </font>
    <font>
      <b/>
      <sz val="12"/>
      <name val="Arial"/>
      <family val="2"/>
    </font>
    <font>
      <b/>
      <sz val="12"/>
      <color theme="1" tint="0.249977111117893"/>
      <name val="Arial"/>
      <family val="2"/>
    </font>
    <font>
      <b/>
      <sz val="10"/>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b/>
      <sz val="11"/>
      <color rgb="FF000000"/>
      <name val="Calibri"/>
      <family val="2"/>
    </font>
    <font>
      <sz val="8"/>
      <name val="Arial"/>
      <family val="2"/>
    </font>
    <font>
      <b/>
      <sz val="10"/>
      <color rgb="FFFF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s>
  <borders count="20">
    <border>
      <left/>
      <right/>
      <top/>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s>
  <cellStyleXfs count="4">
    <xf numFmtId="0" fontId="0" fillId="0" borderId="0"/>
    <xf numFmtId="0" fontId="3" fillId="0" borderId="0"/>
    <xf numFmtId="9" fontId="4" fillId="0" borderId="0" applyFont="0" applyFill="0" applyBorder="0" applyAlignment="0" applyProtection="0"/>
    <xf numFmtId="9" fontId="3" fillId="0" borderId="0" applyFont="0" applyFill="0" applyBorder="0" applyAlignment="0" applyProtection="0"/>
  </cellStyleXfs>
  <cellXfs count="154">
    <xf numFmtId="0" fontId="0" fillId="0" borderId="0" xfId="0"/>
    <xf numFmtId="0" fontId="3" fillId="2" borderId="0" xfId="1" applyNumberFormat="1" applyFill="1"/>
    <xf numFmtId="0" fontId="3" fillId="2" borderId="0" xfId="1" applyFill="1"/>
    <xf numFmtId="0" fontId="7" fillId="2" borderId="0" xfId="0" applyFont="1" applyFill="1"/>
    <xf numFmtId="0" fontId="8" fillId="2" borderId="0" xfId="0" applyFont="1" applyFill="1"/>
    <xf numFmtId="0" fontId="3" fillId="2" borderId="0" xfId="0" applyFont="1" applyFill="1"/>
    <xf numFmtId="9" fontId="3" fillId="2" borderId="0" xfId="0" applyNumberFormat="1" applyFont="1" applyFill="1"/>
    <xf numFmtId="0" fontId="3" fillId="3" borderId="0" xfId="0" applyFont="1" applyFill="1"/>
    <xf numFmtId="0" fontId="3" fillId="3" borderId="0" xfId="0" applyFont="1" applyFill="1" applyAlignment="1">
      <alignment horizontal="right"/>
    </xf>
    <xf numFmtId="0" fontId="3" fillId="2" borderId="0" xfId="0" applyFont="1" applyFill="1" applyAlignment="1">
      <alignment horizontal="right"/>
    </xf>
    <xf numFmtId="0" fontId="9" fillId="3" borderId="8" xfId="0" applyFont="1" applyFill="1" applyBorder="1" applyAlignment="1">
      <alignment horizontal="centerContinuous"/>
    </xf>
    <xf numFmtId="0" fontId="9" fillId="3" borderId="9" xfId="0" applyFont="1" applyFill="1" applyBorder="1" applyAlignment="1">
      <alignment horizontal="centerContinuous"/>
    </xf>
    <xf numFmtId="0" fontId="9" fillId="3" borderId="10" xfId="0" applyFont="1" applyFill="1" applyBorder="1" applyAlignment="1">
      <alignment horizontal="centerContinuous"/>
    </xf>
    <xf numFmtId="3" fontId="3" fillId="3" borderId="0" xfId="0" applyNumberFormat="1" applyFont="1" applyFill="1" applyAlignment="1">
      <alignment horizontal="right"/>
    </xf>
    <xf numFmtId="3" fontId="3" fillId="2" borderId="0" xfId="0" applyNumberFormat="1" applyFont="1" applyFill="1" applyAlignment="1">
      <alignment horizontal="right"/>
    </xf>
    <xf numFmtId="0" fontId="9" fillId="3" borderId="3" xfId="0" applyFont="1" applyFill="1" applyBorder="1" applyAlignment="1">
      <alignment horizontal="centerContinuous"/>
    </xf>
    <xf numFmtId="0" fontId="9" fillId="3" borderId="0" xfId="0" applyFont="1" applyFill="1" applyBorder="1" applyAlignment="1">
      <alignment horizontal="centerContinuous"/>
    </xf>
    <xf numFmtId="0" fontId="9" fillId="3" borderId="4" xfId="0" applyFont="1" applyFill="1" applyBorder="1" applyAlignment="1">
      <alignment horizontal="centerContinuous"/>
    </xf>
    <xf numFmtId="10" fontId="3" fillId="3" borderId="0" xfId="0" applyNumberFormat="1" applyFont="1" applyFill="1" applyAlignment="1">
      <alignment horizontal="right"/>
    </xf>
    <xf numFmtId="10" fontId="3" fillId="2" borderId="0" xfId="0" applyNumberFormat="1" applyFont="1" applyFill="1" applyAlignment="1">
      <alignment horizontal="right"/>
    </xf>
    <xf numFmtId="0" fontId="9" fillId="3" borderId="5" xfId="0" applyFont="1" applyFill="1" applyBorder="1" applyAlignment="1">
      <alignment horizontal="centerContinuous"/>
    </xf>
    <xf numFmtId="0" fontId="9" fillId="3" borderId="6" xfId="0" applyFont="1" applyFill="1" applyBorder="1" applyAlignment="1">
      <alignment horizontal="centerContinuous"/>
    </xf>
    <xf numFmtId="0" fontId="9" fillId="3" borderId="7" xfId="0" applyFont="1" applyFill="1" applyBorder="1" applyAlignment="1">
      <alignment horizontal="centerContinuous"/>
    </xf>
    <xf numFmtId="3" fontId="3" fillId="2" borderId="0" xfId="0" applyNumberFormat="1" applyFont="1" applyFill="1"/>
    <xf numFmtId="166" fontId="3" fillId="2" borderId="11" xfId="0" applyNumberFormat="1" applyFont="1" applyFill="1" applyBorder="1" applyAlignment="1">
      <alignment horizontal="center"/>
    </xf>
    <xf numFmtId="10" fontId="3" fillId="3" borderId="0" xfId="2" applyNumberFormat="1" applyFont="1" applyFill="1" applyAlignment="1">
      <alignment horizontal="right"/>
    </xf>
    <xf numFmtId="10" fontId="3" fillId="2" borderId="0" xfId="2" applyNumberFormat="1" applyFont="1" applyFill="1" applyAlignment="1">
      <alignment horizontal="right"/>
    </xf>
    <xf numFmtId="0" fontId="3" fillId="2" borderId="0" xfId="0" applyFont="1" applyFill="1" applyBorder="1"/>
    <xf numFmtId="0" fontId="9" fillId="2" borderId="0" xfId="0" applyFont="1" applyFill="1" applyAlignment="1">
      <alignment horizontal="center" vertical="center" wrapText="1"/>
    </xf>
    <xf numFmtId="0" fontId="3" fillId="2" borderId="0" xfId="0" applyFont="1" applyFill="1" applyAlignment="1">
      <alignment horizontal="center"/>
    </xf>
    <xf numFmtId="3" fontId="3" fillId="2" borderId="0" xfId="0" applyNumberFormat="1" applyFont="1" applyFill="1" applyBorder="1"/>
    <xf numFmtId="2" fontId="3" fillId="2" borderId="0" xfId="0" applyNumberFormat="1" applyFont="1" applyFill="1" applyAlignment="1">
      <alignment horizontal="center"/>
    </xf>
    <xf numFmtId="165" fontId="3" fillId="2" borderId="0" xfId="0" applyNumberFormat="1" applyFont="1" applyFill="1"/>
    <xf numFmtId="9" fontId="3" fillId="2" borderId="0" xfId="2" applyFont="1" applyFill="1"/>
    <xf numFmtId="4" fontId="3" fillId="2" borderId="0" xfId="0" applyNumberFormat="1" applyFont="1" applyFill="1"/>
    <xf numFmtId="164" fontId="3" fillId="3" borderId="1" xfId="0" applyNumberFormat="1" applyFont="1" applyFill="1" applyBorder="1"/>
    <xf numFmtId="164" fontId="3" fillId="3" borderId="0" xfId="0" applyNumberFormat="1" applyFont="1" applyFill="1" applyBorder="1"/>
    <xf numFmtId="8" fontId="3" fillId="3" borderId="0" xfId="0" applyNumberFormat="1" applyFont="1" applyFill="1"/>
    <xf numFmtId="3" fontId="3" fillId="3" borderId="2" xfId="0" applyNumberFormat="1" applyFont="1" applyFill="1" applyBorder="1"/>
    <xf numFmtId="164" fontId="3" fillId="2" borderId="1" xfId="0" applyNumberFormat="1" applyFont="1" applyFill="1" applyBorder="1"/>
    <xf numFmtId="164" fontId="3" fillId="2" borderId="0" xfId="0" applyNumberFormat="1" applyFont="1" applyFill="1" applyBorder="1"/>
    <xf numFmtId="8" fontId="3" fillId="2" borderId="0" xfId="0" applyNumberFormat="1" applyFont="1" applyFill="1"/>
    <xf numFmtId="3" fontId="3" fillId="2" borderId="2" xfId="0" applyNumberFormat="1" applyFont="1" applyFill="1" applyBorder="1"/>
    <xf numFmtId="3" fontId="3" fillId="3" borderId="0" xfId="0" applyNumberFormat="1" applyFont="1" applyFill="1" applyBorder="1"/>
    <xf numFmtId="9" fontId="3" fillId="2" borderId="2" xfId="2" applyFont="1" applyFill="1" applyBorder="1"/>
    <xf numFmtId="9" fontId="3" fillId="2" borderId="0" xfId="2" applyNumberFormat="1" applyFont="1" applyFill="1" applyAlignment="1">
      <alignment horizontal="center"/>
    </xf>
    <xf numFmtId="0" fontId="10" fillId="2" borderId="0" xfId="0" applyFont="1" applyFill="1"/>
    <xf numFmtId="0" fontId="11" fillId="2" borderId="0" xfId="0" applyFont="1" applyFill="1" applyAlignment="1">
      <alignment horizontal="center" vertical="center" wrapText="1"/>
    </xf>
    <xf numFmtId="0" fontId="9" fillId="2" borderId="0" xfId="0" applyFont="1" applyFill="1"/>
    <xf numFmtId="0" fontId="2" fillId="2" borderId="3" xfId="0" applyFont="1" applyFill="1" applyBorder="1"/>
    <xf numFmtId="0" fontId="2" fillId="2" borderId="0" xfId="0" applyFont="1" applyFill="1" applyBorder="1"/>
    <xf numFmtId="8" fontId="3" fillId="2" borderId="0" xfId="0" applyNumberFormat="1" applyFont="1" applyFill="1" applyBorder="1" applyAlignment="1">
      <alignment horizontal="center"/>
    </xf>
    <xf numFmtId="9" fontId="12" fillId="2" borderId="4" xfId="2" applyFont="1" applyFill="1" applyBorder="1"/>
    <xf numFmtId="8" fontId="9" fillId="2" borderId="0" xfId="0" applyNumberFormat="1" applyFont="1" applyFill="1" applyBorder="1" applyAlignment="1">
      <alignment horizontal="center"/>
    </xf>
    <xf numFmtId="9" fontId="10" fillId="2" borderId="4" xfId="2" applyFont="1" applyFill="1" applyBorder="1"/>
    <xf numFmtId="0" fontId="2" fillId="2" borderId="5" xfId="0" applyFont="1" applyFill="1" applyBorder="1"/>
    <xf numFmtId="0" fontId="2" fillId="2" borderId="6" xfId="0" applyFont="1" applyFill="1" applyBorder="1"/>
    <xf numFmtId="8" fontId="3" fillId="2" borderId="6" xfId="0" applyNumberFormat="1" applyFont="1" applyFill="1" applyBorder="1" applyAlignment="1">
      <alignment horizontal="center"/>
    </xf>
    <xf numFmtId="9" fontId="12" fillId="2" borderId="7" xfId="2" applyFont="1" applyFill="1" applyBorder="1"/>
    <xf numFmtId="8" fontId="9" fillId="2" borderId="6" xfId="0" applyNumberFormat="1" applyFont="1" applyFill="1" applyBorder="1" applyAlignment="1">
      <alignment horizontal="center"/>
    </xf>
    <xf numFmtId="9" fontId="10" fillId="2" borderId="7" xfId="2" applyFont="1" applyFill="1" applyBorder="1"/>
    <xf numFmtId="0" fontId="10" fillId="2" borderId="3" xfId="0" applyFont="1" applyFill="1" applyBorder="1"/>
    <xf numFmtId="3" fontId="3" fillId="2" borderId="0" xfId="0" applyNumberFormat="1" applyFont="1" applyFill="1" applyBorder="1" applyAlignment="1">
      <alignment horizontal="center"/>
    </xf>
    <xf numFmtId="3" fontId="3" fillId="2" borderId="4" xfId="0" applyNumberFormat="1" applyFont="1" applyFill="1" applyBorder="1" applyAlignment="1">
      <alignment horizontal="center"/>
    </xf>
    <xf numFmtId="10" fontId="3" fillId="2" borderId="0" xfId="0" applyNumberFormat="1" applyFont="1" applyFill="1" applyBorder="1" applyAlignment="1">
      <alignment horizontal="center"/>
    </xf>
    <xf numFmtId="10" fontId="3" fillId="2" borderId="4" xfId="0" applyNumberFormat="1" applyFont="1" applyFill="1" applyBorder="1" applyAlignment="1">
      <alignment horizontal="center"/>
    </xf>
    <xf numFmtId="6" fontId="3" fillId="2" borderId="0" xfId="0" applyNumberFormat="1" applyFont="1" applyFill="1" applyBorder="1" applyAlignment="1">
      <alignment horizontal="center"/>
    </xf>
    <xf numFmtId="6" fontId="3" fillId="2" borderId="4" xfId="0" applyNumberFormat="1" applyFont="1" applyFill="1" applyBorder="1" applyAlignment="1">
      <alignment horizontal="center"/>
    </xf>
    <xf numFmtId="38" fontId="3" fillId="2" borderId="0" xfId="0" applyNumberFormat="1" applyFont="1" applyFill="1" applyBorder="1" applyAlignment="1">
      <alignment horizontal="center"/>
    </xf>
    <xf numFmtId="38" fontId="3" fillId="2" borderId="0" xfId="0" quotePrefix="1" applyNumberFormat="1" applyFont="1" applyFill="1" applyBorder="1" applyAlignment="1">
      <alignment horizontal="center"/>
    </xf>
    <xf numFmtId="38" fontId="3" fillId="2" borderId="4" xfId="0" applyNumberFormat="1" applyFont="1" applyFill="1" applyBorder="1" applyAlignment="1">
      <alignment horizontal="center"/>
    </xf>
    <xf numFmtId="0" fontId="10" fillId="2" borderId="5" xfId="0" applyFont="1" applyFill="1" applyBorder="1"/>
    <xf numFmtId="38" fontId="3" fillId="2" borderId="6" xfId="0" applyNumberFormat="1" applyFont="1" applyFill="1" applyBorder="1" applyAlignment="1">
      <alignment horizontal="center"/>
    </xf>
    <xf numFmtId="38" fontId="3" fillId="2" borderId="7" xfId="0" applyNumberFormat="1" applyFont="1" applyFill="1" applyBorder="1" applyAlignment="1">
      <alignment horizontal="center"/>
    </xf>
    <xf numFmtId="0" fontId="12" fillId="2" borderId="3" xfId="0" applyFont="1" applyFill="1" applyBorder="1"/>
    <xf numFmtId="0" fontId="12" fillId="2" borderId="5" xfId="0" applyFont="1" applyFill="1" applyBorder="1"/>
    <xf numFmtId="6" fontId="3" fillId="2" borderId="7" xfId="0" applyNumberFormat="1" applyFont="1" applyFill="1" applyBorder="1" applyAlignment="1">
      <alignment horizontal="center"/>
    </xf>
    <xf numFmtId="0" fontId="10" fillId="2" borderId="0" xfId="0" applyFont="1" applyFill="1" applyAlignment="1">
      <alignment horizontal="center" vertical="center" wrapText="1"/>
    </xf>
    <xf numFmtId="0" fontId="16" fillId="2" borderId="0" xfId="0" applyFont="1" applyFill="1"/>
    <xf numFmtId="0" fontId="16" fillId="2" borderId="0" xfId="0" applyFont="1" applyFill="1" applyBorder="1"/>
    <xf numFmtId="2" fontId="3" fillId="2" borderId="0" xfId="0" applyNumberFormat="1" applyFont="1" applyFill="1"/>
    <xf numFmtId="0" fontId="13" fillId="2" borderId="0" xfId="0" applyFont="1" applyFill="1" applyBorder="1" applyAlignment="1">
      <alignment horizontal="center" vertical="center" wrapText="1"/>
    </xf>
    <xf numFmtId="9" fontId="3" fillId="2" borderId="0" xfId="2" applyFont="1" applyFill="1" applyBorder="1"/>
    <xf numFmtId="3" fontId="3" fillId="4" borderId="0" xfId="0" applyNumberFormat="1" applyFont="1" applyFill="1" applyBorder="1" applyAlignment="1">
      <alignment horizontal="center"/>
    </xf>
    <xf numFmtId="9" fontId="3" fillId="4" borderId="2" xfId="2" applyFont="1" applyFill="1" applyBorder="1" applyAlignment="1">
      <alignment horizontal="center"/>
    </xf>
    <xf numFmtId="0" fontId="12" fillId="4" borderId="3" xfId="0" applyFont="1" applyFill="1" applyBorder="1"/>
    <xf numFmtId="6" fontId="9" fillId="4" borderId="0" xfId="0" applyNumberFormat="1" applyFont="1" applyFill="1" applyBorder="1" applyAlignment="1">
      <alignment horizontal="center"/>
    </xf>
    <xf numFmtId="6" fontId="9" fillId="4" borderId="4" xfId="0" applyNumberFormat="1" applyFont="1" applyFill="1" applyBorder="1" applyAlignment="1">
      <alignment horizontal="center"/>
    </xf>
    <xf numFmtId="10" fontId="9" fillId="4" borderId="0" xfId="2" applyNumberFormat="1" applyFont="1" applyFill="1" applyBorder="1" applyAlignment="1">
      <alignment horizontal="center"/>
    </xf>
    <xf numFmtId="10" fontId="9" fillId="4" borderId="4" xfId="2" applyNumberFormat="1" applyFont="1" applyFill="1" applyBorder="1" applyAlignment="1">
      <alignment horizontal="center"/>
    </xf>
    <xf numFmtId="0" fontId="9" fillId="2" borderId="0" xfId="0" applyFont="1" applyFill="1" applyBorder="1"/>
    <xf numFmtId="0" fontId="8" fillId="2" borderId="0" xfId="0" applyFont="1" applyFill="1" applyBorder="1"/>
    <xf numFmtId="0" fontId="15" fillId="2" borderId="0" xfId="0" applyFont="1" applyFill="1" applyBorder="1"/>
    <xf numFmtId="0" fontId="14" fillId="2" borderId="0" xfId="0" applyFont="1" applyFill="1" applyBorder="1"/>
    <xf numFmtId="0" fontId="10" fillId="2" borderId="0" xfId="0" applyFont="1" applyFill="1" applyBorder="1"/>
    <xf numFmtId="0" fontId="9" fillId="5" borderId="14" xfId="0" applyFont="1" applyFill="1" applyBorder="1" applyAlignment="1">
      <alignment horizontal="center" vertical="center" wrapText="1"/>
    </xf>
    <xf numFmtId="0" fontId="9" fillId="5" borderId="15"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18" fillId="5" borderId="0" xfId="0" applyFont="1" applyFill="1" applyBorder="1"/>
    <xf numFmtId="0" fontId="9" fillId="5" borderId="12" xfId="0" applyFont="1" applyFill="1" applyBorder="1" applyAlignment="1">
      <alignment horizontal="center"/>
    </xf>
    <xf numFmtId="0" fontId="9" fillId="5" borderId="13" xfId="0" applyFont="1" applyFill="1" applyBorder="1" applyAlignment="1">
      <alignment horizontal="center"/>
    </xf>
    <xf numFmtId="0" fontId="3" fillId="2" borderId="6" xfId="0" applyFont="1" applyFill="1" applyBorder="1"/>
    <xf numFmtId="49" fontId="3" fillId="2" borderId="6" xfId="0" applyNumberFormat="1" applyFont="1" applyFill="1" applyBorder="1" applyAlignment="1">
      <alignment horizontal="center"/>
    </xf>
    <xf numFmtId="2" fontId="3" fillId="2" borderId="6" xfId="0" applyNumberFormat="1" applyFont="1" applyFill="1" applyBorder="1" applyAlignment="1">
      <alignment horizontal="center"/>
    </xf>
    <xf numFmtId="8" fontId="3" fillId="4" borderId="6" xfId="0" applyNumberFormat="1" applyFont="1" applyFill="1" applyBorder="1" applyAlignment="1">
      <alignment horizontal="center"/>
    </xf>
    <xf numFmtId="3" fontId="3" fillId="4" borderId="6" xfId="0" applyNumberFormat="1" applyFont="1" applyFill="1" applyBorder="1" applyAlignment="1">
      <alignment horizontal="center"/>
    </xf>
    <xf numFmtId="9" fontId="3" fillId="4" borderId="17" xfId="2" applyFont="1" applyFill="1" applyBorder="1" applyAlignment="1">
      <alignment horizontal="center"/>
    </xf>
    <xf numFmtId="49" fontId="3" fillId="2" borderId="0" xfId="0" applyNumberFormat="1" applyFont="1" applyFill="1" applyBorder="1" applyAlignment="1">
      <alignment horizontal="center"/>
    </xf>
    <xf numFmtId="2" fontId="3" fillId="2" borderId="0" xfId="0" applyNumberFormat="1" applyFont="1" applyFill="1" applyBorder="1" applyAlignment="1">
      <alignment horizontal="center"/>
    </xf>
    <xf numFmtId="8" fontId="3" fillId="4" borderId="0" xfId="0" applyNumberFormat="1" applyFont="1" applyFill="1" applyBorder="1" applyAlignment="1">
      <alignment horizontal="center"/>
    </xf>
    <xf numFmtId="165" fontId="9" fillId="2" borderId="0" xfId="0" applyNumberFormat="1" applyFont="1" applyFill="1"/>
    <xf numFmtId="0" fontId="3" fillId="2" borderId="3" xfId="0" applyFont="1" applyFill="1" applyBorder="1"/>
    <xf numFmtId="9" fontId="3" fillId="2" borderId="4" xfId="2" applyFont="1" applyFill="1" applyBorder="1" applyAlignment="1">
      <alignment horizontal="center"/>
    </xf>
    <xf numFmtId="0" fontId="3" fillId="2" borderId="0" xfId="0" applyFont="1" applyFill="1" applyBorder="1" applyAlignment="1">
      <alignment horizontal="center"/>
    </xf>
    <xf numFmtId="0" fontId="3" fillId="2" borderId="5" xfId="0" applyFont="1" applyFill="1" applyBorder="1"/>
    <xf numFmtId="9" fontId="3" fillId="2" borderId="7" xfId="2" applyFont="1" applyFill="1" applyBorder="1" applyAlignment="1">
      <alignment horizontal="center"/>
    </xf>
    <xf numFmtId="9" fontId="9" fillId="5" borderId="15" xfId="0" applyNumberFormat="1" applyFont="1" applyFill="1" applyBorder="1" applyAlignment="1">
      <alignment horizontal="center" vertical="center" wrapText="1"/>
    </xf>
    <xf numFmtId="0" fontId="9" fillId="5" borderId="18" xfId="0" applyFont="1" applyFill="1" applyBorder="1" applyAlignment="1">
      <alignment horizontal="center" vertical="center" wrapText="1"/>
    </xf>
    <xf numFmtId="0" fontId="9" fillId="5" borderId="19" xfId="0" applyFont="1" applyFill="1" applyBorder="1" applyAlignment="1">
      <alignment horizontal="center" vertical="center" wrapText="1"/>
    </xf>
    <xf numFmtId="3" fontId="3" fillId="5" borderId="0" xfId="0" applyNumberFormat="1" applyFont="1" applyFill="1" applyBorder="1" applyAlignment="1">
      <alignment horizontal="center"/>
    </xf>
    <xf numFmtId="10" fontId="3" fillId="5" borderId="0" xfId="0" applyNumberFormat="1" applyFont="1" applyFill="1" applyBorder="1" applyAlignment="1">
      <alignment horizontal="center"/>
    </xf>
    <xf numFmtId="6" fontId="3" fillId="5" borderId="0" xfId="0" applyNumberFormat="1" applyFont="1" applyFill="1" applyBorder="1" applyAlignment="1">
      <alignment horizontal="center"/>
    </xf>
    <xf numFmtId="6" fontId="9" fillId="5" borderId="0" xfId="0" applyNumberFormat="1" applyFont="1" applyFill="1" applyBorder="1" applyAlignment="1">
      <alignment horizontal="center"/>
    </xf>
    <xf numFmtId="10" fontId="9" fillId="5" borderId="0" xfId="2" applyNumberFormat="1" applyFont="1" applyFill="1" applyBorder="1" applyAlignment="1">
      <alignment horizontal="center"/>
    </xf>
    <xf numFmtId="38" fontId="3" fillId="5" borderId="0" xfId="0" applyNumberFormat="1" applyFont="1" applyFill="1" applyBorder="1" applyAlignment="1">
      <alignment horizontal="center"/>
    </xf>
    <xf numFmtId="38" fontId="3" fillId="5" borderId="0" xfId="0" quotePrefix="1" applyNumberFormat="1" applyFont="1" applyFill="1" applyBorder="1" applyAlignment="1">
      <alignment horizontal="center"/>
    </xf>
    <xf numFmtId="0" fontId="9" fillId="5" borderId="0" xfId="0" applyFont="1" applyFill="1" applyBorder="1" applyAlignment="1">
      <alignment horizontal="center" vertical="center" wrapText="1"/>
    </xf>
    <xf numFmtId="0" fontId="10" fillId="5" borderId="0" xfId="0" applyFont="1" applyFill="1" applyBorder="1"/>
    <xf numFmtId="0" fontId="12" fillId="5" borderId="0" xfId="0" applyFont="1" applyFill="1" applyBorder="1"/>
    <xf numFmtId="0" fontId="11" fillId="5" borderId="14" xfId="0" applyFont="1" applyFill="1" applyBorder="1" applyAlignment="1">
      <alignment horizontal="center" vertical="center" wrapText="1"/>
    </xf>
    <xf numFmtId="0" fontId="11" fillId="5" borderId="15" xfId="0" applyFont="1" applyFill="1" applyBorder="1" applyAlignment="1">
      <alignment horizontal="center" vertical="center" wrapText="1"/>
    </xf>
    <xf numFmtId="0" fontId="11" fillId="5" borderId="16" xfId="0" applyFont="1" applyFill="1" applyBorder="1" applyAlignment="1">
      <alignment horizontal="center" vertical="center" wrapText="1"/>
    </xf>
    <xf numFmtId="0" fontId="10" fillId="6" borderId="3" xfId="0" applyFont="1" applyFill="1" applyBorder="1"/>
    <xf numFmtId="0" fontId="2" fillId="6" borderId="0" xfId="0" applyFont="1" applyFill="1" applyBorder="1"/>
    <xf numFmtId="8" fontId="3" fillId="6" borderId="0" xfId="0" applyNumberFormat="1" applyFont="1" applyFill="1" applyBorder="1" applyAlignment="1">
      <alignment horizontal="center"/>
    </xf>
    <xf numFmtId="9" fontId="12" fillId="6" borderId="4" xfId="2" applyFont="1" applyFill="1" applyBorder="1"/>
    <xf numFmtId="0" fontId="2" fillId="5" borderId="3" xfId="0" applyFont="1" applyFill="1" applyBorder="1"/>
    <xf numFmtId="0" fontId="2" fillId="5" borderId="0" xfId="0" applyFont="1" applyFill="1" applyBorder="1"/>
    <xf numFmtId="8" fontId="3" fillId="5" borderId="0" xfId="0" applyNumberFormat="1" applyFont="1" applyFill="1" applyBorder="1" applyAlignment="1">
      <alignment horizontal="center"/>
    </xf>
    <xf numFmtId="9" fontId="12" fillId="5" borderId="4" xfId="2" applyFont="1" applyFill="1" applyBorder="1"/>
    <xf numFmtId="0" fontId="10" fillId="6" borderId="5" xfId="0" applyFont="1" applyFill="1" applyBorder="1"/>
    <xf numFmtId="0" fontId="2" fillId="6" borderId="6" xfId="0" applyFont="1" applyFill="1" applyBorder="1"/>
    <xf numFmtId="8" fontId="3" fillId="6" borderId="6" xfId="0" applyNumberFormat="1" applyFont="1" applyFill="1" applyBorder="1" applyAlignment="1">
      <alignment horizontal="center"/>
    </xf>
    <xf numFmtId="0" fontId="11" fillId="5" borderId="15" xfId="0" applyFont="1" applyFill="1" applyBorder="1" applyAlignment="1">
      <alignment horizontal="centerContinuous" vertical="center" wrapText="1"/>
    </xf>
    <xf numFmtId="38" fontId="3" fillId="6" borderId="0" xfId="0" applyNumberFormat="1" applyFont="1" applyFill="1" applyBorder="1"/>
    <xf numFmtId="38" fontId="3" fillId="5" borderId="0" xfId="0" applyNumberFormat="1" applyFont="1" applyFill="1" applyBorder="1"/>
    <xf numFmtId="38" fontId="3" fillId="6" borderId="6" xfId="0" applyNumberFormat="1" applyFont="1" applyFill="1" applyBorder="1"/>
    <xf numFmtId="9" fontId="19" fillId="6" borderId="4" xfId="2" applyFont="1" applyFill="1" applyBorder="1"/>
    <xf numFmtId="9" fontId="19" fillId="5" borderId="4" xfId="2" applyFont="1" applyFill="1" applyBorder="1"/>
    <xf numFmtId="9" fontId="19" fillId="6" borderId="7" xfId="2" applyFont="1" applyFill="1" applyBorder="1"/>
    <xf numFmtId="0" fontId="1" fillId="6" borderId="0" xfId="0" applyFont="1" applyFill="1" applyBorder="1"/>
    <xf numFmtId="0" fontId="1" fillId="5" borderId="0" xfId="0" applyFont="1" applyFill="1" applyBorder="1"/>
    <xf numFmtId="0" fontId="1" fillId="6" borderId="6" xfId="0" applyFont="1" applyFill="1" applyBorder="1"/>
    <xf numFmtId="9" fontId="9" fillId="6" borderId="4" xfId="2" applyFont="1" applyFill="1" applyBorder="1"/>
  </cellXfs>
  <cellStyles count="4">
    <cellStyle name="Normal" xfId="0" builtinId="0"/>
    <cellStyle name="Normal 2" xfId="1"/>
    <cellStyle name="Percent" xfId="2" builtinId="5"/>
    <cellStyle name="Percent 2" xfId="3"/>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jennifer.liu@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177613</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twoCellAnchor>
    <xdr:from>
      <xdr:col>0</xdr:col>
      <xdr:colOff>291354</xdr:colOff>
      <xdr:row>15</xdr:row>
      <xdr:rowOff>73960</xdr:rowOff>
    </xdr:from>
    <xdr:to>
      <xdr:col>10</xdr:col>
      <xdr:colOff>231403</xdr:colOff>
      <xdr:row>29</xdr:row>
      <xdr:rowOff>144557</xdr:rowOff>
    </xdr:to>
    <xdr:sp macro="" textlink="">
      <xdr:nvSpPr>
        <xdr:cNvPr id="5" name="TextBox 4"/>
        <xdr:cNvSpPr txBox="1"/>
      </xdr:nvSpPr>
      <xdr:spPr>
        <a:xfrm>
          <a:off x="291354" y="2427195"/>
          <a:ext cx="5991225" cy="226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itchFamily="34" charset="0"/>
              <a:ea typeface="+mn-ea"/>
              <a:cs typeface="Arial" pitchFamily="34" charset="0"/>
            </a:rPr>
            <a:t>Disclaimer</a:t>
          </a:r>
          <a:endParaRPr lang="en-US" sz="900">
            <a:solidFill>
              <a:schemeClr val="dk1"/>
            </a:solidFill>
            <a:effectLst/>
            <a:latin typeface="Arial" pitchFamily="34" charset="0"/>
            <a:ea typeface="+mn-ea"/>
            <a:cs typeface="Arial" pitchFamily="34" charset="0"/>
          </a:endParaRPr>
        </a:p>
        <a:p>
          <a:r>
            <a:rPr lang="en-US" sz="900">
              <a:solidFill>
                <a:schemeClr val="dk1"/>
              </a:solidFill>
              <a:effectLst/>
              <a:latin typeface="Arial" pitchFamily="34" charset="0"/>
              <a:ea typeface="+mn-ea"/>
              <a:cs typeface="Arial" pitchFamily="34" charset="0"/>
            </a:rPr>
            <a:t>©2015, Instinet Incorporated and its subsidiaries. All rights reserved. INSTINET is a registered trademark in the United States and other countries throughout the world. The information, tools and material presented in this market commentary have been prepared or distributed by individual Sales Trading personnel of Instinet, LLC, member SIPC (“Instinet”). This commentary is not investment research as defined by U.S. rules and regulations. It is not a recommendation for any particular client to take or refrain from taking any action with respect to any securities or strategies discussed therein and does not constitute an offer or solicitation with respect to the purchase or sale of any security. Affiliates of Instinet may receive this commentary simultaneously with Instinet clients. This commentary is provided on an "as is" basis and is approved for distribution to institutional clients only. It contains material that is owned by Instinet or its licensors, and may not, in whole or in part, be (i) copied, photocopied, or duplicated in any form, by any means, or (ii) redistributed, posted, published, excerpted, or quoted without Instinet’s prior written consent. References to research reports prepared by affiliates of Nomura Holdings, Inc. ("Nomura"), a publicly traded company and affiliate of Instinet, should be read in conjunction with the full text of the actual report, available at http://www.nomura.com/research. Contact your Instinet sales representative at 212-310-9510 for assistance with accessing the reports. Please access the following link for important related information and instructions at </a:t>
          </a:r>
          <a:r>
            <a:rPr lang="en-US" sz="900" u="sng">
              <a:solidFill>
                <a:schemeClr val="dk1"/>
              </a:solidFill>
              <a:effectLst/>
              <a:latin typeface="Arial" pitchFamily="34" charset="0"/>
              <a:ea typeface="+mn-ea"/>
              <a:cs typeface="Arial" pitchFamily="34" charset="0"/>
              <a:hlinkClick xmlns:r="http://schemas.openxmlformats.org/officeDocument/2006/relationships" r:id=""/>
            </a:rPr>
            <a:t>http://instinet.com/includes/index.jsp?thePage=/html/le_salestradingcomm.txt</a:t>
          </a:r>
          <a:r>
            <a:rPr lang="en-US" sz="900">
              <a:solidFill>
                <a:schemeClr val="dk1"/>
              </a:solidFill>
              <a:effectLst/>
              <a:latin typeface="Arial" pitchFamily="34" charset="0"/>
              <a:ea typeface="+mn-ea"/>
              <a:cs typeface="Arial" pitchFamily="34" charset="0"/>
            </a:rPr>
            <a:t>.</a:t>
          </a:r>
        </a:p>
        <a:p>
          <a:endParaRPr lang="en-US" sz="900">
            <a:latin typeface="Arial" pitchFamily="34" charset="0"/>
            <a:cs typeface="Arial"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6" name="TextBox 5">
          <a:hlinkClick xmlns:r="http://schemas.openxmlformats.org/officeDocument/2006/relationships" r:id="rId2"/>
        </xdr:cNvPr>
        <xdr:cNvSpPr txBox="1"/>
      </xdr:nvSpPr>
      <xdr:spPr>
        <a:xfrm>
          <a:off x="300879" y="1131794"/>
          <a:ext cx="5981700"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Jennifer Liu			Peter Holowesko</a:t>
          </a:r>
          <a:br>
            <a:rPr lang="en-US" sz="900">
              <a:latin typeface="Arial" pitchFamily="34" charset="0"/>
              <a:cs typeface="Arial" pitchFamily="34" charset="0"/>
            </a:rPr>
          </a:br>
          <a:r>
            <a:rPr lang="en-US" sz="900">
              <a:latin typeface="Arial" pitchFamily="34" charset="0"/>
              <a:cs typeface="Arial" pitchFamily="34" charset="0"/>
            </a:rPr>
            <a:t>Instinet LLC			Instinet LLC</a:t>
          </a:r>
          <a:br>
            <a:rPr lang="en-US" sz="900">
              <a:latin typeface="Arial" pitchFamily="34" charset="0"/>
              <a:cs typeface="Arial" pitchFamily="34" charset="0"/>
            </a:rPr>
          </a:br>
          <a:r>
            <a:rPr lang="en-US" sz="900">
              <a:latin typeface="Arial" pitchFamily="34" charset="0"/>
              <a:cs typeface="Arial" pitchFamily="34" charset="0"/>
            </a:rPr>
            <a:t>jennifer.liu@instinet.com		peter.holowesko@instinet.com</a:t>
          </a:r>
        </a:p>
        <a:p>
          <a:r>
            <a:rPr lang="en-US" sz="900">
              <a:latin typeface="Arial" pitchFamily="34" charset="0"/>
              <a:cs typeface="Arial" pitchFamily="34" charset="0"/>
            </a:rPr>
            <a:t>212-310-7105			212-310-7207</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520"/>
  <sheetViews>
    <sheetView tabSelected="1" zoomScale="85" zoomScaleNormal="85" workbookViewId="0">
      <pane ySplit="11" topLeftCell="A12" activePane="bottomLeft" state="frozen"/>
      <selection activeCell="Y530" sqref="Y530"/>
      <selection pane="bottomLeft" activeCell="A12" sqref="A12"/>
    </sheetView>
  </sheetViews>
  <sheetFormatPr defaultRowHeight="12.75"/>
  <cols>
    <col min="1" max="1" width="9.140625" style="5"/>
    <col min="2" max="2" width="11" style="5" bestFit="1" customWidth="1"/>
    <col min="3" max="4" width="19.7109375" style="5" customWidth="1"/>
    <col min="5" max="5" width="9.140625" style="5"/>
    <col min="6" max="6" width="15.5703125" style="5" bestFit="1" customWidth="1"/>
    <col min="7" max="7" width="10.140625" style="80" customWidth="1"/>
    <col min="8" max="8" width="10.42578125" style="5" bestFit="1" customWidth="1"/>
    <col min="9" max="9" width="10.85546875" style="5" bestFit="1" customWidth="1"/>
    <col min="10" max="10" width="12.85546875" style="27" bestFit="1" customWidth="1"/>
    <col min="11" max="11" width="12.28515625" style="27" customWidth="1"/>
    <col min="12" max="16" width="9.140625" style="5"/>
    <col min="17" max="17" width="12.42578125" style="5" bestFit="1" customWidth="1"/>
    <col min="18" max="16384" width="9.140625" style="5"/>
  </cols>
  <sheetData>
    <row r="3" spans="1:15">
      <c r="G3" s="5"/>
    </row>
    <row r="4" spans="1:15">
      <c r="G4" s="5"/>
      <c r="L4" s="23"/>
      <c r="M4" s="23"/>
    </row>
    <row r="5" spans="1:15">
      <c r="G5" s="5"/>
    </row>
    <row r="6" spans="1:15">
      <c r="G6" s="5"/>
      <c r="L6" s="23"/>
      <c r="M6" s="23"/>
    </row>
    <row r="7" spans="1:15">
      <c r="G7" s="5"/>
      <c r="L7" s="23"/>
      <c r="M7" s="23"/>
    </row>
    <row r="8" spans="1:15" s="78" customFormat="1" ht="15.75">
      <c r="A8" s="3"/>
      <c r="B8" s="4" t="s">
        <v>1649</v>
      </c>
      <c r="J8" s="79"/>
      <c r="K8" s="79"/>
    </row>
    <row r="9" spans="1:15" s="78" customFormat="1" ht="15.75">
      <c r="A9" s="3"/>
      <c r="B9" s="4" t="s">
        <v>1650</v>
      </c>
      <c r="J9" s="79"/>
      <c r="K9" s="79"/>
    </row>
    <row r="10" spans="1:15">
      <c r="A10" s="48"/>
      <c r="G10" s="5"/>
    </row>
    <row r="11" spans="1:15" s="28" customFormat="1" ht="63.75">
      <c r="A11" s="95" t="s">
        <v>929</v>
      </c>
      <c r="B11" s="96" t="s">
        <v>930</v>
      </c>
      <c r="C11" s="96" t="s">
        <v>932</v>
      </c>
      <c r="D11" s="96" t="s">
        <v>933</v>
      </c>
      <c r="E11" s="96" t="s">
        <v>965</v>
      </c>
      <c r="F11" s="96" t="s">
        <v>953</v>
      </c>
      <c r="G11" s="96" t="s">
        <v>1652</v>
      </c>
      <c r="H11" s="96" t="s">
        <v>964</v>
      </c>
      <c r="I11" s="96" t="s">
        <v>958</v>
      </c>
      <c r="J11" s="96" t="s">
        <v>959</v>
      </c>
      <c r="K11" s="118" t="s">
        <v>1410</v>
      </c>
      <c r="L11" s="97" t="s">
        <v>924</v>
      </c>
      <c r="M11" s="81"/>
    </row>
    <row r="12" spans="1:15">
      <c r="A12" s="111" t="s">
        <v>1712</v>
      </c>
      <c r="B12" s="107" t="s">
        <v>1718</v>
      </c>
      <c r="C12" s="27" t="s">
        <v>1371</v>
      </c>
      <c r="D12" s="27" t="s">
        <v>1168</v>
      </c>
      <c r="E12" s="27" t="s">
        <v>966</v>
      </c>
      <c r="F12" s="27" t="s">
        <v>2629</v>
      </c>
      <c r="G12" s="108">
        <v>59.78</v>
      </c>
      <c r="H12" s="109">
        <v>2558.8167804703548</v>
      </c>
      <c r="I12" s="83">
        <v>42803893.952331118</v>
      </c>
      <c r="J12" s="83">
        <v>3237795.25</v>
      </c>
      <c r="K12" s="84">
        <v>13.220074355329022</v>
      </c>
      <c r="L12" s="112">
        <v>13.220074355329022</v>
      </c>
      <c r="M12" s="82"/>
    </row>
    <row r="13" spans="1:15">
      <c r="A13" s="111" t="s">
        <v>1608</v>
      </c>
      <c r="B13" s="107" t="s">
        <v>1720</v>
      </c>
      <c r="C13" s="27" t="s">
        <v>1634</v>
      </c>
      <c r="D13" s="27" t="s">
        <v>1151</v>
      </c>
      <c r="E13" s="27" t="s">
        <v>966</v>
      </c>
      <c r="F13" s="27" t="s">
        <v>967</v>
      </c>
      <c r="G13" s="108">
        <v>94.19</v>
      </c>
      <c r="H13" s="109">
        <v>1766.8166423473688</v>
      </c>
      <c r="I13" s="83">
        <v>18758006.607361384</v>
      </c>
      <c r="J13" s="83">
        <v>37423564</v>
      </c>
      <c r="K13" s="84">
        <v>0.50123517384291305</v>
      </c>
      <c r="L13" s="112">
        <v>0.50123517384291305</v>
      </c>
      <c r="M13" s="82"/>
      <c r="O13" s="27"/>
    </row>
    <row r="14" spans="1:15">
      <c r="A14" s="111" t="s">
        <v>1711</v>
      </c>
      <c r="B14" s="107" t="s">
        <v>1721</v>
      </c>
      <c r="C14" s="27" t="s">
        <v>1560</v>
      </c>
      <c r="D14" s="27" t="s">
        <v>1168</v>
      </c>
      <c r="E14" s="27" t="s">
        <v>966</v>
      </c>
      <c r="F14" s="27" t="s">
        <v>2629</v>
      </c>
      <c r="G14" s="108">
        <v>29.48</v>
      </c>
      <c r="H14" s="109">
        <v>1477.1374064411498</v>
      </c>
      <c r="I14" s="83">
        <v>50106424.913200468</v>
      </c>
      <c r="J14" s="83">
        <v>4235204.5</v>
      </c>
      <c r="K14" s="84">
        <v>11.830933999338278</v>
      </c>
      <c r="L14" s="112">
        <v>11.830933999338278</v>
      </c>
      <c r="M14" s="82"/>
    </row>
    <row r="15" spans="1:15">
      <c r="A15" s="111" t="s">
        <v>1013</v>
      </c>
      <c r="B15" s="107" t="s">
        <v>1717</v>
      </c>
      <c r="C15" s="27" t="s">
        <v>1638</v>
      </c>
      <c r="D15" s="27" t="s">
        <v>1151</v>
      </c>
      <c r="E15" s="27" t="s">
        <v>966</v>
      </c>
      <c r="F15" s="27" t="s">
        <v>967</v>
      </c>
      <c r="G15" s="108">
        <v>659.56</v>
      </c>
      <c r="H15" s="109">
        <v>487.53398804672059</v>
      </c>
      <c r="I15" s="83">
        <v>739180.6477753662</v>
      </c>
      <c r="J15" s="83">
        <v>3139947.75</v>
      </c>
      <c r="K15" s="84">
        <v>0.23541176689177909</v>
      </c>
      <c r="L15" s="112">
        <v>0.23541176689177909</v>
      </c>
      <c r="M15" s="82"/>
    </row>
    <row r="16" spans="1:15">
      <c r="A16" s="111" t="s">
        <v>1385</v>
      </c>
      <c r="B16" s="107" t="s">
        <v>1723</v>
      </c>
      <c r="C16" s="27" t="s">
        <v>1369</v>
      </c>
      <c r="D16" s="27" t="s">
        <v>1157</v>
      </c>
      <c r="E16" s="27" t="s">
        <v>966</v>
      </c>
      <c r="F16" s="27" t="s">
        <v>967</v>
      </c>
      <c r="G16" s="108">
        <v>141.6</v>
      </c>
      <c r="H16" s="109">
        <v>517.3062570729137</v>
      </c>
      <c r="I16" s="83">
        <v>3653292.7759386562</v>
      </c>
      <c r="J16" s="83">
        <v>2929229.75</v>
      </c>
      <c r="K16" s="84">
        <v>1.2471854677628671</v>
      </c>
      <c r="L16" s="112">
        <v>1.2471854677628671</v>
      </c>
      <c r="M16" s="82"/>
    </row>
    <row r="17" spans="1:13">
      <c r="A17" s="111" t="s">
        <v>1610</v>
      </c>
      <c r="B17" s="107" t="s">
        <v>2627</v>
      </c>
      <c r="C17" s="27" t="s">
        <v>1637</v>
      </c>
      <c r="D17" s="27" t="s">
        <v>1151</v>
      </c>
      <c r="E17" s="27" t="s">
        <v>966</v>
      </c>
      <c r="F17" s="27" t="s">
        <v>967</v>
      </c>
      <c r="G17" s="108">
        <v>691.47</v>
      </c>
      <c r="H17" s="109">
        <v>379.32656119068355</v>
      </c>
      <c r="I17" s="83">
        <v>548579.92565213749</v>
      </c>
      <c r="J17" s="83">
        <v>3397501.75</v>
      </c>
      <c r="K17" s="84">
        <v>0.16146567861286237</v>
      </c>
      <c r="L17" s="112">
        <v>0.16146567861286237</v>
      </c>
      <c r="M17" s="82"/>
    </row>
    <row r="18" spans="1:13">
      <c r="A18" s="111" t="s">
        <v>1474</v>
      </c>
      <c r="B18" s="107" t="s">
        <v>1725</v>
      </c>
      <c r="C18" s="27" t="s">
        <v>1480</v>
      </c>
      <c r="D18" s="27" t="s">
        <v>1160</v>
      </c>
      <c r="E18" s="27" t="s">
        <v>966</v>
      </c>
      <c r="F18" s="27" t="s">
        <v>967</v>
      </c>
      <c r="G18" s="108">
        <v>33.85</v>
      </c>
      <c r="H18" s="109">
        <v>358.66663322813764</v>
      </c>
      <c r="I18" s="83">
        <v>10595764.644848971</v>
      </c>
      <c r="J18" s="83">
        <v>16696282</v>
      </c>
      <c r="K18" s="84">
        <v>0.63461821289607889</v>
      </c>
      <c r="L18" s="112">
        <v>0.63461821289607889</v>
      </c>
      <c r="M18" s="82"/>
    </row>
    <row r="19" spans="1:13">
      <c r="A19" s="111" t="s">
        <v>1549</v>
      </c>
      <c r="B19" s="107" t="s">
        <v>1726</v>
      </c>
      <c r="C19" s="27" t="s">
        <v>1559</v>
      </c>
      <c r="D19" s="27" t="s">
        <v>1170</v>
      </c>
      <c r="E19" s="27" t="s">
        <v>966</v>
      </c>
      <c r="F19" s="27" t="s">
        <v>967</v>
      </c>
      <c r="G19" s="108">
        <v>30.87</v>
      </c>
      <c r="H19" s="109">
        <v>344.29904016505424</v>
      </c>
      <c r="I19" s="83">
        <v>11153192.101232724</v>
      </c>
      <c r="J19" s="83">
        <v>19989974</v>
      </c>
      <c r="K19" s="84">
        <v>0.55793930003274261</v>
      </c>
      <c r="L19" s="112">
        <v>0.55793930003274261</v>
      </c>
      <c r="M19" s="82"/>
    </row>
    <row r="20" spans="1:13">
      <c r="A20" s="111" t="s">
        <v>860</v>
      </c>
      <c r="B20" s="107" t="s">
        <v>1727</v>
      </c>
      <c r="C20" s="27" t="s">
        <v>1065</v>
      </c>
      <c r="D20" s="27" t="s">
        <v>1169</v>
      </c>
      <c r="E20" s="27" t="s">
        <v>966</v>
      </c>
      <c r="F20" s="27" t="s">
        <v>967</v>
      </c>
      <c r="G20" s="108">
        <v>72.58</v>
      </c>
      <c r="H20" s="109">
        <v>318.50612090915695</v>
      </c>
      <c r="I20" s="83">
        <v>4388345.5622644937</v>
      </c>
      <c r="J20" s="83">
        <v>6375280</v>
      </c>
      <c r="K20" s="84">
        <v>0.68833769846414494</v>
      </c>
      <c r="L20" s="112">
        <v>0.68833769846414494</v>
      </c>
      <c r="M20" s="82"/>
    </row>
    <row r="21" spans="1:13">
      <c r="A21" s="111" t="s">
        <v>1675</v>
      </c>
      <c r="B21" s="107" t="s">
        <v>1729</v>
      </c>
      <c r="C21" s="27" t="s">
        <v>1696</v>
      </c>
      <c r="D21" s="27" t="s">
        <v>1149</v>
      </c>
      <c r="E21" s="27" t="s">
        <v>966</v>
      </c>
      <c r="F21" s="27" t="s">
        <v>967</v>
      </c>
      <c r="G21" s="108">
        <v>90.88</v>
      </c>
      <c r="H21" s="109">
        <v>236.89030981602721</v>
      </c>
      <c r="I21" s="83">
        <v>2606627.5287855114</v>
      </c>
      <c r="J21" s="83">
        <v>2337542.75</v>
      </c>
      <c r="K21" s="84">
        <v>1.1151143776025108</v>
      </c>
      <c r="L21" s="112">
        <v>1.1151143776025108</v>
      </c>
      <c r="M21" s="82"/>
    </row>
    <row r="22" spans="1:13">
      <c r="A22" s="111" t="s">
        <v>1393</v>
      </c>
      <c r="B22" s="107" t="s">
        <v>1731</v>
      </c>
      <c r="C22" s="27" t="s">
        <v>1382</v>
      </c>
      <c r="D22" s="27" t="s">
        <v>1151</v>
      </c>
      <c r="E22" s="27" t="s">
        <v>966</v>
      </c>
      <c r="F22" s="27" t="s">
        <v>967</v>
      </c>
      <c r="G22" s="108">
        <v>73.540000000000006</v>
      </c>
      <c r="H22" s="109">
        <v>216.40621105312206</v>
      </c>
      <c r="I22" s="83">
        <v>2942700.7214185754</v>
      </c>
      <c r="J22" s="83">
        <v>8780720</v>
      </c>
      <c r="K22" s="84">
        <v>0.33513205311393318</v>
      </c>
      <c r="L22" s="112">
        <v>0.33513205311393318</v>
      </c>
      <c r="M22" s="82"/>
    </row>
    <row r="23" spans="1:13">
      <c r="A23" s="111" t="s">
        <v>249</v>
      </c>
      <c r="B23" s="107" t="s">
        <v>1732</v>
      </c>
      <c r="C23" s="27" t="s">
        <v>81</v>
      </c>
      <c r="D23" s="27" t="s">
        <v>1155</v>
      </c>
      <c r="E23" s="27" t="s">
        <v>966</v>
      </c>
      <c r="F23" s="27" t="s">
        <v>967</v>
      </c>
      <c r="G23" s="108">
        <v>30.85</v>
      </c>
      <c r="H23" s="109">
        <v>192.91632622423879</v>
      </c>
      <c r="I23" s="83">
        <v>6253365.5178035256</v>
      </c>
      <c r="J23" s="83">
        <v>3820975.75</v>
      </c>
      <c r="K23" s="84">
        <v>1.6365886430458307</v>
      </c>
      <c r="L23" s="112">
        <v>1.6365886430458307</v>
      </c>
      <c r="M23" s="82"/>
    </row>
    <row r="24" spans="1:13">
      <c r="A24" s="111" t="s">
        <v>983</v>
      </c>
      <c r="B24" s="107" t="s">
        <v>1734</v>
      </c>
      <c r="C24" s="27" t="s">
        <v>870</v>
      </c>
      <c r="D24" s="27" t="s">
        <v>1159</v>
      </c>
      <c r="E24" s="27" t="s">
        <v>966</v>
      </c>
      <c r="F24" s="27" t="s">
        <v>969</v>
      </c>
      <c r="G24" s="108">
        <v>525.91</v>
      </c>
      <c r="H24" s="109">
        <v>185.86223738756524</v>
      </c>
      <c r="I24" s="83">
        <v>353410.73070975125</v>
      </c>
      <c r="J24" s="83">
        <v>5029059.5</v>
      </c>
      <c r="K24" s="84">
        <v>7.0273722295341956E-2</v>
      </c>
      <c r="L24" s="112">
        <v>7.0273722295341956E-2</v>
      </c>
      <c r="M24" s="82"/>
    </row>
    <row r="25" spans="1:13">
      <c r="A25" s="111" t="s">
        <v>1713</v>
      </c>
      <c r="B25" s="107" t="s">
        <v>1736</v>
      </c>
      <c r="C25" s="27" t="s">
        <v>1376</v>
      </c>
      <c r="D25" s="27" t="s">
        <v>1168</v>
      </c>
      <c r="E25" s="27" t="s">
        <v>966</v>
      </c>
      <c r="F25" s="27" t="s">
        <v>2629</v>
      </c>
      <c r="G25" s="108">
        <v>13.85</v>
      </c>
      <c r="H25" s="109">
        <v>173.06538916570454</v>
      </c>
      <c r="I25" s="83">
        <v>12495695.968642928</v>
      </c>
      <c r="J25" s="83">
        <v>944666.6875</v>
      </c>
      <c r="K25" s="84">
        <v>13.227624234016327</v>
      </c>
      <c r="L25" s="112">
        <v>13.227624234016327</v>
      </c>
      <c r="M25" s="82"/>
    </row>
    <row r="26" spans="1:13">
      <c r="A26" s="111" t="s">
        <v>1011</v>
      </c>
      <c r="B26" s="107" t="s">
        <v>1738</v>
      </c>
      <c r="C26" s="27" t="s">
        <v>896</v>
      </c>
      <c r="D26" s="27" t="s">
        <v>1164</v>
      </c>
      <c r="E26" s="27" t="s">
        <v>966</v>
      </c>
      <c r="F26" s="27" t="s">
        <v>969</v>
      </c>
      <c r="G26" s="108">
        <v>25.86</v>
      </c>
      <c r="H26" s="109">
        <v>169.64323148001529</v>
      </c>
      <c r="I26" s="83">
        <v>6560063.0889410395</v>
      </c>
      <c r="J26" s="83">
        <v>27260780</v>
      </c>
      <c r="K26" s="84">
        <v>0.24064106342302163</v>
      </c>
      <c r="L26" s="112">
        <v>0.24064106342302163</v>
      </c>
      <c r="M26" s="82"/>
    </row>
    <row r="27" spans="1:13">
      <c r="A27" s="111" t="s">
        <v>1439</v>
      </c>
      <c r="B27" s="107" t="s">
        <v>1740</v>
      </c>
      <c r="C27" s="27" t="s">
        <v>1435</v>
      </c>
      <c r="D27" s="27" t="s">
        <v>1148</v>
      </c>
      <c r="E27" s="27" t="s">
        <v>966</v>
      </c>
      <c r="F27" s="27" t="s">
        <v>967</v>
      </c>
      <c r="G27" s="108">
        <v>43.55</v>
      </c>
      <c r="H27" s="109">
        <v>140.91748687328692</v>
      </c>
      <c r="I27" s="83">
        <v>3235763.1888240394</v>
      </c>
      <c r="J27" s="83">
        <v>3986926.25</v>
      </c>
      <c r="K27" s="84">
        <v>0.81159343963887953</v>
      </c>
      <c r="L27" s="112">
        <v>0.81159343963887953</v>
      </c>
      <c r="M27" s="82"/>
    </row>
    <row r="28" spans="1:13">
      <c r="A28" s="111" t="s">
        <v>842</v>
      </c>
      <c r="B28" s="107" t="s">
        <v>1741</v>
      </c>
      <c r="C28" s="27" t="s">
        <v>1048</v>
      </c>
      <c r="D28" s="27" t="s">
        <v>1150</v>
      </c>
      <c r="E28" s="27" t="s">
        <v>966</v>
      </c>
      <c r="F28" s="27" t="s">
        <v>969</v>
      </c>
      <c r="G28" s="108">
        <v>35.369999999999997</v>
      </c>
      <c r="H28" s="109">
        <v>130.11171184864173</v>
      </c>
      <c r="I28" s="83">
        <v>3678589.5348781948</v>
      </c>
      <c r="J28" s="83">
        <v>22458762</v>
      </c>
      <c r="K28" s="84">
        <v>0.16379306815211786</v>
      </c>
      <c r="L28" s="112">
        <v>0.16379306815211786</v>
      </c>
      <c r="M28" s="82"/>
    </row>
    <row r="29" spans="1:13">
      <c r="A29" s="111" t="s">
        <v>1390</v>
      </c>
      <c r="B29" s="107" t="s">
        <v>1743</v>
      </c>
      <c r="C29" s="27" t="s">
        <v>1377</v>
      </c>
      <c r="D29" s="27" t="s">
        <v>1154</v>
      </c>
      <c r="E29" s="27" t="s">
        <v>966</v>
      </c>
      <c r="F29" s="27" t="s">
        <v>969</v>
      </c>
      <c r="G29" s="108">
        <v>108.4</v>
      </c>
      <c r="H29" s="109">
        <v>120.55178799481577</v>
      </c>
      <c r="I29" s="83">
        <v>1112101.3652658283</v>
      </c>
      <c r="J29" s="83">
        <v>2348679</v>
      </c>
      <c r="K29" s="84">
        <v>0.47350079140905521</v>
      </c>
      <c r="L29" s="112">
        <v>0.47350079140905521</v>
      </c>
      <c r="M29" s="82"/>
    </row>
    <row r="30" spans="1:13">
      <c r="A30" s="111" t="s">
        <v>849</v>
      </c>
      <c r="B30" s="107" t="s">
        <v>1745</v>
      </c>
      <c r="C30" s="27" t="s">
        <v>1055</v>
      </c>
      <c r="D30" s="27" t="s">
        <v>1158</v>
      </c>
      <c r="E30" s="27" t="s">
        <v>966</v>
      </c>
      <c r="F30" s="27" t="s">
        <v>969</v>
      </c>
      <c r="G30" s="108">
        <v>34.020000000000003</v>
      </c>
      <c r="H30" s="109">
        <v>113.2132047909071</v>
      </c>
      <c r="I30" s="83">
        <v>3327842.5864464166</v>
      </c>
      <c r="J30" s="83">
        <v>36637636</v>
      </c>
      <c r="K30" s="84">
        <v>9.083125850277067E-2</v>
      </c>
      <c r="L30" s="112">
        <v>9.083125850277067E-2</v>
      </c>
      <c r="M30" s="82"/>
    </row>
    <row r="31" spans="1:13">
      <c r="A31" s="111" t="s">
        <v>1208</v>
      </c>
      <c r="B31" s="107" t="s">
        <v>1747</v>
      </c>
      <c r="C31" s="27" t="s">
        <v>730</v>
      </c>
      <c r="D31" s="27" t="s">
        <v>1152</v>
      </c>
      <c r="E31" s="27" t="s">
        <v>966</v>
      </c>
      <c r="F31" s="27" t="s">
        <v>967</v>
      </c>
      <c r="G31" s="108">
        <v>51.26</v>
      </c>
      <c r="H31" s="109">
        <v>102.13477514895131</v>
      </c>
      <c r="I31" s="83">
        <v>1992484.8839046296</v>
      </c>
      <c r="J31" s="83">
        <v>6103099.5</v>
      </c>
      <c r="K31" s="84">
        <v>0.32647098149139298</v>
      </c>
      <c r="L31" s="112">
        <v>0.32647098149139298</v>
      </c>
      <c r="M31" s="82"/>
    </row>
    <row r="32" spans="1:13">
      <c r="A32" s="111" t="s">
        <v>1182</v>
      </c>
      <c r="B32" s="107" t="s">
        <v>1749</v>
      </c>
      <c r="C32" s="27" t="s">
        <v>1686</v>
      </c>
      <c r="D32" s="27" t="s">
        <v>1150</v>
      </c>
      <c r="E32" s="27" t="s">
        <v>966</v>
      </c>
      <c r="F32" s="27" t="s">
        <v>969</v>
      </c>
      <c r="G32" s="108">
        <v>315.81</v>
      </c>
      <c r="H32" s="109">
        <v>95.60588515952908</v>
      </c>
      <c r="I32" s="83">
        <v>302732.29207285732</v>
      </c>
      <c r="J32" s="83">
        <v>2697256.25</v>
      </c>
      <c r="K32" s="84">
        <v>0.11223712692216667</v>
      </c>
      <c r="L32" s="112">
        <v>0.11223712692216667</v>
      </c>
      <c r="M32" s="82"/>
    </row>
    <row r="33" spans="1:13">
      <c r="A33" s="111" t="s">
        <v>1020</v>
      </c>
      <c r="B33" s="107" t="s">
        <v>1751</v>
      </c>
      <c r="C33" s="27" t="s">
        <v>904</v>
      </c>
      <c r="D33" s="27" t="s">
        <v>1152</v>
      </c>
      <c r="E33" s="27" t="s">
        <v>966</v>
      </c>
      <c r="F33" s="27" t="s">
        <v>969</v>
      </c>
      <c r="G33" s="108">
        <v>29.46</v>
      </c>
      <c r="H33" s="109">
        <v>92.745221960132767</v>
      </c>
      <c r="I33" s="83">
        <v>3148174.5403982606</v>
      </c>
      <c r="J33" s="83">
        <v>33527726</v>
      </c>
      <c r="K33" s="84">
        <v>9.3897645799129376E-2</v>
      </c>
      <c r="L33" s="112">
        <v>9.3897645799129376E-2</v>
      </c>
      <c r="M33" s="82"/>
    </row>
    <row r="34" spans="1:13">
      <c r="A34" s="111" t="s">
        <v>1262</v>
      </c>
      <c r="B34" s="107" t="s">
        <v>1753</v>
      </c>
      <c r="C34" s="27" t="s">
        <v>778</v>
      </c>
      <c r="D34" s="27" t="s">
        <v>1162</v>
      </c>
      <c r="E34" s="27" t="s">
        <v>966</v>
      </c>
      <c r="F34" s="27" t="s">
        <v>967</v>
      </c>
      <c r="G34" s="108">
        <v>88.84</v>
      </c>
      <c r="H34" s="109">
        <v>86.695876515017204</v>
      </c>
      <c r="I34" s="83">
        <v>975865.33672914444</v>
      </c>
      <c r="J34" s="83">
        <v>1385619.625</v>
      </c>
      <c r="K34" s="84">
        <v>0.70428082795748825</v>
      </c>
      <c r="L34" s="112">
        <v>0.70428082795748825</v>
      </c>
      <c r="M34" s="82"/>
    </row>
    <row r="35" spans="1:13">
      <c r="A35" s="111" t="s">
        <v>854</v>
      </c>
      <c r="B35" s="107" t="s">
        <v>1755</v>
      </c>
      <c r="C35" s="27" t="s">
        <v>1060</v>
      </c>
      <c r="D35" s="27" t="s">
        <v>1167</v>
      </c>
      <c r="E35" s="27" t="s">
        <v>966</v>
      </c>
      <c r="F35" s="27" t="s">
        <v>967</v>
      </c>
      <c r="G35" s="108">
        <v>102.82</v>
      </c>
      <c r="H35" s="109">
        <v>83.372109564699826</v>
      </c>
      <c r="I35" s="83">
        <v>810854.9850680785</v>
      </c>
      <c r="J35" s="83">
        <v>3153159.25</v>
      </c>
      <c r="K35" s="84">
        <v>0.25715636946281051</v>
      </c>
      <c r="L35" s="112">
        <v>0.25715636946281051</v>
      </c>
      <c r="M35" s="82"/>
    </row>
    <row r="36" spans="1:13">
      <c r="A36" s="111" t="s">
        <v>843</v>
      </c>
      <c r="B36" s="107" t="s">
        <v>1757</v>
      </c>
      <c r="C36" s="27" t="s">
        <v>1049</v>
      </c>
      <c r="D36" s="27" t="s">
        <v>1162</v>
      </c>
      <c r="E36" s="27" t="s">
        <v>966</v>
      </c>
      <c r="F36" s="27" t="s">
        <v>971</v>
      </c>
      <c r="G36" s="108">
        <v>76.39</v>
      </c>
      <c r="H36" s="109">
        <v>82.504732840489794</v>
      </c>
      <c r="I36" s="83">
        <v>1080046.2474209948</v>
      </c>
      <c r="J36" s="83">
        <v>9128537</v>
      </c>
      <c r="K36" s="84">
        <v>0.11831537161113492</v>
      </c>
      <c r="L36" s="112">
        <v>0.11831537161113492</v>
      </c>
      <c r="M36" s="82"/>
    </row>
    <row r="37" spans="1:13">
      <c r="A37" s="111" t="s">
        <v>1000</v>
      </c>
      <c r="B37" s="107" t="s">
        <v>1759</v>
      </c>
      <c r="C37" s="27" t="s">
        <v>886</v>
      </c>
      <c r="D37" s="27" t="s">
        <v>1160</v>
      </c>
      <c r="E37" s="27" t="s">
        <v>966</v>
      </c>
      <c r="F37" s="27" t="s">
        <v>969</v>
      </c>
      <c r="G37" s="108">
        <v>86.79</v>
      </c>
      <c r="H37" s="109">
        <v>80.411773807597527</v>
      </c>
      <c r="I37" s="83">
        <v>926509.66479545482</v>
      </c>
      <c r="J37" s="83">
        <v>9671300</v>
      </c>
      <c r="K37" s="84">
        <v>9.5799909504973982E-2</v>
      </c>
      <c r="L37" s="112">
        <v>9.5799909504973982E-2</v>
      </c>
      <c r="M37" s="82"/>
    </row>
    <row r="38" spans="1:13">
      <c r="A38" s="111" t="s">
        <v>1680</v>
      </c>
      <c r="B38" s="107" t="s">
        <v>1761</v>
      </c>
      <c r="C38" s="27" t="s">
        <v>1704</v>
      </c>
      <c r="D38" s="27" t="s">
        <v>1161</v>
      </c>
      <c r="E38" s="27" t="s">
        <v>966</v>
      </c>
      <c r="F38" s="27" t="s">
        <v>967</v>
      </c>
      <c r="G38" s="108">
        <v>89.71</v>
      </c>
      <c r="H38" s="109">
        <v>75.212803798302687</v>
      </c>
      <c r="I38" s="83">
        <v>838399.32892991521</v>
      </c>
      <c r="J38" s="83">
        <v>2021449.25</v>
      </c>
      <c r="K38" s="84">
        <v>0.41475160899038904</v>
      </c>
      <c r="L38" s="112">
        <v>0.41475160899038904</v>
      </c>
      <c r="M38" s="82"/>
    </row>
    <row r="39" spans="1:13">
      <c r="A39" s="111" t="s">
        <v>853</v>
      </c>
      <c r="B39" s="107" t="s">
        <v>1763</v>
      </c>
      <c r="C39" s="27" t="s">
        <v>1059</v>
      </c>
      <c r="D39" s="27" t="s">
        <v>1149</v>
      </c>
      <c r="E39" s="27" t="s">
        <v>966</v>
      </c>
      <c r="F39" s="27" t="s">
        <v>969</v>
      </c>
      <c r="G39" s="108">
        <v>121.2</v>
      </c>
      <c r="H39" s="109">
        <v>71.424174505201151</v>
      </c>
      <c r="I39" s="83">
        <v>589308.37050495984</v>
      </c>
      <c r="J39" s="83">
        <v>3635421.25</v>
      </c>
      <c r="K39" s="84">
        <v>0.16210181158647291</v>
      </c>
      <c r="L39" s="112">
        <v>0.16210181158647291</v>
      </c>
      <c r="M39" s="82"/>
    </row>
    <row r="40" spans="1:13">
      <c r="A40" s="111" t="s">
        <v>1472</v>
      </c>
      <c r="B40" s="107" t="s">
        <v>1767</v>
      </c>
      <c r="C40" s="27" t="s">
        <v>1476</v>
      </c>
      <c r="D40" s="27" t="s">
        <v>1150</v>
      </c>
      <c r="E40" s="27" t="s">
        <v>966</v>
      </c>
      <c r="F40" s="27" t="s">
        <v>969</v>
      </c>
      <c r="G40" s="108">
        <v>191.01</v>
      </c>
      <c r="H40" s="109">
        <v>68.043476080379634</v>
      </c>
      <c r="I40" s="83">
        <v>356229.91508496751</v>
      </c>
      <c r="J40" s="83">
        <v>1382337.25</v>
      </c>
      <c r="K40" s="84">
        <v>0.2577011616267792</v>
      </c>
      <c r="L40" s="112">
        <v>0.2577011616267792</v>
      </c>
      <c r="M40" s="82"/>
    </row>
    <row r="41" spans="1:13">
      <c r="A41" s="111" t="s">
        <v>307</v>
      </c>
      <c r="B41" s="107" t="s">
        <v>1769</v>
      </c>
      <c r="C41" s="27" t="s">
        <v>133</v>
      </c>
      <c r="D41" s="27" t="s">
        <v>1153</v>
      </c>
      <c r="E41" s="27" t="s">
        <v>966</v>
      </c>
      <c r="F41" s="27" t="s">
        <v>967</v>
      </c>
      <c r="G41" s="108">
        <v>42.28</v>
      </c>
      <c r="H41" s="109">
        <v>67.010819561118765</v>
      </c>
      <c r="I41" s="83">
        <v>1584929.5071220142</v>
      </c>
      <c r="J41" s="83">
        <v>5389362.5</v>
      </c>
      <c r="K41" s="84">
        <v>0.29408478407641242</v>
      </c>
      <c r="L41" s="112">
        <v>0.29408478407641242</v>
      </c>
      <c r="M41" s="82"/>
    </row>
    <row r="42" spans="1:13">
      <c r="A42" s="111" t="s">
        <v>243</v>
      </c>
      <c r="B42" s="107" t="s">
        <v>1771</v>
      </c>
      <c r="C42" s="27" t="s">
        <v>75</v>
      </c>
      <c r="D42" s="27" t="s">
        <v>1154</v>
      </c>
      <c r="E42" s="27" t="s">
        <v>966</v>
      </c>
      <c r="F42" s="27" t="s">
        <v>969</v>
      </c>
      <c r="G42" s="108">
        <v>53.18</v>
      </c>
      <c r="H42" s="109">
        <v>66.277291912911892</v>
      </c>
      <c r="I42" s="83">
        <v>1246282.2849362895</v>
      </c>
      <c r="J42" s="83">
        <v>3060875</v>
      </c>
      <c r="K42" s="84">
        <v>0.40716536445829693</v>
      </c>
      <c r="L42" s="112">
        <v>0.40716536445829693</v>
      </c>
      <c r="M42" s="82"/>
    </row>
    <row r="43" spans="1:13">
      <c r="A43" s="111" t="s">
        <v>1021</v>
      </c>
      <c r="B43" s="107" t="s">
        <v>1765</v>
      </c>
      <c r="C43" s="27" t="s">
        <v>905</v>
      </c>
      <c r="D43" s="27" t="s">
        <v>1150</v>
      </c>
      <c r="E43" s="27" t="s">
        <v>966</v>
      </c>
      <c r="F43" s="27" t="s">
        <v>971</v>
      </c>
      <c r="G43" s="108">
        <v>98.71</v>
      </c>
      <c r="H43" s="109">
        <v>68.947961643793207</v>
      </c>
      <c r="I43" s="83">
        <v>698490.13923405146</v>
      </c>
      <c r="J43" s="83">
        <v>6463344</v>
      </c>
      <c r="K43" s="84">
        <v>0.10806946670857244</v>
      </c>
      <c r="L43" s="112">
        <v>0.10806946670857244</v>
      </c>
      <c r="M43" s="82"/>
    </row>
    <row r="44" spans="1:13">
      <c r="A44" s="111" t="s">
        <v>859</v>
      </c>
      <c r="B44" s="107" t="s">
        <v>1775</v>
      </c>
      <c r="C44" s="27" t="s">
        <v>1462</v>
      </c>
      <c r="D44" s="27" t="s">
        <v>1160</v>
      </c>
      <c r="E44" s="27" t="s">
        <v>966</v>
      </c>
      <c r="F44" s="27" t="s">
        <v>967</v>
      </c>
      <c r="G44" s="108">
        <v>51.11</v>
      </c>
      <c r="H44" s="109">
        <v>62.751952581974976</v>
      </c>
      <c r="I44" s="83">
        <v>1227782.2849144</v>
      </c>
      <c r="J44" s="83">
        <v>6791278</v>
      </c>
      <c r="K44" s="84">
        <v>0.18078810570181342</v>
      </c>
      <c r="L44" s="112">
        <v>0.18078810570181342</v>
      </c>
      <c r="M44" s="82"/>
    </row>
    <row r="45" spans="1:13">
      <c r="A45" s="111" t="s">
        <v>1016</v>
      </c>
      <c r="B45" s="107" t="s">
        <v>1773</v>
      </c>
      <c r="C45" s="27" t="s">
        <v>900</v>
      </c>
      <c r="D45" s="27" t="s">
        <v>1159</v>
      </c>
      <c r="E45" s="27" t="s">
        <v>966</v>
      </c>
      <c r="F45" s="27" t="s">
        <v>971</v>
      </c>
      <c r="G45" s="108">
        <v>117.69</v>
      </c>
      <c r="H45" s="109">
        <v>63.93461004992804</v>
      </c>
      <c r="I45" s="83">
        <v>543245.90067064343</v>
      </c>
      <c r="J45" s="83">
        <v>4444048</v>
      </c>
      <c r="K45" s="84">
        <v>0.12224123156875071</v>
      </c>
      <c r="L45" s="112">
        <v>0.12224123156875071</v>
      </c>
      <c r="M45" s="82"/>
    </row>
    <row r="46" spans="1:13">
      <c r="A46" s="111" t="s">
        <v>807</v>
      </c>
      <c r="B46" s="107" t="s">
        <v>1777</v>
      </c>
      <c r="C46" s="27" t="s">
        <v>1579</v>
      </c>
      <c r="D46" s="27" t="s">
        <v>1150</v>
      </c>
      <c r="E46" s="27" t="s">
        <v>966</v>
      </c>
      <c r="F46" s="27" t="s">
        <v>969</v>
      </c>
      <c r="G46" s="108">
        <v>83.3</v>
      </c>
      <c r="H46" s="109">
        <v>60.108416393487133</v>
      </c>
      <c r="I46" s="83">
        <v>721589.63257487561</v>
      </c>
      <c r="J46" s="83">
        <v>1954770.5</v>
      </c>
      <c r="K46" s="84">
        <v>0.36914289046968718</v>
      </c>
      <c r="L46" s="112">
        <v>0.36914289046968718</v>
      </c>
      <c r="M46" s="82"/>
    </row>
    <row r="47" spans="1:13">
      <c r="A47" s="111" t="s">
        <v>998</v>
      </c>
      <c r="B47" s="107" t="s">
        <v>1778</v>
      </c>
      <c r="C47" s="27" t="s">
        <v>885</v>
      </c>
      <c r="D47" s="27" t="s">
        <v>1147</v>
      </c>
      <c r="E47" s="27" t="s">
        <v>966</v>
      </c>
      <c r="F47" s="27" t="s">
        <v>971</v>
      </c>
      <c r="G47" s="108">
        <v>27.9</v>
      </c>
      <c r="H47" s="109">
        <v>59.189583096324107</v>
      </c>
      <c r="I47" s="83">
        <v>2121490.4335600035</v>
      </c>
      <c r="J47" s="83">
        <v>24279806</v>
      </c>
      <c r="K47" s="84">
        <v>8.7376745660982774E-2</v>
      </c>
      <c r="L47" s="112">
        <v>8.7376745660982774E-2</v>
      </c>
      <c r="M47" s="82"/>
    </row>
    <row r="48" spans="1:13">
      <c r="A48" s="111" t="s">
        <v>844</v>
      </c>
      <c r="B48" s="107" t="s">
        <v>1780</v>
      </c>
      <c r="C48" s="27" t="s">
        <v>1050</v>
      </c>
      <c r="D48" s="27" t="s">
        <v>1153</v>
      </c>
      <c r="E48" s="27" t="s">
        <v>966</v>
      </c>
      <c r="F48" s="27" t="s">
        <v>969</v>
      </c>
      <c r="G48" s="108">
        <v>85.64</v>
      </c>
      <c r="H48" s="109">
        <v>55.712696914846859</v>
      </c>
      <c r="I48" s="83">
        <v>650545.26990713296</v>
      </c>
      <c r="J48" s="83">
        <v>3412407.5</v>
      </c>
      <c r="K48" s="84">
        <v>0.19064114409171032</v>
      </c>
      <c r="L48" s="112">
        <v>0.19064114409171032</v>
      </c>
      <c r="M48" s="82"/>
    </row>
    <row r="49" spans="1:13">
      <c r="A49" s="111" t="s">
        <v>1292</v>
      </c>
      <c r="B49" s="107" t="s">
        <v>1781</v>
      </c>
      <c r="C49" s="27" t="s">
        <v>1524</v>
      </c>
      <c r="D49" s="27" t="s">
        <v>1164</v>
      </c>
      <c r="E49" s="27" t="s">
        <v>966</v>
      </c>
      <c r="F49" s="27" t="s">
        <v>967</v>
      </c>
      <c r="G49" s="108">
        <v>230.41</v>
      </c>
      <c r="H49" s="109">
        <v>53.819668623545247</v>
      </c>
      <c r="I49" s="83">
        <v>233582.17361896293</v>
      </c>
      <c r="J49" s="83">
        <v>655432.9375</v>
      </c>
      <c r="K49" s="84">
        <v>0.35637844889197828</v>
      </c>
      <c r="L49" s="112">
        <v>0.35637844889197828</v>
      </c>
      <c r="M49" s="82"/>
    </row>
    <row r="50" spans="1:13">
      <c r="A50" s="111" t="s">
        <v>1228</v>
      </c>
      <c r="B50" s="107" t="s">
        <v>1783</v>
      </c>
      <c r="C50" s="27" t="s">
        <v>1542</v>
      </c>
      <c r="D50" s="27" t="s">
        <v>1157</v>
      </c>
      <c r="E50" s="27" t="s">
        <v>966</v>
      </c>
      <c r="F50" s="27" t="s">
        <v>967</v>
      </c>
      <c r="G50" s="108">
        <v>97.02</v>
      </c>
      <c r="H50" s="109">
        <v>52.860920962848944</v>
      </c>
      <c r="I50" s="83">
        <v>544845.60876983043</v>
      </c>
      <c r="J50" s="83">
        <v>1245771</v>
      </c>
      <c r="K50" s="84">
        <v>0.43735615034370717</v>
      </c>
      <c r="L50" s="112">
        <v>0.43735615034370717</v>
      </c>
      <c r="M50" s="82"/>
    </row>
    <row r="51" spans="1:13">
      <c r="A51" s="111" t="s">
        <v>291</v>
      </c>
      <c r="B51" s="107" t="s">
        <v>1791</v>
      </c>
      <c r="C51" s="27" t="s">
        <v>118</v>
      </c>
      <c r="D51" s="27" t="s">
        <v>1153</v>
      </c>
      <c r="E51" s="27" t="s">
        <v>966</v>
      </c>
      <c r="F51" s="27" t="s">
        <v>967</v>
      </c>
      <c r="G51" s="108">
        <v>125.25</v>
      </c>
      <c r="H51" s="109">
        <v>46.203382406727265</v>
      </c>
      <c r="I51" s="83">
        <v>368889.2806924333</v>
      </c>
      <c r="J51" s="83">
        <v>899310.9375</v>
      </c>
      <c r="K51" s="84">
        <v>0.4101910310552998</v>
      </c>
      <c r="L51" s="112">
        <v>0.4101910310552998</v>
      </c>
      <c r="M51" s="82"/>
    </row>
    <row r="52" spans="1:13">
      <c r="A52" s="111" t="s">
        <v>1682</v>
      </c>
      <c r="B52" s="107" t="s">
        <v>1787</v>
      </c>
      <c r="C52" s="27" t="s">
        <v>1707</v>
      </c>
      <c r="D52" s="27" t="s">
        <v>1169</v>
      </c>
      <c r="E52" s="27" t="s">
        <v>966</v>
      </c>
      <c r="F52" s="27" t="s">
        <v>969</v>
      </c>
      <c r="G52" s="108">
        <v>93.36</v>
      </c>
      <c r="H52" s="109">
        <v>47.03747135470023</v>
      </c>
      <c r="I52" s="83">
        <v>503828.95624143357</v>
      </c>
      <c r="J52" s="83">
        <v>3056813.75</v>
      </c>
      <c r="K52" s="84">
        <v>0.16482160754525316</v>
      </c>
      <c r="L52" s="112">
        <v>0.16482160754525316</v>
      </c>
      <c r="M52" s="82"/>
    </row>
    <row r="53" spans="1:13">
      <c r="A53" s="111" t="s">
        <v>1003</v>
      </c>
      <c r="B53" s="107" t="s">
        <v>1789</v>
      </c>
      <c r="C53" s="27" t="s">
        <v>888</v>
      </c>
      <c r="D53" s="27" t="s">
        <v>1148</v>
      </c>
      <c r="E53" s="27" t="s">
        <v>966</v>
      </c>
      <c r="F53" s="27" t="s">
        <v>969</v>
      </c>
      <c r="G53" s="108">
        <v>45.7</v>
      </c>
      <c r="H53" s="109">
        <v>46.561651519109425</v>
      </c>
      <c r="I53" s="83">
        <v>1018854.5190177117</v>
      </c>
      <c r="J53" s="83">
        <v>9124681</v>
      </c>
      <c r="K53" s="84">
        <v>0.11165919323839504</v>
      </c>
      <c r="L53" s="112">
        <v>0.11165919323839504</v>
      </c>
      <c r="M53" s="82"/>
    </row>
    <row r="54" spans="1:13">
      <c r="A54" s="111" t="s">
        <v>222</v>
      </c>
      <c r="B54" s="107" t="s">
        <v>1785</v>
      </c>
      <c r="C54" s="27" t="s">
        <v>877</v>
      </c>
      <c r="D54" s="27" t="s">
        <v>1150</v>
      </c>
      <c r="E54" s="27" t="s">
        <v>966</v>
      </c>
      <c r="F54" s="27" t="s">
        <v>969</v>
      </c>
      <c r="G54" s="108">
        <v>62.39</v>
      </c>
      <c r="H54" s="109">
        <v>47.175856755002876</v>
      </c>
      <c r="I54" s="83">
        <v>756144.52243953955</v>
      </c>
      <c r="J54" s="83">
        <v>6001091</v>
      </c>
      <c r="K54" s="84">
        <v>0.12600117585944615</v>
      </c>
      <c r="L54" s="112">
        <v>0.12600117585944615</v>
      </c>
      <c r="M54" s="82"/>
    </row>
    <row r="55" spans="1:13">
      <c r="A55" s="111" t="s">
        <v>1219</v>
      </c>
      <c r="B55" s="107" t="s">
        <v>1793</v>
      </c>
      <c r="C55" s="27" t="s">
        <v>740</v>
      </c>
      <c r="D55" s="27" t="s">
        <v>1161</v>
      </c>
      <c r="E55" s="27" t="s">
        <v>966</v>
      </c>
      <c r="F55" s="27" t="s">
        <v>967</v>
      </c>
      <c r="G55" s="108">
        <v>51.16</v>
      </c>
      <c r="H55" s="109">
        <v>44.906758936533976</v>
      </c>
      <c r="I55" s="83">
        <v>877770.89399010898</v>
      </c>
      <c r="J55" s="83">
        <v>3300817.5</v>
      </c>
      <c r="K55" s="84">
        <v>0.26592530304692974</v>
      </c>
      <c r="L55" s="112">
        <v>0.26592530304692974</v>
      </c>
      <c r="M55" s="82"/>
    </row>
    <row r="56" spans="1:13">
      <c r="A56" s="111" t="s">
        <v>1299</v>
      </c>
      <c r="B56" s="107" t="s">
        <v>1797</v>
      </c>
      <c r="C56" s="27" t="s">
        <v>7</v>
      </c>
      <c r="D56" s="27" t="s">
        <v>1160</v>
      </c>
      <c r="E56" s="27" t="s">
        <v>966</v>
      </c>
      <c r="F56" s="27" t="s">
        <v>967</v>
      </c>
      <c r="G56" s="108">
        <v>59.42</v>
      </c>
      <c r="H56" s="109">
        <v>43.671994871218814</v>
      </c>
      <c r="I56" s="83">
        <v>734971.3037902863</v>
      </c>
      <c r="J56" s="83">
        <v>3268412.25</v>
      </c>
      <c r="K56" s="84">
        <v>0.22487105284539496</v>
      </c>
      <c r="L56" s="112">
        <v>0.22487105284539496</v>
      </c>
      <c r="M56" s="82"/>
    </row>
    <row r="57" spans="1:13">
      <c r="A57" s="111" t="s">
        <v>1465</v>
      </c>
      <c r="B57" s="107" t="s">
        <v>1799</v>
      </c>
      <c r="C57" s="27" t="s">
        <v>1700</v>
      </c>
      <c r="D57" s="27" t="s">
        <v>1153</v>
      </c>
      <c r="E57" s="27" t="s">
        <v>966</v>
      </c>
      <c r="F57" s="27" t="s">
        <v>967</v>
      </c>
      <c r="G57" s="108">
        <v>142.15</v>
      </c>
      <c r="H57" s="109">
        <v>42.535297457213503</v>
      </c>
      <c r="I57" s="83">
        <v>299228.26209787902</v>
      </c>
      <c r="J57" s="83">
        <v>1256854.625</v>
      </c>
      <c r="K57" s="84">
        <v>0.23807706646890767</v>
      </c>
      <c r="L57" s="112">
        <v>0.23807706646890767</v>
      </c>
      <c r="M57" s="82"/>
    </row>
    <row r="58" spans="1:13">
      <c r="A58" s="111" t="s">
        <v>1012</v>
      </c>
      <c r="B58" s="107" t="s">
        <v>1795</v>
      </c>
      <c r="C58" s="27" t="s">
        <v>897</v>
      </c>
      <c r="D58" s="27" t="s">
        <v>1150</v>
      </c>
      <c r="E58" s="27" t="s">
        <v>966</v>
      </c>
      <c r="F58" s="27" t="s">
        <v>971</v>
      </c>
      <c r="G58" s="108">
        <v>116.25</v>
      </c>
      <c r="H58" s="109">
        <v>44.380623228286218</v>
      </c>
      <c r="I58" s="83">
        <v>381768.80196375243</v>
      </c>
      <c r="J58" s="83">
        <v>10129948</v>
      </c>
      <c r="K58" s="84">
        <v>3.7687143306535477E-2</v>
      </c>
      <c r="L58" s="112">
        <v>3.7687143306535477E-2</v>
      </c>
      <c r="M58" s="82"/>
    </row>
    <row r="59" spans="1:13">
      <c r="A59" s="111" t="s">
        <v>1346</v>
      </c>
      <c r="B59" s="107" t="s">
        <v>1801</v>
      </c>
      <c r="C59" s="27" t="s">
        <v>50</v>
      </c>
      <c r="D59" s="27" t="s">
        <v>1149</v>
      </c>
      <c r="E59" s="27" t="s">
        <v>966</v>
      </c>
      <c r="F59" s="27" t="s">
        <v>969</v>
      </c>
      <c r="G59" s="108">
        <v>215.18</v>
      </c>
      <c r="H59" s="109">
        <v>41.97102364457411</v>
      </c>
      <c r="I59" s="83">
        <v>195050.76514812768</v>
      </c>
      <c r="J59" s="83">
        <v>1324359.375</v>
      </c>
      <c r="K59" s="84">
        <v>0.14727933280808139</v>
      </c>
      <c r="L59" s="112">
        <v>0.14727933280808139</v>
      </c>
      <c r="M59" s="82"/>
    </row>
    <row r="60" spans="1:13">
      <c r="A60" s="111" t="s">
        <v>979</v>
      </c>
      <c r="B60" s="107" t="s">
        <v>1803</v>
      </c>
      <c r="C60" s="27" t="s">
        <v>866</v>
      </c>
      <c r="D60" s="27" t="s">
        <v>1149</v>
      </c>
      <c r="E60" s="27" t="s">
        <v>966</v>
      </c>
      <c r="F60" s="27" t="s">
        <v>969</v>
      </c>
      <c r="G60" s="108">
        <v>50.09</v>
      </c>
      <c r="H60" s="109">
        <v>40.847347090530178</v>
      </c>
      <c r="I60" s="83">
        <v>815479.07946756179</v>
      </c>
      <c r="J60" s="83">
        <v>5167647</v>
      </c>
      <c r="K60" s="84">
        <v>0.15780471836941684</v>
      </c>
      <c r="L60" s="112">
        <v>0.15780471836941684</v>
      </c>
      <c r="M60" s="82"/>
    </row>
    <row r="61" spans="1:13">
      <c r="A61" s="111" t="s">
        <v>833</v>
      </c>
      <c r="B61" s="107" t="s">
        <v>1805</v>
      </c>
      <c r="C61" s="27" t="s">
        <v>691</v>
      </c>
      <c r="D61" s="27" t="s">
        <v>1166</v>
      </c>
      <c r="E61" s="27" t="s">
        <v>966</v>
      </c>
      <c r="F61" s="27" t="s">
        <v>967</v>
      </c>
      <c r="G61" s="108">
        <v>97.77</v>
      </c>
      <c r="H61" s="109">
        <v>39.251556182200339</v>
      </c>
      <c r="I61" s="83">
        <v>401468.30502403952</v>
      </c>
      <c r="J61" s="83">
        <v>2988593.25</v>
      </c>
      <c r="K61" s="84">
        <v>0.13433353803634521</v>
      </c>
      <c r="L61" s="112">
        <v>0.13433353803634521</v>
      </c>
      <c r="M61" s="82"/>
    </row>
    <row r="62" spans="1:13">
      <c r="A62" s="111" t="s">
        <v>856</v>
      </c>
      <c r="B62" s="107" t="s">
        <v>1806</v>
      </c>
      <c r="C62" s="27" t="s">
        <v>1062</v>
      </c>
      <c r="D62" s="27" t="s">
        <v>1164</v>
      </c>
      <c r="E62" s="27" t="s">
        <v>966</v>
      </c>
      <c r="F62" s="27" t="s">
        <v>969</v>
      </c>
      <c r="G62" s="108">
        <v>98.69</v>
      </c>
      <c r="H62" s="109">
        <v>38.134710372956306</v>
      </c>
      <c r="I62" s="83">
        <v>386409.06244762696</v>
      </c>
      <c r="J62" s="83">
        <v>6829711.5</v>
      </c>
      <c r="K62" s="84">
        <v>5.6577655212467902E-2</v>
      </c>
      <c r="L62" s="112">
        <v>5.6577655212467902E-2</v>
      </c>
      <c r="M62" s="82"/>
    </row>
    <row r="63" spans="1:13">
      <c r="A63" s="111" t="s">
        <v>1676</v>
      </c>
      <c r="B63" s="107" t="s">
        <v>1808</v>
      </c>
      <c r="C63" s="27" t="s">
        <v>1697</v>
      </c>
      <c r="D63" s="27" t="s">
        <v>1153</v>
      </c>
      <c r="E63" s="27" t="s">
        <v>966</v>
      </c>
      <c r="F63" s="27" t="s">
        <v>969</v>
      </c>
      <c r="G63" s="108">
        <v>76.69</v>
      </c>
      <c r="H63" s="109">
        <v>36.817038715772142</v>
      </c>
      <c r="I63" s="83">
        <v>480076.13399103063</v>
      </c>
      <c r="J63" s="83">
        <v>4128304</v>
      </c>
      <c r="K63" s="84">
        <v>0.1162889491643616</v>
      </c>
      <c r="L63" s="112">
        <v>0.1162889491643616</v>
      </c>
      <c r="M63" s="82"/>
    </row>
    <row r="64" spans="1:13">
      <c r="A64" s="111" t="s">
        <v>1216</v>
      </c>
      <c r="B64" s="107" t="s">
        <v>1814</v>
      </c>
      <c r="C64" s="27" t="s">
        <v>1523</v>
      </c>
      <c r="D64" s="27" t="s">
        <v>1156</v>
      </c>
      <c r="E64" s="27" t="s">
        <v>966</v>
      </c>
      <c r="F64" s="27" t="s">
        <v>967</v>
      </c>
      <c r="G64" s="108">
        <v>37.54</v>
      </c>
      <c r="H64" s="109">
        <v>34.254590794212859</v>
      </c>
      <c r="I64" s="83">
        <v>912482.4399097726</v>
      </c>
      <c r="J64" s="83">
        <v>1551405.75</v>
      </c>
      <c r="K64" s="84">
        <v>0.58816492069194182</v>
      </c>
      <c r="L64" s="112">
        <v>0.58816492069194182</v>
      </c>
      <c r="M64" s="82"/>
    </row>
    <row r="65" spans="1:13">
      <c r="A65" s="111" t="s">
        <v>1017</v>
      </c>
      <c r="B65" s="107" t="s">
        <v>1810</v>
      </c>
      <c r="C65" s="27" t="s">
        <v>901</v>
      </c>
      <c r="D65" s="27" t="s">
        <v>1164</v>
      </c>
      <c r="E65" s="27" t="s">
        <v>966</v>
      </c>
      <c r="F65" s="27" t="s">
        <v>969</v>
      </c>
      <c r="G65" s="108">
        <v>105.54</v>
      </c>
      <c r="H65" s="109">
        <v>35.061134812734487</v>
      </c>
      <c r="I65" s="83">
        <v>332207.07611080614</v>
      </c>
      <c r="J65" s="83">
        <v>3042869</v>
      </c>
      <c r="K65" s="84">
        <v>0.10917560897653042</v>
      </c>
      <c r="L65" s="112">
        <v>0.10917560897653042</v>
      </c>
      <c r="M65" s="82"/>
    </row>
    <row r="66" spans="1:13">
      <c r="A66" s="111" t="s">
        <v>1015</v>
      </c>
      <c r="B66" s="107" t="s">
        <v>1812</v>
      </c>
      <c r="C66" s="27" t="s">
        <v>899</v>
      </c>
      <c r="D66" s="27" t="s">
        <v>1160</v>
      </c>
      <c r="E66" s="27" t="s">
        <v>966</v>
      </c>
      <c r="F66" s="27" t="s">
        <v>969</v>
      </c>
      <c r="G66" s="108">
        <v>42.71</v>
      </c>
      <c r="H66" s="109">
        <v>34.273895568546294</v>
      </c>
      <c r="I66" s="83">
        <v>802479.40923779656</v>
      </c>
      <c r="J66" s="83">
        <v>16057575</v>
      </c>
      <c r="K66" s="84">
        <v>4.9975130693009157E-2</v>
      </c>
      <c r="L66" s="112">
        <v>4.9975130693009157E-2</v>
      </c>
      <c r="M66" s="82"/>
    </row>
    <row r="67" spans="1:13">
      <c r="A67" s="111" t="s">
        <v>1678</v>
      </c>
      <c r="B67" s="107" t="s">
        <v>1815</v>
      </c>
      <c r="C67" s="27" t="s">
        <v>1702</v>
      </c>
      <c r="D67" s="27" t="s">
        <v>1151</v>
      </c>
      <c r="E67" s="27" t="s">
        <v>966</v>
      </c>
      <c r="F67" s="27" t="s">
        <v>969</v>
      </c>
      <c r="G67" s="108">
        <v>38.19</v>
      </c>
      <c r="H67" s="109">
        <v>33.427504018654162</v>
      </c>
      <c r="I67" s="83">
        <v>875294.68496083166</v>
      </c>
      <c r="J67" s="83">
        <v>18664106</v>
      </c>
      <c r="K67" s="84">
        <v>4.6897219987972187E-2</v>
      </c>
      <c r="L67" s="112">
        <v>4.6897219987972187E-2</v>
      </c>
      <c r="M67" s="82"/>
    </row>
    <row r="68" spans="1:13">
      <c r="A68" s="111" t="s">
        <v>1285</v>
      </c>
      <c r="B68" s="107" t="s">
        <v>1817</v>
      </c>
      <c r="C68" s="27" t="s">
        <v>683</v>
      </c>
      <c r="D68" s="27" t="s">
        <v>1153</v>
      </c>
      <c r="E68" s="27" t="s">
        <v>966</v>
      </c>
      <c r="F68" s="27" t="s">
        <v>969</v>
      </c>
      <c r="G68" s="108">
        <v>59.1</v>
      </c>
      <c r="H68" s="109">
        <v>32.858020409432484</v>
      </c>
      <c r="I68" s="83">
        <v>555973.27257922979</v>
      </c>
      <c r="J68" s="83">
        <v>2702153.5</v>
      </c>
      <c r="K68" s="84">
        <v>0.20575192067335546</v>
      </c>
      <c r="L68" s="112">
        <v>0.20575192067335546</v>
      </c>
      <c r="M68" s="82"/>
    </row>
    <row r="69" spans="1:13">
      <c r="A69" s="111" t="s">
        <v>1212</v>
      </c>
      <c r="B69" s="107" t="s">
        <v>1819</v>
      </c>
      <c r="C69" s="27" t="s">
        <v>734</v>
      </c>
      <c r="D69" s="27" t="s">
        <v>1153</v>
      </c>
      <c r="E69" s="27" t="s">
        <v>966</v>
      </c>
      <c r="F69" s="27" t="s">
        <v>969</v>
      </c>
      <c r="G69" s="108">
        <v>44.69</v>
      </c>
      <c r="H69" s="109">
        <v>32.246837682597565</v>
      </c>
      <c r="I69" s="83">
        <v>721567.1891384552</v>
      </c>
      <c r="J69" s="83">
        <v>2538698.5</v>
      </c>
      <c r="K69" s="84">
        <v>0.28422720899644255</v>
      </c>
      <c r="L69" s="112">
        <v>0.28422720899644255</v>
      </c>
      <c r="M69" s="82"/>
    </row>
    <row r="70" spans="1:13">
      <c r="A70" s="111" t="s">
        <v>297</v>
      </c>
      <c r="B70" s="107" t="s">
        <v>1823</v>
      </c>
      <c r="C70" s="27" t="s">
        <v>123</v>
      </c>
      <c r="D70" s="27" t="s">
        <v>1153</v>
      </c>
      <c r="E70" s="27" t="s">
        <v>966</v>
      </c>
      <c r="F70" s="27" t="s">
        <v>967</v>
      </c>
      <c r="G70" s="108">
        <v>72.23</v>
      </c>
      <c r="H70" s="109">
        <v>31.087778748534721</v>
      </c>
      <c r="I70" s="83">
        <v>430399.81653793051</v>
      </c>
      <c r="J70" s="83">
        <v>1540220.5</v>
      </c>
      <c r="K70" s="84">
        <v>0.279440389566254</v>
      </c>
      <c r="L70" s="112">
        <v>0.279440389566254</v>
      </c>
      <c r="M70" s="82"/>
    </row>
    <row r="71" spans="1:13">
      <c r="A71" s="111" t="s">
        <v>1029</v>
      </c>
      <c r="B71" s="107" t="s">
        <v>1821</v>
      </c>
      <c r="C71" s="27" t="s">
        <v>912</v>
      </c>
      <c r="D71" s="27" t="s">
        <v>1155</v>
      </c>
      <c r="E71" s="27" t="s">
        <v>966</v>
      </c>
      <c r="F71" s="27" t="s">
        <v>969</v>
      </c>
      <c r="G71" s="108">
        <v>54.18</v>
      </c>
      <c r="H71" s="109">
        <v>31.771567796423824</v>
      </c>
      <c r="I71" s="83">
        <v>586407.67435259919</v>
      </c>
      <c r="J71" s="83">
        <v>5153935</v>
      </c>
      <c r="K71" s="84">
        <v>0.11377863212333861</v>
      </c>
      <c r="L71" s="112">
        <v>0.11377863212333861</v>
      </c>
      <c r="M71" s="82"/>
    </row>
    <row r="72" spans="1:13">
      <c r="A72" s="111" t="s">
        <v>1201</v>
      </c>
      <c r="B72" s="107" t="s">
        <v>1826</v>
      </c>
      <c r="C72" s="27" t="s">
        <v>726</v>
      </c>
      <c r="D72" s="27" t="s">
        <v>1159</v>
      </c>
      <c r="E72" s="27" t="s">
        <v>966</v>
      </c>
      <c r="F72" s="27" t="s">
        <v>967</v>
      </c>
      <c r="G72" s="108">
        <v>31.71</v>
      </c>
      <c r="H72" s="109">
        <v>29.789804437758754</v>
      </c>
      <c r="I72" s="83">
        <v>939445.10998923855</v>
      </c>
      <c r="J72" s="83">
        <v>3712986</v>
      </c>
      <c r="K72" s="84">
        <v>0.25301606577273345</v>
      </c>
      <c r="L72" s="112">
        <v>0.25301606577273345</v>
      </c>
      <c r="M72" s="82"/>
    </row>
    <row r="73" spans="1:13">
      <c r="A73" s="111" t="s">
        <v>995</v>
      </c>
      <c r="B73" s="107" t="s">
        <v>1828</v>
      </c>
      <c r="C73" s="27" t="s">
        <v>882</v>
      </c>
      <c r="D73" s="27" t="s">
        <v>1160</v>
      </c>
      <c r="E73" s="27" t="s">
        <v>966</v>
      </c>
      <c r="F73" s="27" t="s">
        <v>969</v>
      </c>
      <c r="G73" s="108">
        <v>51.54</v>
      </c>
      <c r="H73" s="109">
        <v>29.444168351149742</v>
      </c>
      <c r="I73" s="83">
        <v>571287.7056878102</v>
      </c>
      <c r="J73" s="83">
        <v>10543173</v>
      </c>
      <c r="K73" s="84">
        <v>5.4185557392239528E-2</v>
      </c>
      <c r="L73" s="112">
        <v>5.4185557392239528E-2</v>
      </c>
      <c r="M73" s="82"/>
    </row>
    <row r="74" spans="1:13">
      <c r="A74" s="111" t="s">
        <v>304</v>
      </c>
      <c r="B74" s="107" t="s">
        <v>1830</v>
      </c>
      <c r="C74" s="27" t="s">
        <v>130</v>
      </c>
      <c r="D74" s="27" t="s">
        <v>1150</v>
      </c>
      <c r="E74" s="27" t="s">
        <v>966</v>
      </c>
      <c r="F74" s="27" t="s">
        <v>969</v>
      </c>
      <c r="G74" s="108">
        <v>134.71</v>
      </c>
      <c r="H74" s="109">
        <v>29.179949771625981</v>
      </c>
      <c r="I74" s="83">
        <v>216613.09310092777</v>
      </c>
      <c r="J74" s="83">
        <v>1425905.25</v>
      </c>
      <c r="K74" s="84">
        <v>0.15191268360988766</v>
      </c>
      <c r="L74" s="112">
        <v>0.15191268360988766</v>
      </c>
      <c r="M74" s="82"/>
    </row>
    <row r="75" spans="1:13">
      <c r="A75" s="111" t="s">
        <v>837</v>
      </c>
      <c r="B75" s="107" t="s">
        <v>1834</v>
      </c>
      <c r="C75" s="27" t="s">
        <v>695</v>
      </c>
      <c r="D75" s="27" t="s">
        <v>1150</v>
      </c>
      <c r="E75" s="27" t="s">
        <v>966</v>
      </c>
      <c r="F75" s="27" t="s">
        <v>969</v>
      </c>
      <c r="G75" s="108">
        <v>137.63999999999999</v>
      </c>
      <c r="H75" s="109">
        <v>28.461211060771827</v>
      </c>
      <c r="I75" s="83">
        <v>206780.08617241957</v>
      </c>
      <c r="J75" s="83">
        <v>1643934.25</v>
      </c>
      <c r="K75" s="84">
        <v>0.12578367180586425</v>
      </c>
      <c r="L75" s="112">
        <v>0.12578367180586425</v>
      </c>
      <c r="M75" s="82"/>
    </row>
    <row r="76" spans="1:13">
      <c r="A76" s="111" t="s">
        <v>1206</v>
      </c>
      <c r="B76" s="107" t="s">
        <v>1832</v>
      </c>
      <c r="C76" s="27" t="s">
        <v>1688</v>
      </c>
      <c r="D76" s="27" t="s">
        <v>1150</v>
      </c>
      <c r="E76" s="27" t="s">
        <v>966</v>
      </c>
      <c r="F76" s="27" t="s">
        <v>971</v>
      </c>
      <c r="G76" s="108">
        <v>316.73</v>
      </c>
      <c r="H76" s="109">
        <v>28.916663166209389</v>
      </c>
      <c r="I76" s="83">
        <v>91297.518915825436</v>
      </c>
      <c r="J76" s="83">
        <v>3737174.5</v>
      </c>
      <c r="K76" s="84">
        <v>2.4429557387760575E-2</v>
      </c>
      <c r="L76" s="112">
        <v>2.4429557387760575E-2</v>
      </c>
      <c r="M76" s="82"/>
    </row>
    <row r="77" spans="1:13">
      <c r="A77" s="111" t="s">
        <v>310</v>
      </c>
      <c r="B77" s="107" t="s">
        <v>1836</v>
      </c>
      <c r="C77" s="27" t="s">
        <v>136</v>
      </c>
      <c r="D77" s="27" t="s">
        <v>1168</v>
      </c>
      <c r="E77" s="27" t="s">
        <v>966</v>
      </c>
      <c r="F77" s="27" t="s">
        <v>969</v>
      </c>
      <c r="G77" s="108">
        <v>186.51</v>
      </c>
      <c r="H77" s="109">
        <v>28.24852112712362</v>
      </c>
      <c r="I77" s="83">
        <v>151458.48011969132</v>
      </c>
      <c r="J77" s="83">
        <v>1816599.75</v>
      </c>
      <c r="K77" s="84">
        <v>8.3374711528883191E-2</v>
      </c>
      <c r="L77" s="112">
        <v>8.3374711528883191E-2</v>
      </c>
      <c r="M77" s="82"/>
    </row>
    <row r="78" spans="1:13">
      <c r="A78" s="111" t="s">
        <v>1203</v>
      </c>
      <c r="B78" s="107" t="s">
        <v>1837</v>
      </c>
      <c r="C78" s="27" t="s">
        <v>1522</v>
      </c>
      <c r="D78" s="27" t="s">
        <v>1149</v>
      </c>
      <c r="E78" s="27" t="s">
        <v>966</v>
      </c>
      <c r="F78" s="27" t="s">
        <v>969</v>
      </c>
      <c r="G78" s="108">
        <v>147.93</v>
      </c>
      <c r="H78" s="109">
        <v>27.909225046875434</v>
      </c>
      <c r="I78" s="83">
        <v>188665.0783943448</v>
      </c>
      <c r="J78" s="83">
        <v>1065026.875</v>
      </c>
      <c r="K78" s="84">
        <v>0.17714583812201434</v>
      </c>
      <c r="L78" s="112">
        <v>0.17714583812201434</v>
      </c>
      <c r="M78" s="82"/>
    </row>
    <row r="79" spans="1:13">
      <c r="A79" s="111" t="s">
        <v>1025</v>
      </c>
      <c r="B79" s="107" t="s">
        <v>1839</v>
      </c>
      <c r="C79" s="27" t="s">
        <v>909</v>
      </c>
      <c r="D79" s="27" t="s">
        <v>1159</v>
      </c>
      <c r="E79" s="27" t="s">
        <v>966</v>
      </c>
      <c r="F79" s="27" t="s">
        <v>971</v>
      </c>
      <c r="G79" s="108">
        <v>68.97</v>
      </c>
      <c r="H79" s="109">
        <v>26.899990501030953</v>
      </c>
      <c r="I79" s="83">
        <v>390024.51067175518</v>
      </c>
      <c r="J79" s="83">
        <v>4683080</v>
      </c>
      <c r="K79" s="84">
        <v>8.3283759976715152E-2</v>
      </c>
      <c r="L79" s="112">
        <v>8.3283759976715152E-2</v>
      </c>
      <c r="M79" s="82"/>
    </row>
    <row r="80" spans="1:13">
      <c r="A80" s="111" t="s">
        <v>996</v>
      </c>
      <c r="B80" s="107" t="s">
        <v>1841</v>
      </c>
      <c r="C80" s="27" t="s">
        <v>883</v>
      </c>
      <c r="D80" s="27" t="s">
        <v>1169</v>
      </c>
      <c r="E80" s="27" t="s">
        <v>966</v>
      </c>
      <c r="F80" s="27" t="s">
        <v>971</v>
      </c>
      <c r="G80" s="108">
        <v>146.49</v>
      </c>
      <c r="H80" s="109">
        <v>26.726749111771785</v>
      </c>
      <c r="I80" s="83">
        <v>182447.60128180613</v>
      </c>
      <c r="J80" s="83">
        <v>1464844.875</v>
      </c>
      <c r="K80" s="84">
        <v>0.12455080015336513</v>
      </c>
      <c r="L80" s="112">
        <v>0.12455080015336513</v>
      </c>
      <c r="M80" s="82"/>
    </row>
    <row r="81" spans="1:13">
      <c r="A81" s="111" t="s">
        <v>862</v>
      </c>
      <c r="B81" s="107" t="s">
        <v>1824</v>
      </c>
      <c r="C81" s="27" t="s">
        <v>1067</v>
      </c>
      <c r="D81" s="27" t="s">
        <v>1160</v>
      </c>
      <c r="E81" s="27" t="s">
        <v>966</v>
      </c>
      <c r="F81" s="27" t="s">
        <v>971</v>
      </c>
      <c r="G81" s="108">
        <v>78.790000000000006</v>
      </c>
      <c r="H81" s="109">
        <v>30.303164895067209</v>
      </c>
      <c r="I81" s="83">
        <v>384606.73810213484</v>
      </c>
      <c r="J81" s="83">
        <v>14466724</v>
      </c>
      <c r="K81" s="84">
        <v>2.6585613861309226E-2</v>
      </c>
      <c r="L81" s="112">
        <v>2.6585613861309226E-2</v>
      </c>
      <c r="M81" s="82"/>
    </row>
    <row r="82" spans="1:13">
      <c r="A82" s="111" t="s">
        <v>1243</v>
      </c>
      <c r="B82" s="107" t="s">
        <v>1843</v>
      </c>
      <c r="C82" s="27" t="s">
        <v>761</v>
      </c>
      <c r="D82" s="27" t="s">
        <v>1154</v>
      </c>
      <c r="E82" s="27" t="s">
        <v>966</v>
      </c>
      <c r="F82" s="27" t="s">
        <v>969</v>
      </c>
      <c r="G82" s="108">
        <v>74.489999999999995</v>
      </c>
      <c r="H82" s="109">
        <v>25.762807145731109</v>
      </c>
      <c r="I82" s="83">
        <v>345855.91550182726</v>
      </c>
      <c r="J82" s="83">
        <v>2211658</v>
      </c>
      <c r="K82" s="84">
        <v>0.15637857006003064</v>
      </c>
      <c r="L82" s="112">
        <v>0.15637857006003064</v>
      </c>
      <c r="M82" s="82"/>
    </row>
    <row r="83" spans="1:13">
      <c r="A83" s="111" t="s">
        <v>1268</v>
      </c>
      <c r="B83" s="107" t="s">
        <v>1845</v>
      </c>
      <c r="C83" s="27" t="s">
        <v>1479</v>
      </c>
      <c r="D83" s="27" t="s">
        <v>1149</v>
      </c>
      <c r="E83" s="27" t="s">
        <v>966</v>
      </c>
      <c r="F83" s="27" t="s">
        <v>971</v>
      </c>
      <c r="G83" s="108">
        <v>89</v>
      </c>
      <c r="H83" s="109">
        <v>25.055762265144363</v>
      </c>
      <c r="I83" s="83">
        <v>281525.41870948725</v>
      </c>
      <c r="J83" s="83">
        <v>4406357.5</v>
      </c>
      <c r="K83" s="84">
        <v>6.3890734855146736E-2</v>
      </c>
      <c r="L83" s="112">
        <v>6.3890734855146736E-2</v>
      </c>
      <c r="M83" s="82"/>
    </row>
    <row r="84" spans="1:13">
      <c r="A84" s="111" t="s">
        <v>1196</v>
      </c>
      <c r="B84" s="107" t="s">
        <v>1846</v>
      </c>
      <c r="C84" s="27" t="s">
        <v>721</v>
      </c>
      <c r="D84" s="27" t="s">
        <v>1156</v>
      </c>
      <c r="E84" s="27" t="s">
        <v>966</v>
      </c>
      <c r="F84" s="27" t="s">
        <v>969</v>
      </c>
      <c r="G84" s="108">
        <v>175.7</v>
      </c>
      <c r="H84" s="109">
        <v>24.321860477903698</v>
      </c>
      <c r="I84" s="83">
        <v>138428.34648778429</v>
      </c>
      <c r="J84" s="83">
        <v>581847.25</v>
      </c>
      <c r="K84" s="84">
        <v>0.2379118342275989</v>
      </c>
      <c r="L84" s="112">
        <v>0.2379118342275989</v>
      </c>
      <c r="M84" s="82"/>
    </row>
    <row r="85" spans="1:13">
      <c r="A85" s="111" t="s">
        <v>1402</v>
      </c>
      <c r="B85" s="107" t="s">
        <v>1850</v>
      </c>
      <c r="C85" s="27" t="s">
        <v>1528</v>
      </c>
      <c r="D85" s="27" t="s">
        <v>1147</v>
      </c>
      <c r="E85" s="27" t="s">
        <v>966</v>
      </c>
      <c r="F85" s="27" t="s">
        <v>967</v>
      </c>
      <c r="G85" s="108">
        <v>64.599999999999994</v>
      </c>
      <c r="H85" s="109">
        <v>24.04162073075527</v>
      </c>
      <c r="I85" s="83">
        <v>372161.31162159861</v>
      </c>
      <c r="J85" s="83">
        <v>1338032.5</v>
      </c>
      <c r="K85" s="84">
        <v>0.27814071154594422</v>
      </c>
      <c r="L85" s="112">
        <v>0.27814071154594422</v>
      </c>
      <c r="M85" s="82"/>
    </row>
    <row r="86" spans="1:13">
      <c r="A86" s="111" t="s">
        <v>1200</v>
      </c>
      <c r="B86" s="107" t="s">
        <v>1848</v>
      </c>
      <c r="C86" s="27" t="s">
        <v>725</v>
      </c>
      <c r="D86" s="27" t="s">
        <v>1165</v>
      </c>
      <c r="E86" s="27" t="s">
        <v>966</v>
      </c>
      <c r="F86" s="27" t="s">
        <v>969</v>
      </c>
      <c r="G86" s="108">
        <v>39.31</v>
      </c>
      <c r="H86" s="109">
        <v>24.224531457394093</v>
      </c>
      <c r="I86" s="83">
        <v>616243.4865783283</v>
      </c>
      <c r="J86" s="83">
        <v>4850530</v>
      </c>
      <c r="K86" s="84">
        <v>0.12704662925047949</v>
      </c>
      <c r="L86" s="112">
        <v>0.12704662925047949</v>
      </c>
      <c r="M86" s="82"/>
    </row>
    <row r="87" spans="1:13">
      <c r="A87" s="111" t="s">
        <v>333</v>
      </c>
      <c r="B87" s="107" t="s">
        <v>1853</v>
      </c>
      <c r="C87" s="27" t="s">
        <v>158</v>
      </c>
      <c r="D87" s="27" t="s">
        <v>1151</v>
      </c>
      <c r="E87" s="27" t="s">
        <v>966</v>
      </c>
      <c r="F87" s="27" t="s">
        <v>969</v>
      </c>
      <c r="G87" s="108">
        <v>34.49</v>
      </c>
      <c r="H87" s="109">
        <v>23.596318005635911</v>
      </c>
      <c r="I87" s="83">
        <v>684149.5507577823</v>
      </c>
      <c r="J87" s="83">
        <v>12681238</v>
      </c>
      <c r="K87" s="84">
        <v>5.3949744556310852E-2</v>
      </c>
      <c r="L87" s="112">
        <v>5.3949744556310852E-2</v>
      </c>
      <c r="M87" s="82"/>
    </row>
    <row r="88" spans="1:13">
      <c r="A88" s="111" t="s">
        <v>1257</v>
      </c>
      <c r="B88" s="107" t="s">
        <v>1855</v>
      </c>
      <c r="C88" s="27" t="s">
        <v>773</v>
      </c>
      <c r="D88" s="27" t="s">
        <v>1151</v>
      </c>
      <c r="E88" s="27" t="s">
        <v>966</v>
      </c>
      <c r="F88" s="27" t="s">
        <v>969</v>
      </c>
      <c r="G88" s="108">
        <v>28.01</v>
      </c>
      <c r="H88" s="109">
        <v>23.056731473196429</v>
      </c>
      <c r="I88" s="83">
        <v>823160.7095036211</v>
      </c>
      <c r="J88" s="83">
        <v>20119848</v>
      </c>
      <c r="K88" s="84">
        <v>4.0912869197800156E-2</v>
      </c>
      <c r="L88" s="112">
        <v>4.0912869197800156E-2</v>
      </c>
      <c r="M88" s="82"/>
    </row>
    <row r="89" spans="1:13">
      <c r="A89" s="111" t="s">
        <v>1336</v>
      </c>
      <c r="B89" s="107" t="s">
        <v>1851</v>
      </c>
      <c r="C89" s="27" t="s">
        <v>1527</v>
      </c>
      <c r="D89" s="27" t="s">
        <v>1150</v>
      </c>
      <c r="E89" s="27" t="s">
        <v>966</v>
      </c>
      <c r="F89" s="27" t="s">
        <v>971</v>
      </c>
      <c r="G89" s="108">
        <v>83.38</v>
      </c>
      <c r="H89" s="109">
        <v>23.725102854958614</v>
      </c>
      <c r="I89" s="83">
        <v>284541.89080065506</v>
      </c>
      <c r="J89" s="83">
        <v>4603608.5</v>
      </c>
      <c r="K89" s="84">
        <v>6.1808446743604514E-2</v>
      </c>
      <c r="L89" s="112">
        <v>6.1808446743604514E-2</v>
      </c>
      <c r="M89" s="82"/>
    </row>
    <row r="90" spans="1:13">
      <c r="A90" s="111" t="s">
        <v>822</v>
      </c>
      <c r="B90" s="107" t="s">
        <v>1857</v>
      </c>
      <c r="C90" s="27" t="s">
        <v>677</v>
      </c>
      <c r="D90" s="27" t="s">
        <v>1148</v>
      </c>
      <c r="E90" s="27" t="s">
        <v>966</v>
      </c>
      <c r="F90" s="27" t="s">
        <v>967</v>
      </c>
      <c r="G90" s="108">
        <v>172.61</v>
      </c>
      <c r="H90" s="109">
        <v>22.540188331271494</v>
      </c>
      <c r="I90" s="83">
        <v>130584.48717496954</v>
      </c>
      <c r="J90" s="83">
        <v>852464.125</v>
      </c>
      <c r="K90" s="84">
        <v>0.15318473041310629</v>
      </c>
      <c r="L90" s="112">
        <v>0.15318473041310629</v>
      </c>
      <c r="M90" s="82"/>
    </row>
    <row r="91" spans="1:13">
      <c r="A91" s="111" t="s">
        <v>320</v>
      </c>
      <c r="B91" s="107" t="s">
        <v>1859</v>
      </c>
      <c r="C91" s="27" t="s">
        <v>146</v>
      </c>
      <c r="D91" s="27" t="s">
        <v>1156</v>
      </c>
      <c r="E91" s="27" t="s">
        <v>966</v>
      </c>
      <c r="F91" s="27" t="s">
        <v>969</v>
      </c>
      <c r="G91" s="108">
        <v>67.97</v>
      </c>
      <c r="H91" s="109">
        <v>22.226929558834918</v>
      </c>
      <c r="I91" s="83">
        <v>327010.88066551299</v>
      </c>
      <c r="J91" s="83">
        <v>2396323.25</v>
      </c>
      <c r="K91" s="84">
        <v>0.13646359299210278</v>
      </c>
      <c r="L91" s="112">
        <v>0.13646359299210278</v>
      </c>
      <c r="M91" s="82"/>
    </row>
    <row r="92" spans="1:13">
      <c r="A92" s="111" t="s">
        <v>821</v>
      </c>
      <c r="B92" s="107" t="s">
        <v>1861</v>
      </c>
      <c r="C92" s="27" t="s">
        <v>676</v>
      </c>
      <c r="D92" s="27" t="s">
        <v>1166</v>
      </c>
      <c r="E92" s="27" t="s">
        <v>966</v>
      </c>
      <c r="F92" s="27" t="s">
        <v>969</v>
      </c>
      <c r="G92" s="108">
        <v>205.3</v>
      </c>
      <c r="H92" s="109">
        <v>21.984400433693942</v>
      </c>
      <c r="I92" s="83">
        <v>107084.26903893785</v>
      </c>
      <c r="J92" s="83">
        <v>684872.375</v>
      </c>
      <c r="K92" s="84">
        <v>0.15635653144710043</v>
      </c>
      <c r="L92" s="112">
        <v>0.15635653144710043</v>
      </c>
      <c r="M92" s="82"/>
    </row>
    <row r="93" spans="1:13">
      <c r="A93" s="111" t="s">
        <v>309</v>
      </c>
      <c r="B93" s="107" t="s">
        <v>1868</v>
      </c>
      <c r="C93" s="27" t="s">
        <v>135</v>
      </c>
      <c r="D93" s="27" t="s">
        <v>1151</v>
      </c>
      <c r="E93" s="27" t="s">
        <v>966</v>
      </c>
      <c r="F93" s="27" t="s">
        <v>967</v>
      </c>
      <c r="G93" s="108">
        <v>47.26</v>
      </c>
      <c r="H93" s="109">
        <v>21.678152402889236</v>
      </c>
      <c r="I93" s="83">
        <v>458699.79692952259</v>
      </c>
      <c r="J93" s="83">
        <v>1366510</v>
      </c>
      <c r="K93" s="84">
        <v>0.33567247728119265</v>
      </c>
      <c r="L93" s="112">
        <v>0.33567247728119265</v>
      </c>
      <c r="M93" s="82"/>
    </row>
    <row r="94" spans="1:13">
      <c r="A94" s="111" t="s">
        <v>289</v>
      </c>
      <c r="B94" s="107" t="s">
        <v>1865</v>
      </c>
      <c r="C94" s="27" t="s">
        <v>116</v>
      </c>
      <c r="D94" s="27" t="s">
        <v>1149</v>
      </c>
      <c r="E94" s="27" t="s">
        <v>966</v>
      </c>
      <c r="F94" s="27" t="s">
        <v>969</v>
      </c>
      <c r="G94" s="108">
        <v>71.239999999999995</v>
      </c>
      <c r="H94" s="109">
        <v>21.759041778381778</v>
      </c>
      <c r="I94" s="83">
        <v>305432.92782680766</v>
      </c>
      <c r="J94" s="83">
        <v>1793452</v>
      </c>
      <c r="K94" s="84">
        <v>0.17030448979220389</v>
      </c>
      <c r="L94" s="112">
        <v>0.17030448979220389</v>
      </c>
      <c r="M94" s="82"/>
    </row>
    <row r="95" spans="1:13">
      <c r="A95" s="111" t="s">
        <v>1018</v>
      </c>
      <c r="B95" s="107" t="s">
        <v>1863</v>
      </c>
      <c r="C95" s="27" t="s">
        <v>902</v>
      </c>
      <c r="D95" s="27" t="s">
        <v>1147</v>
      </c>
      <c r="E95" s="27" t="s">
        <v>966</v>
      </c>
      <c r="F95" s="27" t="s">
        <v>971</v>
      </c>
      <c r="G95" s="108">
        <v>29.1</v>
      </c>
      <c r="H95" s="109">
        <v>21.826516351021088</v>
      </c>
      <c r="I95" s="83">
        <v>750052.10828251147</v>
      </c>
      <c r="J95" s="83">
        <v>11824812</v>
      </c>
      <c r="K95" s="84">
        <v>6.3430362214850558E-2</v>
      </c>
      <c r="L95" s="112">
        <v>6.3430362214850558E-2</v>
      </c>
      <c r="M95" s="82"/>
    </row>
    <row r="96" spans="1:13">
      <c r="A96" s="111" t="s">
        <v>1255</v>
      </c>
      <c r="B96" s="107" t="s">
        <v>1867</v>
      </c>
      <c r="C96" s="27" t="s">
        <v>772</v>
      </c>
      <c r="D96" s="27" t="s">
        <v>1154</v>
      </c>
      <c r="E96" s="27" t="s">
        <v>966</v>
      </c>
      <c r="F96" s="27" t="s">
        <v>969</v>
      </c>
      <c r="G96" s="108">
        <v>75.56</v>
      </c>
      <c r="H96" s="109">
        <v>21.699583546975866</v>
      </c>
      <c r="I96" s="83">
        <v>287183.47732895537</v>
      </c>
      <c r="J96" s="83">
        <v>3097170.75</v>
      </c>
      <c r="K96" s="84">
        <v>9.2724457419390061E-2</v>
      </c>
      <c r="L96" s="112">
        <v>9.2724457419390061E-2</v>
      </c>
      <c r="M96" s="82"/>
    </row>
    <row r="97" spans="1:13">
      <c r="A97" s="111" t="s">
        <v>1352</v>
      </c>
      <c r="B97" s="107" t="s">
        <v>1874</v>
      </c>
      <c r="C97" s="27" t="s">
        <v>56</v>
      </c>
      <c r="D97" s="27" t="s">
        <v>1152</v>
      </c>
      <c r="E97" s="27" t="s">
        <v>966</v>
      </c>
      <c r="F97" s="27" t="s">
        <v>969</v>
      </c>
      <c r="G97" s="108">
        <v>18.190000000000001</v>
      </c>
      <c r="H97" s="109">
        <v>21.161749901041542</v>
      </c>
      <c r="I97" s="83">
        <v>1163372.7268302112</v>
      </c>
      <c r="J97" s="83">
        <v>32199870</v>
      </c>
      <c r="K97" s="84">
        <v>3.6129733655142438E-2</v>
      </c>
      <c r="L97" s="112">
        <v>3.6129733655142438E-2</v>
      </c>
      <c r="M97" s="82"/>
    </row>
    <row r="98" spans="1:13">
      <c r="A98" s="111" t="s">
        <v>1236</v>
      </c>
      <c r="B98" s="107" t="s">
        <v>1870</v>
      </c>
      <c r="C98" s="27" t="s">
        <v>755</v>
      </c>
      <c r="D98" s="27" t="s">
        <v>1151</v>
      </c>
      <c r="E98" s="27" t="s">
        <v>966</v>
      </c>
      <c r="F98" s="27" t="s">
        <v>969</v>
      </c>
      <c r="G98" s="108">
        <v>71.040000000000006</v>
      </c>
      <c r="H98" s="109">
        <v>21.481788301047956</v>
      </c>
      <c r="I98" s="83">
        <v>302390.03802150837</v>
      </c>
      <c r="J98" s="83">
        <v>2687342.25</v>
      </c>
      <c r="K98" s="84">
        <v>0.11252382833690364</v>
      </c>
      <c r="L98" s="112">
        <v>0.11252382833690364</v>
      </c>
      <c r="M98" s="82"/>
    </row>
    <row r="99" spans="1:13">
      <c r="A99" s="111" t="s">
        <v>823</v>
      </c>
      <c r="B99" s="107" t="s">
        <v>1872</v>
      </c>
      <c r="C99" s="27" t="s">
        <v>678</v>
      </c>
      <c r="D99" s="27" t="s">
        <v>1159</v>
      </c>
      <c r="E99" s="27" t="s">
        <v>966</v>
      </c>
      <c r="F99" s="27" t="s">
        <v>969</v>
      </c>
      <c r="G99" s="108">
        <v>120.51</v>
      </c>
      <c r="H99" s="109">
        <v>21.411047818389587</v>
      </c>
      <c r="I99" s="83">
        <v>177670.29971280048</v>
      </c>
      <c r="J99" s="83">
        <v>17987508</v>
      </c>
      <c r="K99" s="84">
        <v>9.8774271407023415E-3</v>
      </c>
      <c r="L99" s="112">
        <v>9.8774271407023415E-3</v>
      </c>
      <c r="M99" s="82"/>
    </row>
    <row r="100" spans="1:13">
      <c r="A100" s="111" t="s">
        <v>850</v>
      </c>
      <c r="B100" s="107" t="s">
        <v>1876</v>
      </c>
      <c r="C100" s="27" t="s">
        <v>1056</v>
      </c>
      <c r="D100" s="27" t="s">
        <v>1159</v>
      </c>
      <c r="E100" s="27" t="s">
        <v>966</v>
      </c>
      <c r="F100" s="27" t="s">
        <v>971</v>
      </c>
      <c r="G100" s="108">
        <v>79</v>
      </c>
      <c r="H100" s="109">
        <v>20.941099814087526</v>
      </c>
      <c r="I100" s="83">
        <v>265077.21283655096</v>
      </c>
      <c r="J100" s="83">
        <v>4091544</v>
      </c>
      <c r="K100" s="84">
        <v>6.4786597146835267E-2</v>
      </c>
      <c r="L100" s="112">
        <v>6.4786597146835267E-2</v>
      </c>
      <c r="M100" s="82"/>
    </row>
    <row r="101" spans="1:13">
      <c r="A101" s="111" t="s">
        <v>1265</v>
      </c>
      <c r="B101" s="107" t="s">
        <v>1878</v>
      </c>
      <c r="C101" s="27" t="s">
        <v>781</v>
      </c>
      <c r="D101" s="27" t="s">
        <v>1160</v>
      </c>
      <c r="E101" s="27" t="s">
        <v>966</v>
      </c>
      <c r="F101" s="27" t="s">
        <v>969</v>
      </c>
      <c r="G101" s="108">
        <v>79.930000000000007</v>
      </c>
      <c r="H101" s="109">
        <v>20.559554493976005</v>
      </c>
      <c r="I101" s="83">
        <v>257219.49823565624</v>
      </c>
      <c r="J101" s="83">
        <v>6119942.5</v>
      </c>
      <c r="K101" s="84">
        <v>4.2029724664187001E-2</v>
      </c>
      <c r="L101" s="112">
        <v>4.2029724664187001E-2</v>
      </c>
      <c r="M101" s="82"/>
    </row>
    <row r="102" spans="1:13">
      <c r="A102" s="111" t="s">
        <v>280</v>
      </c>
      <c r="B102" s="107" t="s">
        <v>1885</v>
      </c>
      <c r="C102" s="27" t="s">
        <v>1531</v>
      </c>
      <c r="D102" s="27" t="s">
        <v>1153</v>
      </c>
      <c r="E102" s="27" t="s">
        <v>966</v>
      </c>
      <c r="F102" s="27" t="s">
        <v>967</v>
      </c>
      <c r="G102" s="108">
        <v>109.35</v>
      </c>
      <c r="H102" s="109">
        <v>19.68779870487727</v>
      </c>
      <c r="I102" s="83">
        <v>180043.88390377024</v>
      </c>
      <c r="J102" s="83">
        <v>702297.4375</v>
      </c>
      <c r="K102" s="84">
        <v>0.2563641475678462</v>
      </c>
      <c r="L102" s="112">
        <v>0.2563641475678462</v>
      </c>
      <c r="M102" s="82"/>
    </row>
    <row r="103" spans="1:13">
      <c r="A103" s="111" t="s">
        <v>1327</v>
      </c>
      <c r="B103" s="107" t="s">
        <v>1880</v>
      </c>
      <c r="C103" s="27" t="s">
        <v>33</v>
      </c>
      <c r="D103" s="27" t="s">
        <v>1162</v>
      </c>
      <c r="E103" s="27" t="s">
        <v>966</v>
      </c>
      <c r="F103" s="27" t="s">
        <v>969</v>
      </c>
      <c r="G103" s="108">
        <v>115.65</v>
      </c>
      <c r="H103" s="109">
        <v>19.919671632322117</v>
      </c>
      <c r="I103" s="83">
        <v>172240.99984714325</v>
      </c>
      <c r="J103" s="83">
        <v>1481776.25</v>
      </c>
      <c r="K103" s="84">
        <v>0.1162395468594825</v>
      </c>
      <c r="L103" s="112">
        <v>0.1162395468594825</v>
      </c>
      <c r="M103" s="82"/>
    </row>
    <row r="104" spans="1:13">
      <c r="A104" s="111" t="s">
        <v>1190</v>
      </c>
      <c r="B104" s="107" t="s">
        <v>1882</v>
      </c>
      <c r="C104" s="27" t="s">
        <v>715</v>
      </c>
      <c r="D104" s="27" t="s">
        <v>1156</v>
      </c>
      <c r="E104" s="27" t="s">
        <v>966</v>
      </c>
      <c r="F104" s="27" t="s">
        <v>969</v>
      </c>
      <c r="G104" s="108">
        <v>99.97</v>
      </c>
      <c r="H104" s="109">
        <v>19.900016661292163</v>
      </c>
      <c r="I104" s="83">
        <v>199059.88457829511</v>
      </c>
      <c r="J104" s="83">
        <v>2433014.25</v>
      </c>
      <c r="K104" s="84">
        <v>8.1816160582822359E-2</v>
      </c>
      <c r="L104" s="112">
        <v>8.1816160582822359E-2</v>
      </c>
      <c r="M104" s="82"/>
    </row>
    <row r="105" spans="1:13">
      <c r="A105" s="111" t="s">
        <v>302</v>
      </c>
      <c r="B105" s="107" t="s">
        <v>1883</v>
      </c>
      <c r="C105" s="27" t="s">
        <v>128</v>
      </c>
      <c r="D105" s="27" t="s">
        <v>1159</v>
      </c>
      <c r="E105" s="27" t="s">
        <v>966</v>
      </c>
      <c r="F105" s="27" t="s">
        <v>971</v>
      </c>
      <c r="G105" s="108">
        <v>70.069999999999993</v>
      </c>
      <c r="H105" s="109">
        <v>19.889479101893908</v>
      </c>
      <c r="I105" s="83">
        <v>283851.56417716446</v>
      </c>
      <c r="J105" s="83">
        <v>2157931.75</v>
      </c>
      <c r="K105" s="84">
        <v>0.13153871255528099</v>
      </c>
      <c r="L105" s="112">
        <v>0.13153871255528099</v>
      </c>
      <c r="M105" s="82"/>
    </row>
    <row r="106" spans="1:13">
      <c r="A106" s="111" t="s">
        <v>1253</v>
      </c>
      <c r="B106" s="107" t="s">
        <v>1887</v>
      </c>
      <c r="C106" s="27" t="s">
        <v>770</v>
      </c>
      <c r="D106" s="27" t="s">
        <v>1161</v>
      </c>
      <c r="E106" s="27" t="s">
        <v>966</v>
      </c>
      <c r="F106" s="27" t="s">
        <v>969</v>
      </c>
      <c r="G106" s="108">
        <v>70.72</v>
      </c>
      <c r="H106" s="109">
        <v>19.196921808035967</v>
      </c>
      <c r="I106" s="83">
        <v>271449.6861996036</v>
      </c>
      <c r="J106" s="83">
        <v>1323449.75</v>
      </c>
      <c r="K106" s="84">
        <v>0.20510766366430128</v>
      </c>
      <c r="L106" s="112">
        <v>0.20510766366430128</v>
      </c>
      <c r="M106" s="82"/>
    </row>
    <row r="107" spans="1:13">
      <c r="A107" s="111" t="s">
        <v>988</v>
      </c>
      <c r="B107" s="107" t="s">
        <v>1889</v>
      </c>
      <c r="C107" s="27" t="s">
        <v>875</v>
      </c>
      <c r="D107" s="27" t="s">
        <v>1160</v>
      </c>
      <c r="E107" s="27" t="s">
        <v>966</v>
      </c>
      <c r="F107" s="27" t="s">
        <v>969</v>
      </c>
      <c r="G107" s="108">
        <v>58.6</v>
      </c>
      <c r="H107" s="109">
        <v>18.770334892166783</v>
      </c>
      <c r="I107" s="83">
        <v>320312.88211888709</v>
      </c>
      <c r="J107" s="83">
        <v>4696214.5</v>
      </c>
      <c r="K107" s="84">
        <v>6.8206612393638982E-2</v>
      </c>
      <c r="L107" s="112">
        <v>6.8206612393638982E-2</v>
      </c>
      <c r="M107" s="82"/>
    </row>
    <row r="108" spans="1:13">
      <c r="A108" s="111" t="s">
        <v>848</v>
      </c>
      <c r="B108" s="107" t="s">
        <v>1891</v>
      </c>
      <c r="C108" s="27" t="s">
        <v>1054</v>
      </c>
      <c r="D108" s="27" t="s">
        <v>1154</v>
      </c>
      <c r="E108" s="27" t="s">
        <v>966</v>
      </c>
      <c r="F108" s="27" t="s">
        <v>969</v>
      </c>
      <c r="G108" s="108">
        <v>46.57</v>
      </c>
      <c r="H108" s="109">
        <v>18.446901364451925</v>
      </c>
      <c r="I108" s="83">
        <v>396111.25970478682</v>
      </c>
      <c r="J108" s="83">
        <v>4689513</v>
      </c>
      <c r="K108" s="84">
        <v>8.4467461696936724E-2</v>
      </c>
      <c r="L108" s="112">
        <v>8.4467461696936724E-2</v>
      </c>
      <c r="M108" s="82"/>
    </row>
    <row r="109" spans="1:13">
      <c r="A109" s="111" t="s">
        <v>1316</v>
      </c>
      <c r="B109" s="107" t="s">
        <v>1893</v>
      </c>
      <c r="C109" s="27" t="s">
        <v>22</v>
      </c>
      <c r="D109" s="27" t="s">
        <v>1149</v>
      </c>
      <c r="E109" s="27" t="s">
        <v>966</v>
      </c>
      <c r="F109" s="27" t="s">
        <v>969</v>
      </c>
      <c r="G109" s="108">
        <v>529.28</v>
      </c>
      <c r="H109" s="109">
        <v>18.086407370635389</v>
      </c>
      <c r="I109" s="83">
        <v>34171.718883455622</v>
      </c>
      <c r="J109" s="83">
        <v>350206.5</v>
      </c>
      <c r="K109" s="84">
        <v>9.7575912735644893E-2</v>
      </c>
      <c r="L109" s="112">
        <v>9.7575912735644893E-2</v>
      </c>
      <c r="M109" s="82"/>
    </row>
    <row r="110" spans="1:13">
      <c r="A110" s="111" t="s">
        <v>1315</v>
      </c>
      <c r="B110" s="107" t="s">
        <v>1898</v>
      </c>
      <c r="C110" s="27" t="s">
        <v>21</v>
      </c>
      <c r="D110" s="27" t="s">
        <v>1156</v>
      </c>
      <c r="E110" s="27" t="s">
        <v>966</v>
      </c>
      <c r="F110" s="27" t="s">
        <v>967</v>
      </c>
      <c r="G110" s="108">
        <v>29.75</v>
      </c>
      <c r="H110" s="109">
        <v>17.769586644511676</v>
      </c>
      <c r="I110" s="83">
        <v>597297.0300676194</v>
      </c>
      <c r="J110" s="83">
        <v>1389870.5</v>
      </c>
      <c r="K110" s="84">
        <v>0.42975013144578533</v>
      </c>
      <c r="L110" s="112">
        <v>0.42975013144578533</v>
      </c>
      <c r="M110" s="82"/>
    </row>
    <row r="111" spans="1:13">
      <c r="A111" s="111" t="s">
        <v>805</v>
      </c>
      <c r="B111" s="107" t="s">
        <v>1895</v>
      </c>
      <c r="C111" s="27" t="s">
        <v>1357</v>
      </c>
      <c r="D111" s="27" t="s">
        <v>1161</v>
      </c>
      <c r="E111" s="27" t="s">
        <v>966</v>
      </c>
      <c r="F111" s="27" t="s">
        <v>969</v>
      </c>
      <c r="G111" s="108">
        <v>745.98</v>
      </c>
      <c r="H111" s="109">
        <v>17.917179885304208</v>
      </c>
      <c r="I111" s="83">
        <v>24018.311329129745</v>
      </c>
      <c r="J111" s="83">
        <v>738505.125</v>
      </c>
      <c r="K111" s="84">
        <v>3.2522876979533141E-2</v>
      </c>
      <c r="L111" s="112">
        <v>3.2522876979533141E-2</v>
      </c>
      <c r="M111" s="82"/>
    </row>
    <row r="112" spans="1:13">
      <c r="A112" s="111" t="s">
        <v>997</v>
      </c>
      <c r="B112" s="107" t="s">
        <v>1900</v>
      </c>
      <c r="C112" s="27" t="s">
        <v>884</v>
      </c>
      <c r="D112" s="27" t="s">
        <v>1153</v>
      </c>
      <c r="E112" s="27" t="s">
        <v>966</v>
      </c>
      <c r="F112" s="27" t="s">
        <v>967</v>
      </c>
      <c r="G112" s="108">
        <v>50.4</v>
      </c>
      <c r="H112" s="109">
        <v>17.68393885268252</v>
      </c>
      <c r="I112" s="83">
        <v>350871.80263258965</v>
      </c>
      <c r="J112" s="83">
        <v>1094566.25</v>
      </c>
      <c r="K112" s="84">
        <v>0.32055784894938033</v>
      </c>
      <c r="L112" s="112">
        <v>0.32055784894938033</v>
      </c>
      <c r="M112" s="82"/>
    </row>
    <row r="113" spans="1:13">
      <c r="A113" s="111" t="s">
        <v>1354</v>
      </c>
      <c r="B113" s="107" t="s">
        <v>1896</v>
      </c>
      <c r="C113" s="27" t="s">
        <v>1701</v>
      </c>
      <c r="D113" s="27" t="s">
        <v>1150</v>
      </c>
      <c r="E113" s="27" t="s">
        <v>966</v>
      </c>
      <c r="F113" s="27" t="s">
        <v>969</v>
      </c>
      <c r="G113" s="108">
        <v>55.36</v>
      </c>
      <c r="H113" s="109">
        <v>17.766511630992596</v>
      </c>
      <c r="I113" s="83">
        <v>320926.87194712053</v>
      </c>
      <c r="J113" s="83">
        <v>9940836</v>
      </c>
      <c r="K113" s="84">
        <v>3.2283690420717187E-2</v>
      </c>
      <c r="L113" s="112">
        <v>3.2283690420717187E-2</v>
      </c>
      <c r="M113" s="82"/>
    </row>
    <row r="114" spans="1:13">
      <c r="A114" s="111" t="s">
        <v>825</v>
      </c>
      <c r="B114" s="107" t="s">
        <v>1904</v>
      </c>
      <c r="C114" s="27" t="s">
        <v>680</v>
      </c>
      <c r="D114" s="27" t="s">
        <v>1156</v>
      </c>
      <c r="E114" s="27" t="s">
        <v>966</v>
      </c>
      <c r="F114" s="27" t="s">
        <v>969</v>
      </c>
      <c r="G114" s="108">
        <v>47.62</v>
      </c>
      <c r="H114" s="109">
        <v>17.548197243048637</v>
      </c>
      <c r="I114" s="83">
        <v>368504.7720085812</v>
      </c>
      <c r="J114" s="83">
        <v>1574673.75</v>
      </c>
      <c r="K114" s="84">
        <v>0.23401975933654906</v>
      </c>
      <c r="L114" s="112">
        <v>0.23401975933654906</v>
      </c>
      <c r="M114" s="82"/>
    </row>
    <row r="115" spans="1:13">
      <c r="A115" s="111" t="s">
        <v>1224</v>
      </c>
      <c r="B115" s="107" t="s">
        <v>1905</v>
      </c>
      <c r="C115" s="27" t="s">
        <v>1434</v>
      </c>
      <c r="D115" s="27" t="s">
        <v>1149</v>
      </c>
      <c r="E115" s="27" t="s">
        <v>966</v>
      </c>
      <c r="F115" s="27" t="s">
        <v>969</v>
      </c>
      <c r="G115" s="108">
        <v>143.35</v>
      </c>
      <c r="H115" s="109">
        <v>17.505034462321952</v>
      </c>
      <c r="I115" s="83">
        <v>122113.94811525603</v>
      </c>
      <c r="J115" s="83">
        <v>2952791.5</v>
      </c>
      <c r="K115" s="84">
        <v>4.1355425235833965E-2</v>
      </c>
      <c r="L115" s="112">
        <v>4.1355425235833965E-2</v>
      </c>
      <c r="M115" s="82"/>
    </row>
    <row r="116" spans="1:13">
      <c r="A116" s="111" t="s">
        <v>1001</v>
      </c>
      <c r="B116" s="107" t="s">
        <v>1902</v>
      </c>
      <c r="C116" s="27" t="s">
        <v>1513</v>
      </c>
      <c r="D116" s="27" t="s">
        <v>1148</v>
      </c>
      <c r="E116" s="27" t="s">
        <v>966</v>
      </c>
      <c r="F116" s="27" t="s">
        <v>971</v>
      </c>
      <c r="G116" s="108">
        <v>53.28</v>
      </c>
      <c r="H116" s="109">
        <v>17.628957742487156</v>
      </c>
      <c r="I116" s="83">
        <v>330873.83150313725</v>
      </c>
      <c r="J116" s="83">
        <v>5430613</v>
      </c>
      <c r="K116" s="84">
        <v>6.0927529084310969E-2</v>
      </c>
      <c r="L116" s="112">
        <v>6.0927529084310969E-2</v>
      </c>
      <c r="M116" s="82"/>
    </row>
    <row r="117" spans="1:13">
      <c r="A117" s="111" t="s">
        <v>1193</v>
      </c>
      <c r="B117" s="107" t="s">
        <v>1907</v>
      </c>
      <c r="C117" s="27" t="s">
        <v>718</v>
      </c>
      <c r="D117" s="27" t="s">
        <v>1160</v>
      </c>
      <c r="E117" s="27" t="s">
        <v>966</v>
      </c>
      <c r="F117" s="27" t="s">
        <v>969</v>
      </c>
      <c r="G117" s="108">
        <v>78.099999999999994</v>
      </c>
      <c r="H117" s="109">
        <v>17.22470603738952</v>
      </c>
      <c r="I117" s="83">
        <v>220546.81225850858</v>
      </c>
      <c r="J117" s="83">
        <v>4578234.5</v>
      </c>
      <c r="K117" s="84">
        <v>4.8172895525231088E-2</v>
      </c>
      <c r="L117" s="112">
        <v>4.8172895525231088E-2</v>
      </c>
      <c r="M117" s="82"/>
    </row>
    <row r="118" spans="1:13">
      <c r="A118" s="111" t="s">
        <v>809</v>
      </c>
      <c r="B118" s="107" t="s">
        <v>1911</v>
      </c>
      <c r="C118" s="27" t="s">
        <v>666</v>
      </c>
      <c r="D118" s="27" t="s">
        <v>1156</v>
      </c>
      <c r="E118" s="27" t="s">
        <v>966</v>
      </c>
      <c r="F118" s="27" t="s">
        <v>969</v>
      </c>
      <c r="G118" s="108">
        <v>228.33</v>
      </c>
      <c r="H118" s="109">
        <v>16.669294289532164</v>
      </c>
      <c r="I118" s="83">
        <v>73005.274337722425</v>
      </c>
      <c r="J118" s="83">
        <v>258121.296875</v>
      </c>
      <c r="K118" s="84">
        <v>0.28283320757169672</v>
      </c>
      <c r="L118" s="112">
        <v>0.28283320757169672</v>
      </c>
      <c r="M118" s="82"/>
    </row>
    <row r="119" spans="1:13">
      <c r="A119" s="111" t="s">
        <v>1297</v>
      </c>
      <c r="B119" s="107" t="s">
        <v>1909</v>
      </c>
      <c r="C119" s="27" t="s">
        <v>5</v>
      </c>
      <c r="D119" s="27" t="s">
        <v>1156</v>
      </c>
      <c r="E119" s="27" t="s">
        <v>966</v>
      </c>
      <c r="F119" s="27" t="s">
        <v>969</v>
      </c>
      <c r="G119" s="108">
        <v>68.2</v>
      </c>
      <c r="H119" s="109">
        <v>16.783917354704599</v>
      </c>
      <c r="I119" s="83">
        <v>246098.49493701756</v>
      </c>
      <c r="J119" s="83">
        <v>2232994</v>
      </c>
      <c r="K119" s="84">
        <v>0.11021010129763786</v>
      </c>
      <c r="L119" s="112">
        <v>0.11021010129763786</v>
      </c>
      <c r="M119" s="82"/>
    </row>
    <row r="120" spans="1:13">
      <c r="A120" s="111" t="s">
        <v>1457</v>
      </c>
      <c r="B120" s="107" t="s">
        <v>1913</v>
      </c>
      <c r="C120" s="27" t="s">
        <v>784</v>
      </c>
      <c r="D120" s="27" t="s">
        <v>1151</v>
      </c>
      <c r="E120" s="27" t="s">
        <v>966</v>
      </c>
      <c r="F120" s="27" t="s">
        <v>969</v>
      </c>
      <c r="G120" s="108">
        <v>73.72</v>
      </c>
      <c r="H120" s="109">
        <v>16.537159992963314</v>
      </c>
      <c r="I120" s="83">
        <v>224323.92828219361</v>
      </c>
      <c r="J120" s="83">
        <v>3683565.25</v>
      </c>
      <c r="K120" s="84">
        <v>6.0898589561347832E-2</v>
      </c>
      <c r="L120" s="112">
        <v>6.0898589561347832E-2</v>
      </c>
      <c r="M120" s="82"/>
    </row>
    <row r="121" spans="1:13">
      <c r="A121" s="111" t="s">
        <v>1209</v>
      </c>
      <c r="B121" s="107" t="s">
        <v>1915</v>
      </c>
      <c r="C121" s="27" t="s">
        <v>731</v>
      </c>
      <c r="D121" s="27" t="s">
        <v>1149</v>
      </c>
      <c r="E121" s="27" t="s">
        <v>966</v>
      </c>
      <c r="F121" s="27" t="s">
        <v>969</v>
      </c>
      <c r="G121" s="108">
        <v>17.309999999999999</v>
      </c>
      <c r="H121" s="109">
        <v>16.264371374995406</v>
      </c>
      <c r="I121" s="83">
        <v>939593.9558056274</v>
      </c>
      <c r="J121" s="83">
        <v>7887251</v>
      </c>
      <c r="K121" s="84">
        <v>0.11912819254840849</v>
      </c>
      <c r="L121" s="112">
        <v>0.11912819254840849</v>
      </c>
      <c r="M121" s="82"/>
    </row>
    <row r="122" spans="1:13">
      <c r="A122" s="111" t="s">
        <v>980</v>
      </c>
      <c r="B122" s="107" t="s">
        <v>1917</v>
      </c>
      <c r="C122" s="27" t="s">
        <v>867</v>
      </c>
      <c r="D122" s="27" t="s">
        <v>1154</v>
      </c>
      <c r="E122" s="27" t="s">
        <v>966</v>
      </c>
      <c r="F122" s="27" t="s">
        <v>969</v>
      </c>
      <c r="G122" s="108">
        <v>57.57</v>
      </c>
      <c r="H122" s="109">
        <v>15.832953947812186</v>
      </c>
      <c r="I122" s="83">
        <v>275020.91276380385</v>
      </c>
      <c r="J122" s="83">
        <v>2548094.25</v>
      </c>
      <c r="K122" s="84">
        <v>0.10793200163761754</v>
      </c>
      <c r="L122" s="112">
        <v>0.10793200163761754</v>
      </c>
      <c r="M122" s="82"/>
    </row>
    <row r="123" spans="1:13">
      <c r="A123" s="111" t="s">
        <v>271</v>
      </c>
      <c r="B123" s="107" t="s">
        <v>1919</v>
      </c>
      <c r="C123" s="27" t="s">
        <v>100</v>
      </c>
      <c r="D123" s="27" t="s">
        <v>1160</v>
      </c>
      <c r="E123" s="27" t="s">
        <v>966</v>
      </c>
      <c r="F123" s="27" t="s">
        <v>969</v>
      </c>
      <c r="G123" s="108">
        <v>38.659999999999997</v>
      </c>
      <c r="H123" s="109">
        <v>15.508026879953269</v>
      </c>
      <c r="I123" s="83">
        <v>401138.82255440427</v>
      </c>
      <c r="J123" s="83">
        <v>5152860</v>
      </c>
      <c r="K123" s="84">
        <v>7.7847801522728008E-2</v>
      </c>
      <c r="L123" s="112">
        <v>7.7847801522728008E-2</v>
      </c>
      <c r="M123" s="82"/>
    </row>
    <row r="124" spans="1:13">
      <c r="A124" s="111" t="s">
        <v>161</v>
      </c>
      <c r="B124" s="107" t="s">
        <v>1921</v>
      </c>
      <c r="C124" s="27" t="s">
        <v>696</v>
      </c>
      <c r="D124" s="27" t="s">
        <v>1160</v>
      </c>
      <c r="E124" s="27" t="s">
        <v>966</v>
      </c>
      <c r="F124" s="27" t="s">
        <v>969</v>
      </c>
      <c r="G124" s="108">
        <v>118.8</v>
      </c>
      <c r="H124" s="109">
        <v>15.491060016948785</v>
      </c>
      <c r="I124" s="83">
        <v>130396.12808879447</v>
      </c>
      <c r="J124" s="83">
        <v>1354119.25</v>
      </c>
      <c r="K124" s="84">
        <v>9.6295897195756194E-2</v>
      </c>
      <c r="L124" s="112">
        <v>9.6295897195756194E-2</v>
      </c>
      <c r="M124" s="82"/>
    </row>
    <row r="125" spans="1:13">
      <c r="A125" s="111" t="s">
        <v>987</v>
      </c>
      <c r="B125" s="107" t="s">
        <v>1925</v>
      </c>
      <c r="C125" s="27" t="s">
        <v>874</v>
      </c>
      <c r="D125" s="27" t="s">
        <v>1149</v>
      </c>
      <c r="E125" s="27" t="s">
        <v>966</v>
      </c>
      <c r="F125" s="27" t="s">
        <v>969</v>
      </c>
      <c r="G125" s="108">
        <v>40.82</v>
      </c>
      <c r="H125" s="109">
        <v>15.359627801059858</v>
      </c>
      <c r="I125" s="83">
        <v>376277.01619450899</v>
      </c>
      <c r="J125" s="83">
        <v>14798589</v>
      </c>
      <c r="K125" s="84">
        <v>2.5426546827843451E-2</v>
      </c>
      <c r="L125" s="112">
        <v>2.5426546827843451E-2</v>
      </c>
      <c r="M125" s="82"/>
    </row>
    <row r="126" spans="1:13">
      <c r="A126" s="111" t="s">
        <v>315</v>
      </c>
      <c r="B126" s="107" t="s">
        <v>1923</v>
      </c>
      <c r="C126" s="27" t="s">
        <v>141</v>
      </c>
      <c r="D126" s="27" t="s">
        <v>1166</v>
      </c>
      <c r="E126" s="27" t="s">
        <v>966</v>
      </c>
      <c r="F126" s="27" t="s">
        <v>969</v>
      </c>
      <c r="G126" s="108">
        <v>75.239999999999995</v>
      </c>
      <c r="H126" s="109">
        <v>15.371839996211353</v>
      </c>
      <c r="I126" s="83">
        <v>204304.09351689729</v>
      </c>
      <c r="J126" s="83">
        <v>1875013.75</v>
      </c>
      <c r="K126" s="84">
        <v>0.10896138415886139</v>
      </c>
      <c r="L126" s="112">
        <v>0.10896138415886139</v>
      </c>
      <c r="M126" s="82"/>
    </row>
    <row r="127" spans="1:13">
      <c r="A127" s="111" t="s">
        <v>1683</v>
      </c>
      <c r="B127" s="107" t="s">
        <v>1927</v>
      </c>
      <c r="C127" s="27" t="s">
        <v>1709</v>
      </c>
      <c r="D127" s="27" t="s">
        <v>1148</v>
      </c>
      <c r="E127" s="27" t="s">
        <v>966</v>
      </c>
      <c r="F127" s="27" t="s">
        <v>969</v>
      </c>
      <c r="G127" s="108">
        <v>63.31</v>
      </c>
      <c r="H127" s="109">
        <v>15.056985735296122</v>
      </c>
      <c r="I127" s="83">
        <v>237829.50142625367</v>
      </c>
      <c r="J127" s="83">
        <v>1642868.625</v>
      </c>
      <c r="K127" s="84">
        <v>0.14476477169697832</v>
      </c>
      <c r="L127" s="112">
        <v>0.14476477169697832</v>
      </c>
      <c r="M127" s="82"/>
    </row>
    <row r="128" spans="1:13">
      <c r="A128" s="111" t="s">
        <v>834</v>
      </c>
      <c r="B128" s="107" t="s">
        <v>1931</v>
      </c>
      <c r="C128" s="27" t="s">
        <v>692</v>
      </c>
      <c r="D128" s="27" t="s">
        <v>1149</v>
      </c>
      <c r="E128" s="27" t="s">
        <v>966</v>
      </c>
      <c r="F128" s="27" t="s">
        <v>967</v>
      </c>
      <c r="G128" s="108">
        <v>142.09</v>
      </c>
      <c r="H128" s="109">
        <v>14.989691596491348</v>
      </c>
      <c r="I128" s="83">
        <v>105494.34581245229</v>
      </c>
      <c r="J128" s="83">
        <v>602272.375</v>
      </c>
      <c r="K128" s="84">
        <v>0.1751605256881528</v>
      </c>
      <c r="L128" s="112">
        <v>0.1751605256881528</v>
      </c>
      <c r="M128" s="82"/>
    </row>
    <row r="129" spans="1:13">
      <c r="A129" s="111" t="s">
        <v>1194</v>
      </c>
      <c r="B129" s="107" t="s">
        <v>1929</v>
      </c>
      <c r="C129" s="27" t="s">
        <v>719</v>
      </c>
      <c r="D129" s="27" t="s">
        <v>1148</v>
      </c>
      <c r="E129" s="27" t="s">
        <v>966</v>
      </c>
      <c r="F129" s="27" t="s">
        <v>969</v>
      </c>
      <c r="G129" s="108">
        <v>145.38</v>
      </c>
      <c r="H129" s="109">
        <v>15.036330916996627</v>
      </c>
      <c r="I129" s="83">
        <v>103427.78179252049</v>
      </c>
      <c r="J129" s="83">
        <v>1714040.125</v>
      </c>
      <c r="K129" s="84">
        <v>6.0341517263209042E-2</v>
      </c>
      <c r="L129" s="112">
        <v>6.0341517263209042E-2</v>
      </c>
      <c r="M129" s="82"/>
    </row>
    <row r="130" spans="1:13">
      <c r="A130" s="111" t="s">
        <v>295</v>
      </c>
      <c r="B130" s="107" t="s">
        <v>1932</v>
      </c>
      <c r="C130" s="27" t="s">
        <v>121</v>
      </c>
      <c r="D130" s="27" t="s">
        <v>1151</v>
      </c>
      <c r="E130" s="27" t="s">
        <v>966</v>
      </c>
      <c r="F130" s="27" t="s">
        <v>969</v>
      </c>
      <c r="G130" s="108">
        <v>21.64</v>
      </c>
      <c r="H130" s="109">
        <v>14.802871430189292</v>
      </c>
      <c r="I130" s="83">
        <v>684051.35999026301</v>
      </c>
      <c r="J130" s="83">
        <v>3882642.75</v>
      </c>
      <c r="K130" s="84">
        <v>0.17618189569211926</v>
      </c>
      <c r="L130" s="112">
        <v>0.17618189569211926</v>
      </c>
      <c r="M130" s="82"/>
    </row>
    <row r="131" spans="1:13">
      <c r="A131" s="111" t="s">
        <v>804</v>
      </c>
      <c r="B131" s="107" t="s">
        <v>1934</v>
      </c>
      <c r="C131" s="27" t="s">
        <v>663</v>
      </c>
      <c r="D131" s="27" t="s">
        <v>1149</v>
      </c>
      <c r="E131" s="27" t="s">
        <v>966</v>
      </c>
      <c r="F131" s="27" t="s">
        <v>969</v>
      </c>
      <c r="G131" s="108">
        <v>63.12</v>
      </c>
      <c r="H131" s="109">
        <v>14.598178763738225</v>
      </c>
      <c r="I131" s="83">
        <v>231276.59638368545</v>
      </c>
      <c r="J131" s="83">
        <v>2952029.5</v>
      </c>
      <c r="K131" s="84">
        <v>7.834494756359496E-2</v>
      </c>
      <c r="L131" s="112">
        <v>7.834494756359496E-2</v>
      </c>
      <c r="M131" s="82"/>
    </row>
    <row r="132" spans="1:13">
      <c r="A132" s="111" t="s">
        <v>1270</v>
      </c>
      <c r="B132" s="107" t="s">
        <v>1936</v>
      </c>
      <c r="C132" s="27" t="s">
        <v>1514</v>
      </c>
      <c r="D132" s="27" t="s">
        <v>1164</v>
      </c>
      <c r="E132" s="27" t="s">
        <v>966</v>
      </c>
      <c r="F132" s="27" t="s">
        <v>969</v>
      </c>
      <c r="G132" s="108">
        <v>60.3</v>
      </c>
      <c r="H132" s="109">
        <v>14.490898125519864</v>
      </c>
      <c r="I132" s="83">
        <v>240313.40174991483</v>
      </c>
      <c r="J132" s="83">
        <v>3227042</v>
      </c>
      <c r="K132" s="84">
        <v>7.446863156721073E-2</v>
      </c>
      <c r="L132" s="112">
        <v>7.446863156721073E-2</v>
      </c>
      <c r="M132" s="82"/>
    </row>
    <row r="133" spans="1:13">
      <c r="A133" s="111" t="s">
        <v>1187</v>
      </c>
      <c r="B133" s="107" t="s">
        <v>1939</v>
      </c>
      <c r="C133" s="27" t="s">
        <v>712</v>
      </c>
      <c r="D133" s="27" t="s">
        <v>1152</v>
      </c>
      <c r="E133" s="27" t="s">
        <v>966</v>
      </c>
      <c r="F133" s="27" t="s">
        <v>969</v>
      </c>
      <c r="G133" s="108">
        <v>49.39</v>
      </c>
      <c r="H133" s="109">
        <v>14.131996747927495</v>
      </c>
      <c r="I133" s="83">
        <v>286130.72986287699</v>
      </c>
      <c r="J133" s="83">
        <v>2145532</v>
      </c>
      <c r="K133" s="84">
        <v>0.13336120359094014</v>
      </c>
      <c r="L133" s="112">
        <v>0.13336120359094014</v>
      </c>
      <c r="M133" s="82"/>
    </row>
    <row r="134" spans="1:13">
      <c r="A134" s="111" t="s">
        <v>261</v>
      </c>
      <c r="B134" s="107" t="s">
        <v>1937</v>
      </c>
      <c r="C134" s="27" t="s">
        <v>91</v>
      </c>
      <c r="D134" s="27" t="s">
        <v>1156</v>
      </c>
      <c r="E134" s="27" t="s">
        <v>966</v>
      </c>
      <c r="F134" s="27" t="s">
        <v>969</v>
      </c>
      <c r="G134" s="108">
        <v>210.53</v>
      </c>
      <c r="H134" s="109">
        <v>14.255068444802877</v>
      </c>
      <c r="I134" s="83">
        <v>67710.390180985487</v>
      </c>
      <c r="J134" s="83">
        <v>533820.3125</v>
      </c>
      <c r="K134" s="84">
        <v>0.12684116470555903</v>
      </c>
      <c r="L134" s="112">
        <v>0.12684116470555903</v>
      </c>
      <c r="M134" s="82"/>
    </row>
    <row r="135" spans="1:13">
      <c r="A135" s="111" t="s">
        <v>279</v>
      </c>
      <c r="B135" s="107" t="s">
        <v>1945</v>
      </c>
      <c r="C135" s="27" t="s">
        <v>107</v>
      </c>
      <c r="D135" s="27" t="s">
        <v>1148</v>
      </c>
      <c r="E135" s="27" t="s">
        <v>966</v>
      </c>
      <c r="F135" s="27" t="s">
        <v>969</v>
      </c>
      <c r="G135" s="108">
        <v>139.63</v>
      </c>
      <c r="H135" s="109">
        <v>13.081154339988698</v>
      </c>
      <c r="I135" s="83">
        <v>93684.411229597492</v>
      </c>
      <c r="J135" s="83">
        <v>928264.5</v>
      </c>
      <c r="K135" s="84">
        <v>0.10092426375197747</v>
      </c>
      <c r="L135" s="112">
        <v>0.10092426375197747</v>
      </c>
      <c r="M135" s="82"/>
    </row>
    <row r="136" spans="1:13">
      <c r="A136" s="111" t="s">
        <v>1007</v>
      </c>
      <c r="B136" s="107" t="s">
        <v>1941</v>
      </c>
      <c r="C136" s="27" t="s">
        <v>892</v>
      </c>
      <c r="D136" s="27" t="s">
        <v>1154</v>
      </c>
      <c r="E136" s="27" t="s">
        <v>966</v>
      </c>
      <c r="F136" s="27" t="s">
        <v>969</v>
      </c>
      <c r="G136" s="108">
        <v>32.69</v>
      </c>
      <c r="H136" s="109">
        <v>13.106063708471122</v>
      </c>
      <c r="I136" s="83">
        <v>400919.66070575477</v>
      </c>
      <c r="J136" s="83">
        <v>9484770</v>
      </c>
      <c r="K136" s="84">
        <v>4.2269834767290591E-2</v>
      </c>
      <c r="L136" s="112">
        <v>4.2269834767290591E-2</v>
      </c>
      <c r="M136" s="82"/>
    </row>
    <row r="137" spans="1:13">
      <c r="A137" s="111" t="s">
        <v>1244</v>
      </c>
      <c r="B137" s="107" t="s">
        <v>1947</v>
      </c>
      <c r="C137" s="27" t="s">
        <v>762</v>
      </c>
      <c r="D137" s="27" t="s">
        <v>1164</v>
      </c>
      <c r="E137" s="27" t="s">
        <v>966</v>
      </c>
      <c r="F137" s="27" t="s">
        <v>969</v>
      </c>
      <c r="G137" s="108">
        <v>93.64</v>
      </c>
      <c r="H137" s="109">
        <v>12.985516824988942</v>
      </c>
      <c r="I137" s="83">
        <v>138674.8913390532</v>
      </c>
      <c r="J137" s="83">
        <v>2378040.25</v>
      </c>
      <c r="K137" s="84">
        <v>5.8314778876872753E-2</v>
      </c>
      <c r="L137" s="112">
        <v>5.8314778876872753E-2</v>
      </c>
      <c r="M137" s="82"/>
    </row>
    <row r="138" spans="1:13">
      <c r="A138" s="111" t="s">
        <v>1192</v>
      </c>
      <c r="B138" s="107" t="s">
        <v>1949</v>
      </c>
      <c r="C138" s="27" t="s">
        <v>717</v>
      </c>
      <c r="D138" s="27" t="s">
        <v>1160</v>
      </c>
      <c r="E138" s="27" t="s">
        <v>966</v>
      </c>
      <c r="F138" s="27" t="s">
        <v>969</v>
      </c>
      <c r="G138" s="108">
        <v>49.21</v>
      </c>
      <c r="H138" s="109">
        <v>12.796083412444213</v>
      </c>
      <c r="I138" s="83">
        <v>260030.14453249771</v>
      </c>
      <c r="J138" s="83">
        <v>5810109.5</v>
      </c>
      <c r="K138" s="84">
        <v>4.4754775195286374E-2</v>
      </c>
      <c r="L138" s="112">
        <v>4.4754775195286374E-2</v>
      </c>
      <c r="M138" s="82"/>
    </row>
    <row r="139" spans="1:13">
      <c r="A139" s="111" t="s">
        <v>1266</v>
      </c>
      <c r="B139" s="107" t="s">
        <v>1951</v>
      </c>
      <c r="C139" s="27" t="s">
        <v>782</v>
      </c>
      <c r="D139" s="27" t="s">
        <v>1156</v>
      </c>
      <c r="E139" s="27" t="s">
        <v>966</v>
      </c>
      <c r="F139" s="27" t="s">
        <v>969</v>
      </c>
      <c r="G139" s="108">
        <v>76.849999999999994</v>
      </c>
      <c r="H139" s="109">
        <v>12.533157591283762</v>
      </c>
      <c r="I139" s="83">
        <v>163085.98036803858</v>
      </c>
      <c r="J139" s="83">
        <v>1446150.625</v>
      </c>
      <c r="K139" s="84">
        <v>0.11277247165594426</v>
      </c>
      <c r="L139" s="112">
        <v>0.11277247165594426</v>
      </c>
      <c r="M139" s="82"/>
    </row>
    <row r="140" spans="1:13">
      <c r="A140" s="111" t="s">
        <v>1677</v>
      </c>
      <c r="B140" s="107" t="s">
        <v>1953</v>
      </c>
      <c r="C140" s="27" t="s">
        <v>1698</v>
      </c>
      <c r="D140" s="27" t="s">
        <v>1158</v>
      </c>
      <c r="E140" s="27" t="s">
        <v>966</v>
      </c>
      <c r="F140" s="27" t="s">
        <v>969</v>
      </c>
      <c r="G140" s="108">
        <v>48.12</v>
      </c>
      <c r="H140" s="109">
        <v>12.309739189839359</v>
      </c>
      <c r="I140" s="83">
        <v>255813.36637238902</v>
      </c>
      <c r="J140" s="83">
        <v>2666503.5</v>
      </c>
      <c r="K140" s="84">
        <v>9.5935882466454292E-2</v>
      </c>
      <c r="L140" s="112">
        <v>9.5935882466454292E-2</v>
      </c>
      <c r="M140" s="82"/>
    </row>
    <row r="141" spans="1:13">
      <c r="A141" s="111" t="s">
        <v>1284</v>
      </c>
      <c r="B141" s="107" t="s">
        <v>1959</v>
      </c>
      <c r="C141" s="27" t="s">
        <v>682</v>
      </c>
      <c r="D141" s="27" t="s">
        <v>1158</v>
      </c>
      <c r="E141" s="27" t="s">
        <v>966</v>
      </c>
      <c r="F141" s="27" t="s">
        <v>969</v>
      </c>
      <c r="G141" s="108">
        <v>5.42</v>
      </c>
      <c r="H141" s="109">
        <v>11.982047178551896</v>
      </c>
      <c r="I141" s="83">
        <v>2210709.8115409408</v>
      </c>
      <c r="J141" s="83">
        <v>24824630</v>
      </c>
      <c r="K141" s="84">
        <v>8.9053082021401359E-2</v>
      </c>
      <c r="L141" s="112">
        <v>8.9053082021401359E-2</v>
      </c>
      <c r="M141" s="82"/>
    </row>
    <row r="142" spans="1:13">
      <c r="A142" s="111" t="s">
        <v>1238</v>
      </c>
      <c r="B142" s="107" t="s">
        <v>1955</v>
      </c>
      <c r="C142" s="27" t="s">
        <v>757</v>
      </c>
      <c r="D142" s="27" t="s">
        <v>1167</v>
      </c>
      <c r="E142" s="27" t="s">
        <v>966</v>
      </c>
      <c r="F142" s="27" t="s">
        <v>969</v>
      </c>
      <c r="G142" s="108">
        <v>29.52</v>
      </c>
      <c r="H142" s="109">
        <v>12.198578359130323</v>
      </c>
      <c r="I142" s="83">
        <v>413230.97422528191</v>
      </c>
      <c r="J142" s="83">
        <v>7032742</v>
      </c>
      <c r="K142" s="84">
        <v>5.8758159225133229E-2</v>
      </c>
      <c r="L142" s="112">
        <v>5.8758159225133229E-2</v>
      </c>
      <c r="M142" s="82"/>
    </row>
    <row r="143" spans="1:13">
      <c r="A143" s="111" t="s">
        <v>1312</v>
      </c>
      <c r="B143" s="107" t="s">
        <v>1957</v>
      </c>
      <c r="C143" s="27" t="s">
        <v>18</v>
      </c>
      <c r="D143" s="27" t="s">
        <v>1151</v>
      </c>
      <c r="E143" s="27" t="s">
        <v>966</v>
      </c>
      <c r="F143" s="27" t="s">
        <v>971</v>
      </c>
      <c r="G143" s="108">
        <v>104.72</v>
      </c>
      <c r="H143" s="109">
        <v>12.071716777230389</v>
      </c>
      <c r="I143" s="83">
        <v>115276.13423634825</v>
      </c>
      <c r="J143" s="83">
        <v>1039639.625</v>
      </c>
      <c r="K143" s="84">
        <v>0.11088085858246145</v>
      </c>
      <c r="L143" s="112">
        <v>0.11088085858246145</v>
      </c>
      <c r="M143" s="82"/>
    </row>
    <row r="144" spans="1:13">
      <c r="A144" s="111" t="s">
        <v>816</v>
      </c>
      <c r="B144" s="107" t="s">
        <v>1963</v>
      </c>
      <c r="C144" s="27" t="s">
        <v>1532</v>
      </c>
      <c r="D144" s="27" t="s">
        <v>1167</v>
      </c>
      <c r="E144" s="27" t="s">
        <v>966</v>
      </c>
      <c r="F144" s="27" t="s">
        <v>967</v>
      </c>
      <c r="G144" s="108">
        <v>80.42</v>
      </c>
      <c r="H144" s="109">
        <v>11.724077411739753</v>
      </c>
      <c r="I144" s="83">
        <v>145785.59328201631</v>
      </c>
      <c r="J144" s="83">
        <v>1148844.75</v>
      </c>
      <c r="K144" s="84">
        <v>0.12689755798772315</v>
      </c>
      <c r="L144" s="112">
        <v>0.12689755798772315</v>
      </c>
      <c r="M144" s="82"/>
    </row>
    <row r="145" spans="1:13">
      <c r="A145" s="111" t="s">
        <v>1298</v>
      </c>
      <c r="B145" s="107" t="s">
        <v>1961</v>
      </c>
      <c r="C145" s="27" t="s">
        <v>6</v>
      </c>
      <c r="D145" s="27" t="s">
        <v>1156</v>
      </c>
      <c r="E145" s="27" t="s">
        <v>966</v>
      </c>
      <c r="F145" s="27" t="s">
        <v>969</v>
      </c>
      <c r="G145" s="108">
        <v>39.590000000000003</v>
      </c>
      <c r="H145" s="109">
        <v>11.808842319868834</v>
      </c>
      <c r="I145" s="83">
        <v>298278.41171681823</v>
      </c>
      <c r="J145" s="83">
        <v>3442126.75</v>
      </c>
      <c r="K145" s="84">
        <v>8.6655266752398999E-2</v>
      </c>
      <c r="L145" s="112">
        <v>8.6655266752398999E-2</v>
      </c>
      <c r="M145" s="82"/>
    </row>
    <row r="146" spans="1:13">
      <c r="A146" s="111" t="s">
        <v>982</v>
      </c>
      <c r="B146" s="107" t="s">
        <v>1943</v>
      </c>
      <c r="C146" s="27" t="s">
        <v>869</v>
      </c>
      <c r="D146" s="27" t="s">
        <v>1150</v>
      </c>
      <c r="E146" s="27" t="s">
        <v>966</v>
      </c>
      <c r="F146" s="27" t="s">
        <v>971</v>
      </c>
      <c r="G146" s="108">
        <v>170.62</v>
      </c>
      <c r="H146" s="109">
        <v>13.06255252890616</v>
      </c>
      <c r="I146" s="83">
        <v>76559.327915286354</v>
      </c>
      <c r="J146" s="83">
        <v>3786425.25</v>
      </c>
      <c r="K146" s="84">
        <v>2.0219421449105948E-2</v>
      </c>
      <c r="L146" s="112">
        <v>2.0219421449105948E-2</v>
      </c>
      <c r="M146" s="82"/>
    </row>
    <row r="147" spans="1:13">
      <c r="A147" s="111" t="s">
        <v>317</v>
      </c>
      <c r="B147" s="107" t="s">
        <v>1965</v>
      </c>
      <c r="C147" s="27" t="s">
        <v>143</v>
      </c>
      <c r="D147" s="27" t="s">
        <v>1148</v>
      </c>
      <c r="E147" s="27" t="s">
        <v>966</v>
      </c>
      <c r="F147" s="27" t="s">
        <v>969</v>
      </c>
      <c r="G147" s="108">
        <v>97.26</v>
      </c>
      <c r="H147" s="109">
        <v>11.330552880159326</v>
      </c>
      <c r="I147" s="83">
        <v>116497.56200040434</v>
      </c>
      <c r="J147" s="83">
        <v>1119007.75</v>
      </c>
      <c r="K147" s="84">
        <v>0.1041079134620867</v>
      </c>
      <c r="L147" s="112">
        <v>0.1041079134620867</v>
      </c>
      <c r="M147" s="82"/>
    </row>
    <row r="148" spans="1:13">
      <c r="A148" s="111" t="s">
        <v>829</v>
      </c>
      <c r="B148" s="107" t="s">
        <v>1964</v>
      </c>
      <c r="C148" s="27" t="s">
        <v>1645</v>
      </c>
      <c r="D148" s="27" t="s">
        <v>1150</v>
      </c>
      <c r="E148" s="27" t="s">
        <v>966</v>
      </c>
      <c r="F148" s="27" t="s">
        <v>969</v>
      </c>
      <c r="G148" s="108">
        <v>186.06</v>
      </c>
      <c r="H148" s="109">
        <v>11.519705744071992</v>
      </c>
      <c r="I148" s="83">
        <v>61913.929614489905</v>
      </c>
      <c r="J148" s="83">
        <v>1320909.625</v>
      </c>
      <c r="K148" s="84">
        <v>4.6872192043032397E-2</v>
      </c>
      <c r="L148" s="112">
        <v>4.6872192043032397E-2</v>
      </c>
      <c r="M148" s="82"/>
    </row>
    <row r="149" spans="1:13">
      <c r="A149" s="111" t="s">
        <v>1387</v>
      </c>
      <c r="B149" s="107" t="s">
        <v>1967</v>
      </c>
      <c r="C149" s="27" t="s">
        <v>1372</v>
      </c>
      <c r="D149" s="27" t="s">
        <v>1164</v>
      </c>
      <c r="E149" s="27" t="s">
        <v>966</v>
      </c>
      <c r="F149" s="27" t="s">
        <v>969</v>
      </c>
      <c r="G149" s="108">
        <v>61.64</v>
      </c>
      <c r="H149" s="109">
        <v>11.305131467601928</v>
      </c>
      <c r="I149" s="83">
        <v>183405.76683325646</v>
      </c>
      <c r="J149" s="83">
        <v>3051311.75</v>
      </c>
      <c r="K149" s="84">
        <v>6.0107187288632985E-2</v>
      </c>
      <c r="L149" s="112">
        <v>6.0107187288632985E-2</v>
      </c>
      <c r="M149" s="82"/>
    </row>
    <row r="150" spans="1:13">
      <c r="A150" s="111" t="s">
        <v>1351</v>
      </c>
      <c r="B150" s="107" t="s">
        <v>1968</v>
      </c>
      <c r="C150" s="27" t="s">
        <v>55</v>
      </c>
      <c r="D150" s="27" t="s">
        <v>1165</v>
      </c>
      <c r="E150" s="27" t="s">
        <v>966</v>
      </c>
      <c r="F150" s="27" t="s">
        <v>969</v>
      </c>
      <c r="G150" s="108">
        <v>128.94999999999999</v>
      </c>
      <c r="H150" s="109">
        <v>11.129842350525792</v>
      </c>
      <c r="I150" s="83">
        <v>86311.301671390407</v>
      </c>
      <c r="J150" s="83">
        <v>599254.375</v>
      </c>
      <c r="K150" s="84">
        <v>0.14403115817283837</v>
      </c>
      <c r="L150" s="112">
        <v>0.14403115817283837</v>
      </c>
      <c r="M150" s="82"/>
    </row>
    <row r="151" spans="1:13">
      <c r="A151" s="111" t="s">
        <v>1323</v>
      </c>
      <c r="B151" s="107" t="s">
        <v>1970</v>
      </c>
      <c r="C151" s="27" t="s">
        <v>29</v>
      </c>
      <c r="D151" s="27" t="s">
        <v>1153</v>
      </c>
      <c r="E151" s="27" t="s">
        <v>966</v>
      </c>
      <c r="F151" s="27" t="s">
        <v>969</v>
      </c>
      <c r="G151" s="108">
        <v>68.900000000000006</v>
      </c>
      <c r="H151" s="109">
        <v>11.074536176925072</v>
      </c>
      <c r="I151" s="83">
        <v>160733.47136320858</v>
      </c>
      <c r="J151" s="83">
        <v>1447547.125</v>
      </c>
      <c r="K151" s="84">
        <v>0.11103850685566356</v>
      </c>
      <c r="L151" s="112">
        <v>0.11103850685566356</v>
      </c>
      <c r="M151" s="82"/>
    </row>
    <row r="152" spans="1:13">
      <c r="A152" s="111" t="s">
        <v>242</v>
      </c>
      <c r="B152" s="107" t="s">
        <v>1976</v>
      </c>
      <c r="C152" s="27" t="s">
        <v>74</v>
      </c>
      <c r="D152" s="27" t="s">
        <v>1164</v>
      </c>
      <c r="E152" s="27" t="s">
        <v>966</v>
      </c>
      <c r="F152" s="27" t="s">
        <v>969</v>
      </c>
      <c r="G152" s="108">
        <v>62.77</v>
      </c>
      <c r="H152" s="109">
        <v>10.533164266777336</v>
      </c>
      <c r="I152" s="83">
        <v>167805.70761155541</v>
      </c>
      <c r="J152" s="83">
        <v>2395780.25</v>
      </c>
      <c r="K152" s="84">
        <v>7.0042195068414734E-2</v>
      </c>
      <c r="L152" s="112">
        <v>7.0042195068414734E-2</v>
      </c>
      <c r="M152" s="82"/>
    </row>
    <row r="153" spans="1:13">
      <c r="A153" s="111" t="s">
        <v>1350</v>
      </c>
      <c r="B153" s="107" t="s">
        <v>1978</v>
      </c>
      <c r="C153" s="27" t="s">
        <v>54</v>
      </c>
      <c r="D153" s="27" t="s">
        <v>1160</v>
      </c>
      <c r="E153" s="27" t="s">
        <v>966</v>
      </c>
      <c r="F153" s="27" t="s">
        <v>969</v>
      </c>
      <c r="G153" s="108">
        <v>19.059999999999999</v>
      </c>
      <c r="H153" s="109">
        <v>10.270420810259798</v>
      </c>
      <c r="I153" s="83">
        <v>538846.84209128004</v>
      </c>
      <c r="J153" s="83">
        <v>11350680</v>
      </c>
      <c r="K153" s="84">
        <v>4.7472648518968028E-2</v>
      </c>
      <c r="L153" s="112">
        <v>4.7472648518968028E-2</v>
      </c>
      <c r="M153" s="82"/>
    </row>
    <row r="154" spans="1:13">
      <c r="A154" s="111" t="s">
        <v>991</v>
      </c>
      <c r="B154" s="107" t="s">
        <v>1974</v>
      </c>
      <c r="C154" s="27" t="s">
        <v>879</v>
      </c>
      <c r="D154" s="27" t="s">
        <v>1164</v>
      </c>
      <c r="E154" s="27" t="s">
        <v>966</v>
      </c>
      <c r="F154" s="27" t="s">
        <v>971</v>
      </c>
      <c r="G154" s="108">
        <v>78.92</v>
      </c>
      <c r="H154" s="109">
        <v>10.52747857044363</v>
      </c>
      <c r="I154" s="83">
        <v>133394.30525143983</v>
      </c>
      <c r="J154" s="83">
        <v>7996287.5</v>
      </c>
      <c r="K154" s="84">
        <v>1.6682029660819452E-2</v>
      </c>
      <c r="L154" s="112">
        <v>1.6682029660819452E-2</v>
      </c>
      <c r="M154" s="82"/>
    </row>
    <row r="155" spans="1:13">
      <c r="A155" s="111" t="s">
        <v>287</v>
      </c>
      <c r="B155" s="107" t="s">
        <v>1980</v>
      </c>
      <c r="C155" s="27" t="s">
        <v>114</v>
      </c>
      <c r="D155" s="27" t="s">
        <v>1154</v>
      </c>
      <c r="E155" s="27" t="s">
        <v>966</v>
      </c>
      <c r="F155" s="27" t="s">
        <v>971</v>
      </c>
      <c r="G155" s="108">
        <v>105.33</v>
      </c>
      <c r="H155" s="109">
        <v>10.116526899988981</v>
      </c>
      <c r="I155" s="83">
        <v>96046.016329526072</v>
      </c>
      <c r="J155" s="83">
        <v>1087472.625</v>
      </c>
      <c r="K155" s="84">
        <v>8.8320399172830744E-2</v>
      </c>
      <c r="L155" s="112">
        <v>8.8320399172830744E-2</v>
      </c>
      <c r="M155" s="82"/>
    </row>
    <row r="156" spans="1:13">
      <c r="A156" s="111" t="s">
        <v>1210</v>
      </c>
      <c r="B156" s="107" t="s">
        <v>1984</v>
      </c>
      <c r="C156" s="27" t="s">
        <v>732</v>
      </c>
      <c r="D156" s="27" t="s">
        <v>1156</v>
      </c>
      <c r="E156" s="27" t="s">
        <v>966</v>
      </c>
      <c r="F156" s="27" t="s">
        <v>969</v>
      </c>
      <c r="G156" s="108">
        <v>119.96</v>
      </c>
      <c r="H156" s="109">
        <v>10.02286804348231</v>
      </c>
      <c r="I156" s="83">
        <v>83551.750946001266</v>
      </c>
      <c r="J156" s="83">
        <v>799220.125</v>
      </c>
      <c r="K156" s="84">
        <v>0.10454160040827459</v>
      </c>
      <c r="L156" s="112">
        <v>0.10454160040827459</v>
      </c>
      <c r="M156" s="82"/>
    </row>
    <row r="157" spans="1:13">
      <c r="A157" s="111" t="s">
        <v>1684</v>
      </c>
      <c r="B157" s="107" t="s">
        <v>1986</v>
      </c>
      <c r="C157" s="27" t="s">
        <v>1710</v>
      </c>
      <c r="D157" s="27" t="s">
        <v>1149</v>
      </c>
      <c r="E157" s="27" t="s">
        <v>966</v>
      </c>
      <c r="F157" s="27" t="s">
        <v>969</v>
      </c>
      <c r="G157" s="108">
        <v>103.68</v>
      </c>
      <c r="H157" s="109">
        <v>9.9943368188407486</v>
      </c>
      <c r="I157" s="83">
        <v>96395.995552090535</v>
      </c>
      <c r="J157" s="83">
        <v>1235763.875</v>
      </c>
      <c r="K157" s="84">
        <v>7.8005189747184137E-2</v>
      </c>
      <c r="L157" s="112">
        <v>7.8005189747184137E-2</v>
      </c>
      <c r="M157" s="82"/>
    </row>
    <row r="158" spans="1:13">
      <c r="A158" s="111" t="s">
        <v>1256</v>
      </c>
      <c r="B158" s="107" t="s">
        <v>1988</v>
      </c>
      <c r="C158" s="27" t="s">
        <v>1511</v>
      </c>
      <c r="D158" s="27" t="s">
        <v>1149</v>
      </c>
      <c r="E158" s="27" t="s">
        <v>966</v>
      </c>
      <c r="F158" s="27" t="s">
        <v>969</v>
      </c>
      <c r="G158" s="108">
        <v>79.95</v>
      </c>
      <c r="H158" s="109">
        <v>9.9117817681096305</v>
      </c>
      <c r="I158" s="83">
        <v>123974.75632407291</v>
      </c>
      <c r="J158" s="83">
        <v>912840.5625</v>
      </c>
      <c r="K158" s="84">
        <v>0.13581205899148779</v>
      </c>
      <c r="L158" s="112">
        <v>0.13581205899148779</v>
      </c>
      <c r="M158" s="82"/>
    </row>
    <row r="159" spans="1:13">
      <c r="A159" s="111" t="s">
        <v>1272</v>
      </c>
      <c r="B159" s="107" t="s">
        <v>1992</v>
      </c>
      <c r="C159" s="27" t="s">
        <v>787</v>
      </c>
      <c r="D159" s="27" t="s">
        <v>1159</v>
      </c>
      <c r="E159" s="27" t="s">
        <v>966</v>
      </c>
      <c r="F159" s="27" t="s">
        <v>967</v>
      </c>
      <c r="G159" s="108">
        <v>120.78</v>
      </c>
      <c r="H159" s="109">
        <v>9.8452247711376906</v>
      </c>
      <c r="I159" s="83">
        <v>81513.700704898903</v>
      </c>
      <c r="J159" s="83">
        <v>2090885.5</v>
      </c>
      <c r="K159" s="84">
        <v>3.8985253235960984E-2</v>
      </c>
      <c r="L159" s="112">
        <v>3.8985253235960984E-2</v>
      </c>
      <c r="M159" s="82"/>
    </row>
    <row r="160" spans="1:13">
      <c r="A160" s="111" t="s">
        <v>831</v>
      </c>
      <c r="B160" s="107" t="s">
        <v>1990</v>
      </c>
      <c r="C160" s="27" t="s">
        <v>1705</v>
      </c>
      <c r="D160" s="27" t="s">
        <v>1164</v>
      </c>
      <c r="E160" s="27" t="s">
        <v>966</v>
      </c>
      <c r="F160" s="27" t="s">
        <v>969</v>
      </c>
      <c r="G160" s="108">
        <v>168.51</v>
      </c>
      <c r="H160" s="109">
        <v>9.9076785953384672</v>
      </c>
      <c r="I160" s="83">
        <v>58795.79013315808</v>
      </c>
      <c r="J160" s="83">
        <v>437151.5625</v>
      </c>
      <c r="K160" s="84">
        <v>0.13449749509509779</v>
      </c>
      <c r="L160" s="112">
        <v>0.13449749509509779</v>
      </c>
      <c r="M160" s="82"/>
    </row>
    <row r="161" spans="1:13">
      <c r="A161" s="111" t="s">
        <v>800</v>
      </c>
      <c r="B161" s="107" t="s">
        <v>1993</v>
      </c>
      <c r="C161" s="27" t="s">
        <v>659</v>
      </c>
      <c r="D161" s="27" t="s">
        <v>1164</v>
      </c>
      <c r="E161" s="27" t="s">
        <v>966</v>
      </c>
      <c r="F161" s="27" t="s">
        <v>969</v>
      </c>
      <c r="G161" s="108">
        <v>55.49</v>
      </c>
      <c r="H161" s="109">
        <v>9.7354376673977647</v>
      </c>
      <c r="I161" s="83">
        <v>175444.90299869821</v>
      </c>
      <c r="J161" s="83">
        <v>1409988.5</v>
      </c>
      <c r="K161" s="84">
        <v>0.12443002407374117</v>
      </c>
      <c r="L161" s="112">
        <v>0.12443002407374117</v>
      </c>
      <c r="M161" s="82"/>
    </row>
    <row r="162" spans="1:13">
      <c r="A162" s="111" t="s">
        <v>278</v>
      </c>
      <c r="B162" s="107" t="s">
        <v>1995</v>
      </c>
      <c r="C162" s="27" t="s">
        <v>106</v>
      </c>
      <c r="D162" s="27" t="s">
        <v>1148</v>
      </c>
      <c r="E162" s="27" t="s">
        <v>966</v>
      </c>
      <c r="F162" s="27" t="s">
        <v>969</v>
      </c>
      <c r="G162" s="108">
        <v>273.17</v>
      </c>
      <c r="H162" s="109">
        <v>9.7152752194923586</v>
      </c>
      <c r="I162" s="83">
        <v>35564.942048879304</v>
      </c>
      <c r="J162" s="83">
        <v>1155826.875</v>
      </c>
      <c r="K162" s="84">
        <v>3.0770129002995628E-2</v>
      </c>
      <c r="L162" s="112">
        <v>3.0770129002995628E-2</v>
      </c>
      <c r="M162" s="82"/>
    </row>
    <row r="163" spans="1:13">
      <c r="A163" s="111" t="s">
        <v>1487</v>
      </c>
      <c r="B163" s="107" t="s">
        <v>1997</v>
      </c>
      <c r="C163" s="27" t="s">
        <v>1512</v>
      </c>
      <c r="D163" s="27" t="s">
        <v>1159</v>
      </c>
      <c r="E163" s="27" t="s">
        <v>966</v>
      </c>
      <c r="F163" s="27" t="s">
        <v>971</v>
      </c>
      <c r="G163" s="108">
        <v>78.239999999999995</v>
      </c>
      <c r="H163" s="109">
        <v>9.6906466621946219</v>
      </c>
      <c r="I163" s="83">
        <v>123857.95836138321</v>
      </c>
      <c r="J163" s="83">
        <v>1916050.75</v>
      </c>
      <c r="K163" s="84">
        <v>6.464231616066704E-2</v>
      </c>
      <c r="L163" s="112">
        <v>6.464231616066704E-2</v>
      </c>
      <c r="M163" s="82"/>
    </row>
    <row r="164" spans="1:13">
      <c r="A164" s="111" t="s">
        <v>323</v>
      </c>
      <c r="B164" s="107" t="s">
        <v>2002</v>
      </c>
      <c r="C164" s="27" t="s">
        <v>1708</v>
      </c>
      <c r="D164" s="27" t="s">
        <v>1154</v>
      </c>
      <c r="E164" s="27" t="s">
        <v>966</v>
      </c>
      <c r="F164" s="27" t="s">
        <v>969</v>
      </c>
      <c r="G164" s="108">
        <v>50.96</v>
      </c>
      <c r="H164" s="109">
        <v>9.4548908981969362</v>
      </c>
      <c r="I164" s="83">
        <v>185535.53567890378</v>
      </c>
      <c r="J164" s="83">
        <v>2140011.25</v>
      </c>
      <c r="K164" s="84">
        <v>8.6698392673825328E-2</v>
      </c>
      <c r="L164" s="112">
        <v>8.6698392673825328E-2</v>
      </c>
      <c r="M164" s="82"/>
    </row>
    <row r="165" spans="1:13">
      <c r="A165" s="111" t="s">
        <v>296</v>
      </c>
      <c r="B165" s="107" t="s">
        <v>1998</v>
      </c>
      <c r="C165" s="27" t="s">
        <v>122</v>
      </c>
      <c r="D165" s="27" t="s">
        <v>1169</v>
      </c>
      <c r="E165" s="27" t="s">
        <v>966</v>
      </c>
      <c r="F165" s="27" t="s">
        <v>969</v>
      </c>
      <c r="G165" s="108">
        <v>38.630000000000003</v>
      </c>
      <c r="H165" s="109">
        <v>9.5260552757260779</v>
      </c>
      <c r="I165" s="83">
        <v>246597.34081610347</v>
      </c>
      <c r="J165" s="83">
        <v>5728755</v>
      </c>
      <c r="K165" s="84">
        <v>4.3045537960011114E-2</v>
      </c>
      <c r="L165" s="112">
        <v>4.3045537960011114E-2</v>
      </c>
      <c r="M165" s="82"/>
    </row>
    <row r="166" spans="1:13">
      <c r="A166" s="111" t="s">
        <v>1568</v>
      </c>
      <c r="B166" s="107" t="s">
        <v>2007</v>
      </c>
      <c r="C166" s="27" t="s">
        <v>1569</v>
      </c>
      <c r="D166" s="27" t="s">
        <v>1150</v>
      </c>
      <c r="E166" s="27" t="s">
        <v>966</v>
      </c>
      <c r="F166" s="27" t="s">
        <v>969</v>
      </c>
      <c r="G166" s="108">
        <v>100.2</v>
      </c>
      <c r="H166" s="109">
        <v>9.1887318424209781</v>
      </c>
      <c r="I166" s="83">
        <v>91703.91060300378</v>
      </c>
      <c r="J166" s="83">
        <v>1797728.375</v>
      </c>
      <c r="K166" s="84">
        <v>5.1010993584057869E-2</v>
      </c>
      <c r="L166" s="112">
        <v>5.1010993584057869E-2</v>
      </c>
      <c r="M166" s="82"/>
    </row>
    <row r="167" spans="1:13">
      <c r="A167" s="111" t="s">
        <v>1388</v>
      </c>
      <c r="B167" s="107" t="s">
        <v>2006</v>
      </c>
      <c r="C167" s="27" t="s">
        <v>1374</v>
      </c>
      <c r="D167" s="27" t="s">
        <v>1153</v>
      </c>
      <c r="E167" s="27" t="s">
        <v>966</v>
      </c>
      <c r="F167" s="27" t="s">
        <v>969</v>
      </c>
      <c r="G167" s="108">
        <v>84.87</v>
      </c>
      <c r="H167" s="109">
        <v>9.1964232345988712</v>
      </c>
      <c r="I167" s="83">
        <v>108358.93996228196</v>
      </c>
      <c r="J167" s="83">
        <v>1916413.25</v>
      </c>
      <c r="K167" s="84">
        <v>5.6542575022522912E-2</v>
      </c>
      <c r="L167" s="112">
        <v>5.6542575022522912E-2</v>
      </c>
      <c r="M167" s="82"/>
    </row>
    <row r="168" spans="1:13">
      <c r="A168" s="111" t="s">
        <v>259</v>
      </c>
      <c r="B168" s="107" t="s">
        <v>2004</v>
      </c>
      <c r="C168" s="27" t="s">
        <v>89</v>
      </c>
      <c r="D168" s="27" t="s">
        <v>1154</v>
      </c>
      <c r="E168" s="27" t="s">
        <v>966</v>
      </c>
      <c r="F168" s="27" t="s">
        <v>969</v>
      </c>
      <c r="G168" s="108">
        <v>33.25</v>
      </c>
      <c r="H168" s="109">
        <v>9.2246069286393819</v>
      </c>
      <c r="I168" s="83">
        <v>277431.78732750018</v>
      </c>
      <c r="J168" s="83">
        <v>3879650.25</v>
      </c>
      <c r="K168" s="84">
        <v>7.150948396121537E-2</v>
      </c>
      <c r="L168" s="112">
        <v>7.150948396121537E-2</v>
      </c>
      <c r="M168" s="82"/>
    </row>
    <row r="169" spans="1:13">
      <c r="A169" s="111" t="s">
        <v>1241</v>
      </c>
      <c r="B169" s="107" t="s">
        <v>2000</v>
      </c>
      <c r="C169" s="27" t="s">
        <v>759</v>
      </c>
      <c r="D169" s="27" t="s">
        <v>1151</v>
      </c>
      <c r="E169" s="27" t="s">
        <v>966</v>
      </c>
      <c r="F169" s="27" t="s">
        <v>971</v>
      </c>
      <c r="G169" s="108">
        <v>67.47</v>
      </c>
      <c r="H169" s="109">
        <v>9.4608179518263995</v>
      </c>
      <c r="I169" s="83">
        <v>140222.58710280716</v>
      </c>
      <c r="J169" s="83">
        <v>3143214.75</v>
      </c>
      <c r="K169" s="84">
        <v>4.461120166950322E-2</v>
      </c>
      <c r="L169" s="112">
        <v>4.461120166950322E-2</v>
      </c>
      <c r="M169" s="82"/>
    </row>
    <row r="170" spans="1:13">
      <c r="A170" s="111" t="s">
        <v>1237</v>
      </c>
      <c r="B170" s="107" t="s">
        <v>2017</v>
      </c>
      <c r="C170" s="27" t="s">
        <v>756</v>
      </c>
      <c r="D170" s="27" t="s">
        <v>1151</v>
      </c>
      <c r="E170" s="27" t="s">
        <v>966</v>
      </c>
      <c r="F170" s="27" t="s">
        <v>969</v>
      </c>
      <c r="G170" s="108">
        <v>66.77</v>
      </c>
      <c r="H170" s="109">
        <v>8.8594227834977719</v>
      </c>
      <c r="I170" s="83">
        <v>132685.67895009392</v>
      </c>
      <c r="J170" s="83">
        <v>1108636.625</v>
      </c>
      <c r="K170" s="84">
        <v>0.11968365103407433</v>
      </c>
      <c r="L170" s="112">
        <v>0.11968365103407433</v>
      </c>
      <c r="M170" s="82"/>
    </row>
    <row r="171" spans="1:13">
      <c r="A171" s="111" t="s">
        <v>247</v>
      </c>
      <c r="B171" s="107" t="s">
        <v>2008</v>
      </c>
      <c r="C171" s="27" t="s">
        <v>79</v>
      </c>
      <c r="D171" s="27" t="s">
        <v>1154</v>
      </c>
      <c r="E171" s="27" t="s">
        <v>966</v>
      </c>
      <c r="F171" s="27" t="s">
        <v>969</v>
      </c>
      <c r="G171" s="108">
        <v>42.5</v>
      </c>
      <c r="H171" s="109">
        <v>8.9849303670506977</v>
      </c>
      <c r="I171" s="83">
        <v>211410.12628354583</v>
      </c>
      <c r="J171" s="83">
        <v>3157146.5</v>
      </c>
      <c r="K171" s="84">
        <v>6.6962406173912373E-2</v>
      </c>
      <c r="L171" s="112">
        <v>6.6962406173912373E-2</v>
      </c>
      <c r="M171" s="82"/>
    </row>
    <row r="172" spans="1:13">
      <c r="A172" s="111" t="s">
        <v>1341</v>
      </c>
      <c r="B172" s="107" t="s">
        <v>2010</v>
      </c>
      <c r="C172" s="27" t="s">
        <v>45</v>
      </c>
      <c r="D172" s="27" t="s">
        <v>1159</v>
      </c>
      <c r="E172" s="27" t="s">
        <v>966</v>
      </c>
      <c r="F172" s="27" t="s">
        <v>969</v>
      </c>
      <c r="G172" s="108">
        <v>64.11</v>
      </c>
      <c r="H172" s="109">
        <v>8.9843265185835719</v>
      </c>
      <c r="I172" s="83">
        <v>140139.23753834923</v>
      </c>
      <c r="J172" s="83">
        <v>4629511.5</v>
      </c>
      <c r="K172" s="84">
        <v>3.0270847699233328E-2</v>
      </c>
      <c r="L172" s="112">
        <v>3.0270847699233328E-2</v>
      </c>
      <c r="M172" s="82"/>
    </row>
    <row r="173" spans="1:13">
      <c r="A173" s="111" t="s">
        <v>253</v>
      </c>
      <c r="B173" s="107" t="s">
        <v>2012</v>
      </c>
      <c r="C173" s="27" t="s">
        <v>1529</v>
      </c>
      <c r="D173" s="27" t="s">
        <v>1156</v>
      </c>
      <c r="E173" s="27" t="s">
        <v>966</v>
      </c>
      <c r="F173" s="27" t="s">
        <v>971</v>
      </c>
      <c r="G173" s="108">
        <v>41.18</v>
      </c>
      <c r="H173" s="109">
        <v>8.9604637389790547</v>
      </c>
      <c r="I173" s="83">
        <v>217592.61143708244</v>
      </c>
      <c r="J173" s="83">
        <v>2711028</v>
      </c>
      <c r="K173" s="84">
        <v>8.0262030284114522E-2</v>
      </c>
      <c r="L173" s="112">
        <v>8.0262030284114522E-2</v>
      </c>
      <c r="M173" s="82"/>
    </row>
    <row r="174" spans="1:13">
      <c r="A174" s="111" t="s">
        <v>1242</v>
      </c>
      <c r="B174" s="107" t="s">
        <v>2019</v>
      </c>
      <c r="C174" s="27" t="s">
        <v>760</v>
      </c>
      <c r="D174" s="27" t="s">
        <v>1151</v>
      </c>
      <c r="E174" s="27" t="s">
        <v>966</v>
      </c>
      <c r="F174" s="27" t="s">
        <v>969</v>
      </c>
      <c r="G174" s="108">
        <v>76.42</v>
      </c>
      <c r="H174" s="109">
        <v>8.7997502119295383</v>
      </c>
      <c r="I174" s="83">
        <v>115149.83266068487</v>
      </c>
      <c r="J174" s="83">
        <v>1808073.375</v>
      </c>
      <c r="K174" s="84">
        <v>6.3686482115630327E-2</v>
      </c>
      <c r="L174" s="112">
        <v>6.3686482115630327E-2</v>
      </c>
      <c r="M174" s="82"/>
    </row>
    <row r="175" spans="1:13">
      <c r="A175" s="111" t="s">
        <v>1188</v>
      </c>
      <c r="B175" s="107" t="s">
        <v>2015</v>
      </c>
      <c r="C175" s="27" t="s">
        <v>713</v>
      </c>
      <c r="D175" s="27" t="s">
        <v>1152</v>
      </c>
      <c r="E175" s="27" t="s">
        <v>966</v>
      </c>
      <c r="F175" s="27" t="s">
        <v>971</v>
      </c>
      <c r="G175" s="108">
        <v>17.3</v>
      </c>
      <c r="H175" s="109">
        <v>8.8876977825026433</v>
      </c>
      <c r="I175" s="83">
        <v>513739.75621402561</v>
      </c>
      <c r="J175" s="83">
        <v>14983994</v>
      </c>
      <c r="K175" s="84">
        <v>3.4285902424548861E-2</v>
      </c>
      <c r="L175" s="112">
        <v>3.4285902424548861E-2</v>
      </c>
      <c r="M175" s="82"/>
    </row>
    <row r="176" spans="1:13">
      <c r="A176" s="111" t="s">
        <v>1392</v>
      </c>
      <c r="B176" s="107" t="s">
        <v>2021</v>
      </c>
      <c r="C176" s="27" t="s">
        <v>1380</v>
      </c>
      <c r="D176" s="27" t="s">
        <v>1163</v>
      </c>
      <c r="E176" s="27" t="s">
        <v>966</v>
      </c>
      <c r="F176" s="27" t="s">
        <v>969</v>
      </c>
      <c r="G176" s="108">
        <v>37.9</v>
      </c>
      <c r="H176" s="109">
        <v>8.7803278451130886</v>
      </c>
      <c r="I176" s="83">
        <v>231670.91939612376</v>
      </c>
      <c r="J176" s="83">
        <v>3272887.75</v>
      </c>
      <c r="K176" s="84">
        <v>7.0784865565928362E-2</v>
      </c>
      <c r="L176" s="112">
        <v>7.0784865565928362E-2</v>
      </c>
      <c r="M176" s="82"/>
    </row>
    <row r="177" spans="1:13">
      <c r="A177" s="111" t="s">
        <v>329</v>
      </c>
      <c r="B177" s="107" t="s">
        <v>2023</v>
      </c>
      <c r="C177" s="27" t="s">
        <v>155</v>
      </c>
      <c r="D177" s="27" t="s">
        <v>1154</v>
      </c>
      <c r="E177" s="27" t="s">
        <v>966</v>
      </c>
      <c r="F177" s="27" t="s">
        <v>969</v>
      </c>
      <c r="G177" s="108">
        <v>35.72</v>
      </c>
      <c r="H177" s="109">
        <v>8.7492679533504987</v>
      </c>
      <c r="I177" s="83">
        <v>244940.31224385498</v>
      </c>
      <c r="J177" s="83">
        <v>2987641.25</v>
      </c>
      <c r="K177" s="84">
        <v>8.1984512780393218E-2</v>
      </c>
      <c r="L177" s="112">
        <v>8.1984512780393218E-2</v>
      </c>
      <c r="M177" s="82"/>
    </row>
    <row r="178" spans="1:13">
      <c r="A178" s="111" t="s">
        <v>276</v>
      </c>
      <c r="B178" s="107" t="s">
        <v>2025</v>
      </c>
      <c r="C178" s="27" t="s">
        <v>104</v>
      </c>
      <c r="D178" s="27" t="s">
        <v>1160</v>
      </c>
      <c r="E178" s="27" t="s">
        <v>966</v>
      </c>
      <c r="F178" s="27" t="s">
        <v>969</v>
      </c>
      <c r="G178" s="108">
        <v>30.79</v>
      </c>
      <c r="H178" s="109">
        <v>8.744526616877069</v>
      </c>
      <c r="I178" s="83">
        <v>284005.41139581258</v>
      </c>
      <c r="J178" s="83">
        <v>5332922</v>
      </c>
      <c r="K178" s="84">
        <v>5.3255121937994324E-2</v>
      </c>
      <c r="L178" s="112">
        <v>5.3255121937994324E-2</v>
      </c>
      <c r="M178" s="82"/>
    </row>
    <row r="179" spans="1:13">
      <c r="A179" s="111" t="s">
        <v>1195</v>
      </c>
      <c r="B179" s="107" t="s">
        <v>2026</v>
      </c>
      <c r="C179" s="27" t="s">
        <v>720</v>
      </c>
      <c r="D179" s="27" t="s">
        <v>1147</v>
      </c>
      <c r="E179" s="27" t="s">
        <v>966</v>
      </c>
      <c r="F179" s="27" t="s">
        <v>969</v>
      </c>
      <c r="G179" s="108">
        <v>55.75</v>
      </c>
      <c r="H179" s="109">
        <v>8.6635657124695911</v>
      </c>
      <c r="I179" s="83">
        <v>155400.28183801955</v>
      </c>
      <c r="J179" s="83">
        <v>1081580.5</v>
      </c>
      <c r="K179" s="84">
        <v>0.14367888644258986</v>
      </c>
      <c r="L179" s="112">
        <v>0.14367888644258986</v>
      </c>
      <c r="M179" s="82"/>
    </row>
    <row r="180" spans="1:13">
      <c r="A180" s="111" t="s">
        <v>1180</v>
      </c>
      <c r="B180" s="107" t="s">
        <v>2013</v>
      </c>
      <c r="C180" s="27" t="s">
        <v>706</v>
      </c>
      <c r="D180" s="27" t="s">
        <v>1149</v>
      </c>
      <c r="E180" s="27" t="s">
        <v>966</v>
      </c>
      <c r="F180" s="27" t="s">
        <v>971</v>
      </c>
      <c r="G180" s="108">
        <v>117.3</v>
      </c>
      <c r="H180" s="109">
        <v>8.888885250090631</v>
      </c>
      <c r="I180" s="83">
        <v>75779.072890798212</v>
      </c>
      <c r="J180" s="83">
        <v>3288379</v>
      </c>
      <c r="K180" s="84">
        <v>2.3044507002020816E-2</v>
      </c>
      <c r="L180" s="112">
        <v>2.3044507002020816E-2</v>
      </c>
      <c r="M180" s="82"/>
    </row>
    <row r="181" spans="1:13">
      <c r="A181" s="111" t="s">
        <v>1303</v>
      </c>
      <c r="B181" s="107" t="s">
        <v>2028</v>
      </c>
      <c r="C181" s="27" t="s">
        <v>11</v>
      </c>
      <c r="D181" s="27" t="s">
        <v>1161</v>
      </c>
      <c r="E181" s="27" t="s">
        <v>966</v>
      </c>
      <c r="F181" s="27" t="s">
        <v>969</v>
      </c>
      <c r="G181" s="108">
        <v>35.5</v>
      </c>
      <c r="H181" s="109">
        <v>8.3568719357544996</v>
      </c>
      <c r="I181" s="83">
        <v>235404.84326069013</v>
      </c>
      <c r="J181" s="83">
        <v>3184723.5</v>
      </c>
      <c r="K181" s="84">
        <v>7.391688580207674E-2</v>
      </c>
      <c r="L181" s="112">
        <v>7.391688580207674E-2</v>
      </c>
      <c r="M181" s="82"/>
    </row>
    <row r="182" spans="1:13">
      <c r="A182" s="111" t="s">
        <v>232</v>
      </c>
      <c r="B182" s="107" t="s">
        <v>2030</v>
      </c>
      <c r="C182" s="27" t="s">
        <v>65</v>
      </c>
      <c r="D182" s="27" t="s">
        <v>1148</v>
      </c>
      <c r="E182" s="27" t="s">
        <v>966</v>
      </c>
      <c r="F182" s="27" t="s">
        <v>969</v>
      </c>
      <c r="G182" s="108">
        <v>44.74</v>
      </c>
      <c r="H182" s="109">
        <v>8.3384490658884562</v>
      </c>
      <c r="I182" s="83">
        <v>186375.70554064497</v>
      </c>
      <c r="J182" s="83">
        <v>2631532.5</v>
      </c>
      <c r="K182" s="84">
        <v>7.0824018149365425E-2</v>
      </c>
      <c r="L182" s="112">
        <v>7.0824018149365425E-2</v>
      </c>
      <c r="M182" s="82"/>
    </row>
    <row r="183" spans="1:13">
      <c r="A183" s="111" t="s">
        <v>1033</v>
      </c>
      <c r="B183" s="107" t="s">
        <v>1972</v>
      </c>
      <c r="C183" s="27" t="s">
        <v>916</v>
      </c>
      <c r="D183" s="27" t="s">
        <v>1150</v>
      </c>
      <c r="E183" s="27" t="s">
        <v>966</v>
      </c>
      <c r="F183" s="27" t="s">
        <v>971</v>
      </c>
      <c r="G183" s="108">
        <v>58.26</v>
      </c>
      <c r="H183" s="109">
        <v>10.491120090840736</v>
      </c>
      <c r="I183" s="83">
        <v>180074.15191968306</v>
      </c>
      <c r="J183" s="83">
        <v>8192762.5</v>
      </c>
      <c r="K183" s="84">
        <v>2.1979662161533801E-2</v>
      </c>
      <c r="L183" s="112">
        <v>2.1979662161533801E-2</v>
      </c>
      <c r="M183" s="82"/>
    </row>
    <row r="184" spans="1:13">
      <c r="A184" s="111" t="s">
        <v>1611</v>
      </c>
      <c r="B184" s="107" t="s">
        <v>2036</v>
      </c>
      <c r="C184" s="27" t="s">
        <v>1547</v>
      </c>
      <c r="D184" s="27" t="s">
        <v>1159</v>
      </c>
      <c r="E184" s="27" t="s">
        <v>966</v>
      </c>
      <c r="F184" s="27" t="s">
        <v>969</v>
      </c>
      <c r="G184" s="108">
        <v>81.099999999999994</v>
      </c>
      <c r="H184" s="109">
        <v>8.3042012842586175</v>
      </c>
      <c r="I184" s="83">
        <v>102394.59043475482</v>
      </c>
      <c r="J184" s="83">
        <v>1787930.25</v>
      </c>
      <c r="K184" s="84">
        <v>5.7269902131112119E-2</v>
      </c>
      <c r="L184" s="112">
        <v>5.7269902131112119E-2</v>
      </c>
      <c r="M184" s="82"/>
    </row>
    <row r="185" spans="1:13">
      <c r="A185" s="111" t="s">
        <v>264</v>
      </c>
      <c r="B185" s="107" t="s">
        <v>2037</v>
      </c>
      <c r="C185" s="27" t="s">
        <v>94</v>
      </c>
      <c r="D185" s="27" t="s">
        <v>1160</v>
      </c>
      <c r="E185" s="27" t="s">
        <v>966</v>
      </c>
      <c r="F185" s="27" t="s">
        <v>969</v>
      </c>
      <c r="G185" s="108">
        <v>130.41999999999999</v>
      </c>
      <c r="H185" s="109">
        <v>8.2616124775133688</v>
      </c>
      <c r="I185" s="83">
        <v>63346.208231202028</v>
      </c>
      <c r="J185" s="83">
        <v>2187088.25</v>
      </c>
      <c r="K185" s="84">
        <v>2.8963718419319398E-2</v>
      </c>
      <c r="L185" s="112">
        <v>2.8963718419319398E-2</v>
      </c>
      <c r="M185" s="82"/>
    </row>
    <row r="186" spans="1:13">
      <c r="A186" s="111" t="s">
        <v>1261</v>
      </c>
      <c r="B186" s="107" t="s">
        <v>2039</v>
      </c>
      <c r="C186" s="27" t="s">
        <v>777</v>
      </c>
      <c r="D186" s="27" t="s">
        <v>1154</v>
      </c>
      <c r="E186" s="27" t="s">
        <v>966</v>
      </c>
      <c r="F186" s="27" t="s">
        <v>969</v>
      </c>
      <c r="G186" s="108">
        <v>60.69</v>
      </c>
      <c r="H186" s="109">
        <v>8.2377252261815013</v>
      </c>
      <c r="I186" s="83">
        <v>135734.47398552485</v>
      </c>
      <c r="J186" s="83">
        <v>2276947.5</v>
      </c>
      <c r="K186" s="84">
        <v>5.9612474150381088E-2</v>
      </c>
      <c r="L186" s="112">
        <v>5.9612474150381088E-2</v>
      </c>
      <c r="M186" s="82"/>
    </row>
    <row r="187" spans="1:13">
      <c r="A187" s="111" t="s">
        <v>1319</v>
      </c>
      <c r="B187" s="107" t="s">
        <v>2032</v>
      </c>
      <c r="C187" s="27" t="s">
        <v>25</v>
      </c>
      <c r="D187" s="27" t="s">
        <v>1170</v>
      </c>
      <c r="E187" s="27" t="s">
        <v>966</v>
      </c>
      <c r="F187" s="27" t="s">
        <v>971</v>
      </c>
      <c r="G187" s="108">
        <v>45.38</v>
      </c>
      <c r="H187" s="109">
        <v>8.3324564378507677</v>
      </c>
      <c r="I187" s="83">
        <v>183615.17051235717</v>
      </c>
      <c r="J187" s="83">
        <v>4849080</v>
      </c>
      <c r="K187" s="84">
        <v>3.7865980869021994E-2</v>
      </c>
      <c r="L187" s="112">
        <v>3.7865980869021994E-2</v>
      </c>
      <c r="M187" s="82"/>
    </row>
    <row r="188" spans="1:13">
      <c r="A188" s="111" t="s">
        <v>1333</v>
      </c>
      <c r="B188" s="107" t="s">
        <v>2044</v>
      </c>
      <c r="C188" s="27" t="s">
        <v>38</v>
      </c>
      <c r="D188" s="27" t="s">
        <v>1149</v>
      </c>
      <c r="E188" s="27" t="s">
        <v>966</v>
      </c>
      <c r="F188" s="27" t="s">
        <v>969</v>
      </c>
      <c r="G188" s="108">
        <v>123.95</v>
      </c>
      <c r="H188" s="109">
        <v>8.0407248467983603</v>
      </c>
      <c r="I188" s="83">
        <v>64870.712761584182</v>
      </c>
      <c r="J188" s="83">
        <v>997966.125</v>
      </c>
      <c r="K188" s="84">
        <v>6.5002920576672063E-2</v>
      </c>
      <c r="L188" s="112">
        <v>6.5002920576672063E-2</v>
      </c>
      <c r="M188" s="82"/>
    </row>
    <row r="189" spans="1:13">
      <c r="A189" s="111" t="s">
        <v>1306</v>
      </c>
      <c r="B189" s="107" t="s">
        <v>2041</v>
      </c>
      <c r="C189" s="27" t="s">
        <v>1526</v>
      </c>
      <c r="D189" s="27" t="s">
        <v>1150</v>
      </c>
      <c r="E189" s="27" t="s">
        <v>966</v>
      </c>
      <c r="F189" s="27" t="s">
        <v>969</v>
      </c>
      <c r="G189" s="108">
        <v>89.54</v>
      </c>
      <c r="H189" s="109">
        <v>8.0898895936406507</v>
      </c>
      <c r="I189" s="83">
        <v>90349.448220244027</v>
      </c>
      <c r="J189" s="83">
        <v>823971.125</v>
      </c>
      <c r="K189" s="84">
        <v>0.10965123106740425</v>
      </c>
      <c r="L189" s="112">
        <v>0.10965123106740425</v>
      </c>
      <c r="M189" s="82"/>
    </row>
    <row r="190" spans="1:13">
      <c r="A190" s="111" t="s">
        <v>1401</v>
      </c>
      <c r="B190" s="107" t="s">
        <v>2046</v>
      </c>
      <c r="C190" s="27" t="s">
        <v>1408</v>
      </c>
      <c r="D190" s="27" t="s">
        <v>1168</v>
      </c>
      <c r="E190" s="27" t="s">
        <v>966</v>
      </c>
      <c r="F190" s="27" t="s">
        <v>967</v>
      </c>
      <c r="G190" s="108">
        <v>25.62</v>
      </c>
      <c r="H190" s="109">
        <v>7.893095454046354</v>
      </c>
      <c r="I190" s="83">
        <v>308083.35105567344</v>
      </c>
      <c r="J190" s="83">
        <v>3486455.75</v>
      </c>
      <c r="K190" s="84">
        <v>8.8365771186303871E-2</v>
      </c>
      <c r="L190" s="112">
        <v>8.8365771186303871E-2</v>
      </c>
      <c r="M190" s="82"/>
    </row>
    <row r="191" spans="1:13">
      <c r="A191" s="111" t="s">
        <v>1259</v>
      </c>
      <c r="B191" s="107" t="s">
        <v>2042</v>
      </c>
      <c r="C191" s="27" t="s">
        <v>775</v>
      </c>
      <c r="D191" s="27" t="s">
        <v>1154</v>
      </c>
      <c r="E191" s="27" t="s">
        <v>966</v>
      </c>
      <c r="F191" s="27" t="s">
        <v>971</v>
      </c>
      <c r="G191" s="108">
        <v>66.599999999999994</v>
      </c>
      <c r="H191" s="109">
        <v>8.0596655873154841</v>
      </c>
      <c r="I191" s="83">
        <v>121015.99980954183</v>
      </c>
      <c r="J191" s="83">
        <v>2344971.25</v>
      </c>
      <c r="K191" s="84">
        <v>5.1606602771586997E-2</v>
      </c>
      <c r="L191" s="112">
        <v>5.1606602771586997E-2</v>
      </c>
      <c r="M191" s="82"/>
    </row>
    <row r="192" spans="1:13">
      <c r="A192" s="111" t="s">
        <v>808</v>
      </c>
      <c r="B192" s="107" t="s">
        <v>2048</v>
      </c>
      <c r="C192" s="27" t="s">
        <v>665</v>
      </c>
      <c r="D192" s="27" t="s">
        <v>1156</v>
      </c>
      <c r="E192" s="27" t="s">
        <v>966</v>
      </c>
      <c r="F192" s="27" t="s">
        <v>969</v>
      </c>
      <c r="G192" s="108">
        <v>280.35000000000002</v>
      </c>
      <c r="H192" s="109">
        <v>7.8309727313389788</v>
      </c>
      <c r="I192" s="83">
        <v>27932.843700156867</v>
      </c>
      <c r="J192" s="83">
        <v>607587.625</v>
      </c>
      <c r="K192" s="84">
        <v>4.5973358493199834E-2</v>
      </c>
      <c r="L192" s="112">
        <v>4.5973358493199834E-2</v>
      </c>
      <c r="M192" s="82"/>
    </row>
    <row r="193" spans="1:13">
      <c r="A193" s="111" t="s">
        <v>1305</v>
      </c>
      <c r="B193" s="107" t="s">
        <v>2057</v>
      </c>
      <c r="C193" s="27" t="s">
        <v>13</v>
      </c>
      <c r="D193" s="27" t="s">
        <v>1147</v>
      </c>
      <c r="E193" s="27" t="s">
        <v>966</v>
      </c>
      <c r="F193" s="27" t="s">
        <v>969</v>
      </c>
      <c r="G193" s="108">
        <v>83.41</v>
      </c>
      <c r="H193" s="109">
        <v>7.7370008433658306</v>
      </c>
      <c r="I193" s="83">
        <v>92758.672142019306</v>
      </c>
      <c r="J193" s="83">
        <v>834458.4375</v>
      </c>
      <c r="K193" s="84">
        <v>0.11116032623496519</v>
      </c>
      <c r="L193" s="112">
        <v>0.11116032623496519</v>
      </c>
      <c r="M193" s="82"/>
    </row>
    <row r="194" spans="1:13">
      <c r="A194" s="111" t="s">
        <v>813</v>
      </c>
      <c r="B194" s="107" t="s">
        <v>2056</v>
      </c>
      <c r="C194" s="27" t="s">
        <v>669</v>
      </c>
      <c r="D194" s="27" t="s">
        <v>1166</v>
      </c>
      <c r="E194" s="27" t="s">
        <v>966</v>
      </c>
      <c r="F194" s="27" t="s">
        <v>969</v>
      </c>
      <c r="G194" s="108">
        <v>29.57</v>
      </c>
      <c r="H194" s="109">
        <v>7.7583689634964648</v>
      </c>
      <c r="I194" s="83">
        <v>262372.97813650541</v>
      </c>
      <c r="J194" s="83">
        <v>5065107</v>
      </c>
      <c r="K194" s="84">
        <v>5.1800085987621862E-2</v>
      </c>
      <c r="L194" s="112">
        <v>5.1800085987621862E-2</v>
      </c>
      <c r="M194" s="82"/>
    </row>
    <row r="195" spans="1:13">
      <c r="A195" s="111" t="s">
        <v>1275</v>
      </c>
      <c r="B195" s="107" t="s">
        <v>2054</v>
      </c>
      <c r="C195" s="27" t="s">
        <v>789</v>
      </c>
      <c r="D195" s="27" t="s">
        <v>1154</v>
      </c>
      <c r="E195" s="27" t="s">
        <v>966</v>
      </c>
      <c r="F195" s="27" t="s">
        <v>969</v>
      </c>
      <c r="G195" s="108">
        <v>34.61</v>
      </c>
      <c r="H195" s="109">
        <v>7.7794295321600595</v>
      </c>
      <c r="I195" s="83">
        <v>224774.04022421438</v>
      </c>
      <c r="J195" s="83">
        <v>2553578.5</v>
      </c>
      <c r="K195" s="84">
        <v>8.8023156611090822E-2</v>
      </c>
      <c r="L195" s="112">
        <v>8.8023156611090822E-2</v>
      </c>
      <c r="M195" s="82"/>
    </row>
    <row r="196" spans="1:13">
      <c r="A196" s="111" t="s">
        <v>1174</v>
      </c>
      <c r="B196" s="107" t="s">
        <v>2052</v>
      </c>
      <c r="C196" s="27" t="s">
        <v>700</v>
      </c>
      <c r="D196" s="27" t="s">
        <v>1152</v>
      </c>
      <c r="E196" s="27" t="s">
        <v>966</v>
      </c>
      <c r="F196" s="27" t="s">
        <v>971</v>
      </c>
      <c r="G196" s="108">
        <v>59.74</v>
      </c>
      <c r="H196" s="109">
        <v>7.8039364998967038</v>
      </c>
      <c r="I196" s="83">
        <v>130631.67894035325</v>
      </c>
      <c r="J196" s="83">
        <v>2379180.5</v>
      </c>
      <c r="K196" s="84">
        <v>5.4906165774456055E-2</v>
      </c>
      <c r="L196" s="112">
        <v>5.4906165774456055E-2</v>
      </c>
      <c r="M196" s="82"/>
    </row>
    <row r="197" spans="1:13">
      <c r="A197" s="111" t="s">
        <v>828</v>
      </c>
      <c r="B197" s="107" t="s">
        <v>2061</v>
      </c>
      <c r="C197" s="27" t="s">
        <v>1644</v>
      </c>
      <c r="D197" s="27" t="s">
        <v>1164</v>
      </c>
      <c r="E197" s="27" t="s">
        <v>966</v>
      </c>
      <c r="F197" s="27" t="s">
        <v>969</v>
      </c>
      <c r="G197" s="108">
        <v>61.29</v>
      </c>
      <c r="H197" s="109">
        <v>7.5333996996631436</v>
      </c>
      <c r="I197" s="83">
        <v>122914.0104366641</v>
      </c>
      <c r="J197" s="83">
        <v>1225432.875</v>
      </c>
      <c r="K197" s="84">
        <v>0.10030252406657859</v>
      </c>
      <c r="L197" s="112">
        <v>0.10030252406657859</v>
      </c>
      <c r="M197" s="82"/>
    </row>
    <row r="198" spans="1:13">
      <c r="A198" s="111" t="s">
        <v>1345</v>
      </c>
      <c r="B198" s="107" t="s">
        <v>2062</v>
      </c>
      <c r="C198" s="27" t="s">
        <v>49</v>
      </c>
      <c r="D198" s="27" t="s">
        <v>1152</v>
      </c>
      <c r="E198" s="27" t="s">
        <v>966</v>
      </c>
      <c r="F198" s="27" t="s">
        <v>969</v>
      </c>
      <c r="G198" s="108">
        <v>43.85</v>
      </c>
      <c r="H198" s="109">
        <v>7.4671159728162788</v>
      </c>
      <c r="I198" s="83">
        <v>170287.70747585583</v>
      </c>
      <c r="J198" s="83">
        <v>3110681.75</v>
      </c>
      <c r="K198" s="84">
        <v>5.4742889553344963E-2</v>
      </c>
      <c r="L198" s="112">
        <v>5.4742889553344963E-2</v>
      </c>
      <c r="M198" s="82"/>
    </row>
    <row r="199" spans="1:13">
      <c r="A199" s="111" t="s">
        <v>857</v>
      </c>
      <c r="B199" s="107" t="s">
        <v>1982</v>
      </c>
      <c r="C199" s="27" t="s">
        <v>1063</v>
      </c>
      <c r="D199" s="27" t="s">
        <v>1158</v>
      </c>
      <c r="E199" s="27" t="s">
        <v>966</v>
      </c>
      <c r="F199" s="27" t="s">
        <v>971</v>
      </c>
      <c r="G199" s="108">
        <v>47.85</v>
      </c>
      <c r="H199" s="109">
        <v>10.058130948518279</v>
      </c>
      <c r="I199" s="83">
        <v>210201.27374123884</v>
      </c>
      <c r="J199" s="83">
        <v>14745005</v>
      </c>
      <c r="K199" s="84">
        <v>1.4255761442009605E-2</v>
      </c>
      <c r="L199" s="112">
        <v>1.4255761442009605E-2</v>
      </c>
      <c r="M199" s="82"/>
    </row>
    <row r="200" spans="1:13">
      <c r="A200" s="111" t="s">
        <v>322</v>
      </c>
      <c r="B200" s="107" t="s">
        <v>2059</v>
      </c>
      <c r="C200" s="27" t="s">
        <v>148</v>
      </c>
      <c r="D200" s="27" t="s">
        <v>1147</v>
      </c>
      <c r="E200" s="27" t="s">
        <v>966</v>
      </c>
      <c r="F200" s="27" t="s">
        <v>969</v>
      </c>
      <c r="G200" s="108">
        <v>83.16</v>
      </c>
      <c r="H200" s="109">
        <v>7.5498186590434004</v>
      </c>
      <c r="I200" s="83">
        <v>90786.660161657055</v>
      </c>
      <c r="J200" s="83">
        <v>2763414.25</v>
      </c>
      <c r="K200" s="84">
        <v>3.285307664663633E-2</v>
      </c>
      <c r="L200" s="112">
        <v>3.285307664663633E-2</v>
      </c>
      <c r="M200" s="82"/>
    </row>
    <row r="201" spans="1:13">
      <c r="A201" s="111" t="s">
        <v>268</v>
      </c>
      <c r="B201" s="107" t="s">
        <v>2064</v>
      </c>
      <c r="C201" s="27" t="s">
        <v>98</v>
      </c>
      <c r="D201" s="27" t="s">
        <v>1151</v>
      </c>
      <c r="E201" s="27" t="s">
        <v>966</v>
      </c>
      <c r="F201" s="27" t="s">
        <v>969</v>
      </c>
      <c r="G201" s="108">
        <v>77.05</v>
      </c>
      <c r="H201" s="109">
        <v>7.3817871797142978</v>
      </c>
      <c r="I201" s="83">
        <v>95805.154830815023</v>
      </c>
      <c r="J201" s="83">
        <v>924519.375</v>
      </c>
      <c r="K201" s="84">
        <v>0.10362698437857511</v>
      </c>
      <c r="L201" s="112">
        <v>0.10362698437857511</v>
      </c>
      <c r="M201" s="82"/>
    </row>
    <row r="202" spans="1:13">
      <c r="A202" s="111" t="s">
        <v>1294</v>
      </c>
      <c r="B202" s="107" t="s">
        <v>2068</v>
      </c>
      <c r="C202" s="27" t="s">
        <v>2</v>
      </c>
      <c r="D202" s="27" t="s">
        <v>1166</v>
      </c>
      <c r="E202" s="27" t="s">
        <v>966</v>
      </c>
      <c r="F202" s="27" t="s">
        <v>969</v>
      </c>
      <c r="G202" s="108">
        <v>79.489999999999995</v>
      </c>
      <c r="H202" s="109">
        <v>7.2317963269328303</v>
      </c>
      <c r="I202" s="83">
        <v>90977.435236291742</v>
      </c>
      <c r="J202" s="83">
        <v>1466836</v>
      </c>
      <c r="K202" s="84">
        <v>6.2022908652563574E-2</v>
      </c>
      <c r="L202" s="112">
        <v>6.2022908652563574E-2</v>
      </c>
      <c r="M202" s="82"/>
    </row>
    <row r="203" spans="1:13">
      <c r="A203" s="111" t="s">
        <v>806</v>
      </c>
      <c r="B203" s="107" t="s">
        <v>2066</v>
      </c>
      <c r="C203" s="27" t="s">
        <v>664</v>
      </c>
      <c r="D203" s="27" t="s">
        <v>1159</v>
      </c>
      <c r="E203" s="27" t="s">
        <v>966</v>
      </c>
      <c r="F203" s="27" t="s">
        <v>969</v>
      </c>
      <c r="G203" s="108">
        <v>77.319999999999993</v>
      </c>
      <c r="H203" s="109">
        <v>7.3527268222788287</v>
      </c>
      <c r="I203" s="83">
        <v>95094.75972942097</v>
      </c>
      <c r="J203" s="83">
        <v>1845219.625</v>
      </c>
      <c r="K203" s="84">
        <v>5.1535740483694983E-2</v>
      </c>
      <c r="L203" s="112">
        <v>5.1535740483694983E-2</v>
      </c>
      <c r="M203" s="82"/>
    </row>
    <row r="204" spans="1:13">
      <c r="A204" s="111" t="s">
        <v>1004</v>
      </c>
      <c r="B204" s="107" t="s">
        <v>2070</v>
      </c>
      <c r="C204" s="27" t="s">
        <v>889</v>
      </c>
      <c r="D204" s="27" t="s">
        <v>1160</v>
      </c>
      <c r="E204" s="27" t="s">
        <v>966</v>
      </c>
      <c r="F204" s="27" t="s">
        <v>971</v>
      </c>
      <c r="G204" s="108">
        <v>47.88</v>
      </c>
      <c r="H204" s="109">
        <v>7.1608123710013292</v>
      </c>
      <c r="I204" s="83">
        <v>149557.48477446384</v>
      </c>
      <c r="J204" s="83">
        <v>4716190.5</v>
      </c>
      <c r="K204" s="84">
        <v>3.1711502063893268E-2</v>
      </c>
      <c r="L204" s="112">
        <v>3.1711502063893268E-2</v>
      </c>
      <c r="M204" s="82"/>
    </row>
    <row r="205" spans="1:13">
      <c r="A205" s="111" t="s">
        <v>1230</v>
      </c>
      <c r="B205" s="107" t="s">
        <v>2072</v>
      </c>
      <c r="C205" s="27" t="s">
        <v>749</v>
      </c>
      <c r="D205" s="27" t="s">
        <v>1154</v>
      </c>
      <c r="E205" s="27" t="s">
        <v>966</v>
      </c>
      <c r="F205" s="27" t="s">
        <v>969</v>
      </c>
      <c r="G205" s="108">
        <v>35.17</v>
      </c>
      <c r="H205" s="109">
        <v>6.7837935883100462</v>
      </c>
      <c r="I205" s="83">
        <v>192885.80006568227</v>
      </c>
      <c r="J205" s="83">
        <v>2560531.25</v>
      </c>
      <c r="K205" s="84">
        <v>7.5330383124862177E-2</v>
      </c>
      <c r="L205" s="112">
        <v>7.5330383124862177E-2</v>
      </c>
      <c r="M205" s="82"/>
    </row>
    <row r="206" spans="1:13">
      <c r="A206" s="111" t="s">
        <v>1207</v>
      </c>
      <c r="B206" s="107" t="s">
        <v>2074</v>
      </c>
      <c r="C206" s="27" t="s">
        <v>729</v>
      </c>
      <c r="D206" s="27" t="s">
        <v>1148</v>
      </c>
      <c r="E206" s="27" t="s">
        <v>966</v>
      </c>
      <c r="F206" s="27" t="s">
        <v>969</v>
      </c>
      <c r="G206" s="108">
        <v>69.69</v>
      </c>
      <c r="H206" s="109">
        <v>6.5206570380017244</v>
      </c>
      <c r="I206" s="83">
        <v>93566.609814919284</v>
      </c>
      <c r="J206" s="83">
        <v>989404.125</v>
      </c>
      <c r="K206" s="84">
        <v>9.4568647381492663E-2</v>
      </c>
      <c r="L206" s="112">
        <v>9.4568647381492663E-2</v>
      </c>
      <c r="M206" s="82"/>
    </row>
    <row r="207" spans="1:13">
      <c r="A207" s="111" t="s">
        <v>250</v>
      </c>
      <c r="B207" s="107" t="s">
        <v>2076</v>
      </c>
      <c r="C207" s="27" t="s">
        <v>82</v>
      </c>
      <c r="D207" s="27" t="s">
        <v>1164</v>
      </c>
      <c r="E207" s="27" t="s">
        <v>966</v>
      </c>
      <c r="F207" s="27" t="s">
        <v>971</v>
      </c>
      <c r="G207" s="108">
        <v>113.23</v>
      </c>
      <c r="H207" s="109">
        <v>6.5159462001076767</v>
      </c>
      <c r="I207" s="83">
        <v>57546.111455512466</v>
      </c>
      <c r="J207" s="83">
        <v>2028295.375</v>
      </c>
      <c r="K207" s="84">
        <v>2.8371662315461555E-2</v>
      </c>
      <c r="L207" s="112">
        <v>2.8371662315461555E-2</v>
      </c>
      <c r="M207" s="82"/>
    </row>
    <row r="208" spans="1:13">
      <c r="A208" s="111" t="s">
        <v>1031</v>
      </c>
      <c r="B208" s="107" t="s">
        <v>2050</v>
      </c>
      <c r="C208" s="27" t="s">
        <v>914</v>
      </c>
      <c r="D208" s="27" t="s">
        <v>1153</v>
      </c>
      <c r="E208" s="27" t="s">
        <v>966</v>
      </c>
      <c r="F208" s="27" t="s">
        <v>971</v>
      </c>
      <c r="G208" s="108">
        <v>55.74</v>
      </c>
      <c r="H208" s="109">
        <v>7.7966875891070186</v>
      </c>
      <c r="I208" s="83">
        <v>139875.98832269499</v>
      </c>
      <c r="J208" s="83">
        <v>6657703</v>
      </c>
      <c r="K208" s="84">
        <v>2.1009646768967462E-2</v>
      </c>
      <c r="L208" s="112">
        <v>2.1009646768967462E-2</v>
      </c>
      <c r="M208" s="82"/>
    </row>
    <row r="209" spans="1:13">
      <c r="A209" s="111" t="s">
        <v>1226</v>
      </c>
      <c r="B209" s="107" t="s">
        <v>2078</v>
      </c>
      <c r="C209" s="27" t="s">
        <v>746</v>
      </c>
      <c r="D209" s="27" t="s">
        <v>1162</v>
      </c>
      <c r="E209" s="27" t="s">
        <v>966</v>
      </c>
      <c r="F209" s="27" t="s">
        <v>969</v>
      </c>
      <c r="G209" s="108">
        <v>116.83</v>
      </c>
      <c r="H209" s="109">
        <v>6.3927386456098914</v>
      </c>
      <c r="I209" s="83">
        <v>54718.29706077114</v>
      </c>
      <c r="J209" s="83">
        <v>860432.375</v>
      </c>
      <c r="K209" s="84">
        <v>6.3593954214904033E-2</v>
      </c>
      <c r="L209" s="112">
        <v>6.3593954214904033E-2</v>
      </c>
      <c r="M209" s="82"/>
    </row>
    <row r="210" spans="1:13">
      <c r="A210" s="111" t="s">
        <v>1355</v>
      </c>
      <c r="B210" s="107" t="s">
        <v>2080</v>
      </c>
      <c r="C210" s="27" t="s">
        <v>58</v>
      </c>
      <c r="D210" s="27" t="s">
        <v>1160</v>
      </c>
      <c r="E210" s="27" t="s">
        <v>966</v>
      </c>
      <c r="F210" s="27" t="s">
        <v>969</v>
      </c>
      <c r="G210" s="108">
        <v>35.31</v>
      </c>
      <c r="H210" s="109">
        <v>6.2832698059103933</v>
      </c>
      <c r="I210" s="83">
        <v>177945.90217814763</v>
      </c>
      <c r="J210" s="83">
        <v>5646423.5</v>
      </c>
      <c r="K210" s="84">
        <v>3.1514799089750821E-2</v>
      </c>
      <c r="L210" s="112">
        <v>3.1514799089750821E-2</v>
      </c>
      <c r="M210" s="82"/>
    </row>
    <row r="211" spans="1:13">
      <c r="A211" s="111" t="s">
        <v>1254</v>
      </c>
      <c r="B211" s="107" t="s">
        <v>2082</v>
      </c>
      <c r="C211" s="27" t="s">
        <v>771</v>
      </c>
      <c r="D211" s="27" t="s">
        <v>1154</v>
      </c>
      <c r="E211" s="27" t="s">
        <v>966</v>
      </c>
      <c r="F211" s="27" t="s">
        <v>969</v>
      </c>
      <c r="G211" s="108">
        <v>83.02</v>
      </c>
      <c r="H211" s="109">
        <v>6.1855729124853953</v>
      </c>
      <c r="I211" s="83">
        <v>74507.021350101131</v>
      </c>
      <c r="J211" s="83">
        <v>1084926.875</v>
      </c>
      <c r="K211" s="84">
        <v>6.8674694181671117E-2</v>
      </c>
      <c r="L211" s="112">
        <v>6.8674694181671117E-2</v>
      </c>
      <c r="M211" s="82"/>
    </row>
    <row r="212" spans="1:13">
      <c r="A212" s="111" t="s">
        <v>335</v>
      </c>
      <c r="B212" s="107" t="s">
        <v>2086</v>
      </c>
      <c r="C212" s="27" t="s">
        <v>160</v>
      </c>
      <c r="D212" s="27" t="s">
        <v>1165</v>
      </c>
      <c r="E212" s="27" t="s">
        <v>966</v>
      </c>
      <c r="F212" s="27" t="s">
        <v>969</v>
      </c>
      <c r="G212" s="108">
        <v>29.98</v>
      </c>
      <c r="H212" s="109">
        <v>5.8698831216847944</v>
      </c>
      <c r="I212" s="83">
        <v>195793.29958921927</v>
      </c>
      <c r="J212" s="83">
        <v>3059505.75</v>
      </c>
      <c r="K212" s="84">
        <v>6.399507488724912E-2</v>
      </c>
      <c r="L212" s="112">
        <v>6.399507488724912E-2</v>
      </c>
      <c r="M212" s="82"/>
    </row>
    <row r="213" spans="1:13">
      <c r="A213" s="111" t="s">
        <v>254</v>
      </c>
      <c r="B213" s="107" t="s">
        <v>2084</v>
      </c>
      <c r="C213" s="27" t="s">
        <v>84</v>
      </c>
      <c r="D213" s="27" t="s">
        <v>1164</v>
      </c>
      <c r="E213" s="27" t="s">
        <v>966</v>
      </c>
      <c r="F213" s="27" t="s">
        <v>969</v>
      </c>
      <c r="G213" s="108">
        <v>126.7</v>
      </c>
      <c r="H213" s="109">
        <v>5.9149110417203552</v>
      </c>
      <c r="I213" s="83">
        <v>46684.380755488201</v>
      </c>
      <c r="J213" s="83">
        <v>863718.0625</v>
      </c>
      <c r="K213" s="84">
        <v>5.4050485664687835E-2</v>
      </c>
      <c r="L213" s="112">
        <v>5.4050485664687835E-2</v>
      </c>
      <c r="M213" s="82"/>
    </row>
    <row r="214" spans="1:13">
      <c r="A214" s="111" t="s">
        <v>986</v>
      </c>
      <c r="B214" s="107" t="s">
        <v>2034</v>
      </c>
      <c r="C214" s="27" t="s">
        <v>873</v>
      </c>
      <c r="D214" s="27" t="s">
        <v>1165</v>
      </c>
      <c r="E214" s="27" t="s">
        <v>966</v>
      </c>
      <c r="F214" s="27" t="s">
        <v>971</v>
      </c>
      <c r="G214" s="108">
        <v>17.52</v>
      </c>
      <c r="H214" s="109">
        <v>8.2638809841589893</v>
      </c>
      <c r="I214" s="83">
        <v>471682.70457528473</v>
      </c>
      <c r="J214" s="83">
        <v>82284568</v>
      </c>
      <c r="K214" s="84">
        <v>5.7323349449350542E-3</v>
      </c>
      <c r="L214" s="112">
        <v>5.7323349449350542E-3</v>
      </c>
      <c r="M214" s="82"/>
    </row>
    <row r="215" spans="1:13">
      <c r="A215" s="111" t="s">
        <v>1186</v>
      </c>
      <c r="B215" s="107" t="s">
        <v>2088</v>
      </c>
      <c r="C215" s="27" t="s">
        <v>711</v>
      </c>
      <c r="D215" s="27" t="s">
        <v>1151</v>
      </c>
      <c r="E215" s="27" t="s">
        <v>966</v>
      </c>
      <c r="F215" s="27" t="s">
        <v>969</v>
      </c>
      <c r="G215" s="108">
        <v>73.92</v>
      </c>
      <c r="H215" s="109">
        <v>5.8315234003373977</v>
      </c>
      <c r="I215" s="83">
        <v>78889.656389845739</v>
      </c>
      <c r="J215" s="83">
        <v>2037806.25</v>
      </c>
      <c r="K215" s="84">
        <v>3.8713030932084801E-2</v>
      </c>
      <c r="L215" s="112">
        <v>3.8713030932084801E-2</v>
      </c>
      <c r="M215" s="82"/>
    </row>
    <row r="216" spans="1:13">
      <c r="A216" s="111" t="s">
        <v>810</v>
      </c>
      <c r="B216" s="107" t="s">
        <v>2090</v>
      </c>
      <c r="C216" s="27" t="s">
        <v>667</v>
      </c>
      <c r="D216" s="27" t="s">
        <v>1149</v>
      </c>
      <c r="E216" s="27" t="s">
        <v>966</v>
      </c>
      <c r="F216" s="27" t="s">
        <v>971</v>
      </c>
      <c r="G216" s="108">
        <v>144.12</v>
      </c>
      <c r="H216" s="109">
        <v>5.7730776608315235</v>
      </c>
      <c r="I216" s="83">
        <v>40057.435892530695</v>
      </c>
      <c r="J216" s="83">
        <v>1015666.9375</v>
      </c>
      <c r="K216" s="84">
        <v>3.9439539098446524E-2</v>
      </c>
      <c r="L216" s="112">
        <v>3.9439539098446524E-2</v>
      </c>
      <c r="M216" s="82"/>
    </row>
    <row r="217" spans="1:13">
      <c r="A217" s="111" t="s">
        <v>1197</v>
      </c>
      <c r="B217" s="107" t="s">
        <v>2094</v>
      </c>
      <c r="C217" s="27" t="s">
        <v>722</v>
      </c>
      <c r="D217" s="27" t="s">
        <v>1148</v>
      </c>
      <c r="E217" s="27" t="s">
        <v>966</v>
      </c>
      <c r="F217" s="27" t="s">
        <v>969</v>
      </c>
      <c r="G217" s="108">
        <v>63.68</v>
      </c>
      <c r="H217" s="109">
        <v>5.4756321422760976</v>
      </c>
      <c r="I217" s="83">
        <v>85986.685651320629</v>
      </c>
      <c r="J217" s="83">
        <v>802604.375</v>
      </c>
      <c r="K217" s="84">
        <v>0.10713458377462823</v>
      </c>
      <c r="L217" s="112">
        <v>0.10713458377462823</v>
      </c>
      <c r="M217" s="82"/>
    </row>
    <row r="218" spans="1:13">
      <c r="A218" s="111" t="s">
        <v>1267</v>
      </c>
      <c r="B218" s="107" t="s">
        <v>2092</v>
      </c>
      <c r="C218" s="27" t="s">
        <v>783</v>
      </c>
      <c r="D218" s="27" t="s">
        <v>1160</v>
      </c>
      <c r="E218" s="27" t="s">
        <v>966</v>
      </c>
      <c r="F218" s="27" t="s">
        <v>969</v>
      </c>
      <c r="G218" s="108">
        <v>78.680000000000007</v>
      </c>
      <c r="H218" s="109">
        <v>5.5312005274059368</v>
      </c>
      <c r="I218" s="83">
        <v>70299.955864335745</v>
      </c>
      <c r="J218" s="83">
        <v>1760374</v>
      </c>
      <c r="K218" s="84">
        <v>3.9934670623592343E-2</v>
      </c>
      <c r="L218" s="112">
        <v>3.9934670623592343E-2</v>
      </c>
      <c r="M218" s="82"/>
    </row>
    <row r="219" spans="1:13">
      <c r="A219" s="111" t="s">
        <v>1325</v>
      </c>
      <c r="B219" s="107" t="s">
        <v>2096</v>
      </c>
      <c r="C219" s="27" t="s">
        <v>31</v>
      </c>
      <c r="D219" s="27" t="s">
        <v>1156</v>
      </c>
      <c r="E219" s="27" t="s">
        <v>966</v>
      </c>
      <c r="F219" s="27" t="s">
        <v>969</v>
      </c>
      <c r="G219" s="108">
        <v>25.16</v>
      </c>
      <c r="H219" s="109">
        <v>5.4631447958035846</v>
      </c>
      <c r="I219" s="83">
        <v>217136.12065991989</v>
      </c>
      <c r="J219" s="83">
        <v>2987602.25</v>
      </c>
      <c r="K219" s="84">
        <v>7.2679059155187034E-2</v>
      </c>
      <c r="L219" s="112">
        <v>7.2679059155187034E-2</v>
      </c>
      <c r="M219" s="82"/>
    </row>
    <row r="220" spans="1:13">
      <c r="A220" s="111" t="s">
        <v>977</v>
      </c>
      <c r="B220" s="107" t="s">
        <v>2098</v>
      </c>
      <c r="C220" s="27" t="s">
        <v>864</v>
      </c>
      <c r="D220" s="27" t="s">
        <v>1148</v>
      </c>
      <c r="E220" s="27" t="s">
        <v>966</v>
      </c>
      <c r="F220" s="27" t="s">
        <v>969</v>
      </c>
      <c r="G220" s="108">
        <v>9.51</v>
      </c>
      <c r="H220" s="109">
        <v>5.4236164454974833</v>
      </c>
      <c r="I220" s="83">
        <v>570306.67145083949</v>
      </c>
      <c r="J220" s="83">
        <v>25893112</v>
      </c>
      <c r="K220" s="84">
        <v>2.2025420175482945E-2</v>
      </c>
      <c r="L220" s="112">
        <v>2.2025420175482945E-2</v>
      </c>
      <c r="M220" s="82"/>
    </row>
    <row r="221" spans="1:13">
      <c r="A221" s="111" t="s">
        <v>1171</v>
      </c>
      <c r="B221" s="107" t="s">
        <v>2102</v>
      </c>
      <c r="C221" s="27" t="s">
        <v>697</v>
      </c>
      <c r="D221" s="27" t="s">
        <v>1150</v>
      </c>
      <c r="E221" s="27" t="s">
        <v>966</v>
      </c>
      <c r="F221" s="27" t="s">
        <v>971</v>
      </c>
      <c r="G221" s="108">
        <v>38.89</v>
      </c>
      <c r="H221" s="109">
        <v>5.3793974405365113</v>
      </c>
      <c r="I221" s="83">
        <v>138323.41065920575</v>
      </c>
      <c r="J221" s="83">
        <v>2115397.5</v>
      </c>
      <c r="K221" s="84">
        <v>6.5388850397717566E-2</v>
      </c>
      <c r="L221" s="112">
        <v>6.5388850397717566E-2</v>
      </c>
      <c r="M221" s="82"/>
    </row>
    <row r="222" spans="1:13">
      <c r="A222" s="111" t="s">
        <v>1278</v>
      </c>
      <c r="B222" s="107" t="s">
        <v>2100</v>
      </c>
      <c r="C222" s="27" t="s">
        <v>792</v>
      </c>
      <c r="D222" s="27" t="s">
        <v>1165</v>
      </c>
      <c r="E222" s="27" t="s">
        <v>966</v>
      </c>
      <c r="F222" s="27" t="s">
        <v>971</v>
      </c>
      <c r="G222" s="108">
        <v>20.68</v>
      </c>
      <c r="H222" s="109">
        <v>5.4104016526939738</v>
      </c>
      <c r="I222" s="83">
        <v>261624.83813800648</v>
      </c>
      <c r="J222" s="83">
        <v>5578510.5</v>
      </c>
      <c r="K222" s="84">
        <v>4.6898690633997459E-2</v>
      </c>
      <c r="L222" s="112">
        <v>4.6898690633997459E-2</v>
      </c>
      <c r="M222" s="82"/>
    </row>
    <row r="223" spans="1:13">
      <c r="A223" s="111" t="s">
        <v>1233</v>
      </c>
      <c r="B223" s="107" t="s">
        <v>2104</v>
      </c>
      <c r="C223" s="27" t="s">
        <v>752</v>
      </c>
      <c r="D223" s="27" t="s">
        <v>1160</v>
      </c>
      <c r="E223" s="27" t="s">
        <v>966</v>
      </c>
      <c r="F223" s="27" t="s">
        <v>969</v>
      </c>
      <c r="G223" s="108">
        <v>27.02</v>
      </c>
      <c r="H223" s="109">
        <v>5.3154557112912793</v>
      </c>
      <c r="I223" s="83">
        <v>196723.00930019538</v>
      </c>
      <c r="J223" s="83">
        <v>6400373.5</v>
      </c>
      <c r="K223" s="84">
        <v>3.0736176459107485E-2</v>
      </c>
      <c r="L223" s="112">
        <v>3.0736176459107485E-2</v>
      </c>
      <c r="M223" s="82"/>
    </row>
    <row r="224" spans="1:13">
      <c r="A224" s="111" t="s">
        <v>1006</v>
      </c>
      <c r="B224" s="107" t="s">
        <v>2106</v>
      </c>
      <c r="C224" s="27" t="s">
        <v>891</v>
      </c>
      <c r="D224" s="27" t="s">
        <v>1154</v>
      </c>
      <c r="E224" s="27" t="s">
        <v>966</v>
      </c>
      <c r="F224" s="27" t="s">
        <v>969</v>
      </c>
      <c r="G224" s="108">
        <v>70.010000000000005</v>
      </c>
      <c r="H224" s="109">
        <v>5.2696976858621865</v>
      </c>
      <c r="I224" s="83">
        <v>75270.642563379311</v>
      </c>
      <c r="J224" s="83">
        <v>1529735.875</v>
      </c>
      <c r="K224" s="84">
        <v>4.9204992700703519E-2</v>
      </c>
      <c r="L224" s="112">
        <v>4.9204992700703519E-2</v>
      </c>
      <c r="M224" s="82"/>
    </row>
    <row r="225" spans="1:13">
      <c r="A225" s="111" t="s">
        <v>798</v>
      </c>
      <c r="B225" s="107" t="s">
        <v>2108</v>
      </c>
      <c r="C225" s="27" t="s">
        <v>654</v>
      </c>
      <c r="D225" s="27" t="s">
        <v>1159</v>
      </c>
      <c r="E225" s="27" t="s">
        <v>966</v>
      </c>
      <c r="F225" s="27" t="s">
        <v>969</v>
      </c>
      <c r="G225" s="108">
        <v>172</v>
      </c>
      <c r="H225" s="109">
        <v>5.2684653026910979</v>
      </c>
      <c r="I225" s="83">
        <v>30630.612224948243</v>
      </c>
      <c r="J225" s="83">
        <v>804331.625</v>
      </c>
      <c r="K225" s="84">
        <v>3.8082068729982169E-2</v>
      </c>
      <c r="L225" s="112">
        <v>3.8082068729982169E-2</v>
      </c>
      <c r="M225" s="82"/>
    </row>
    <row r="226" spans="1:13">
      <c r="A226" s="111" t="s">
        <v>1177</v>
      </c>
      <c r="B226" s="107" t="s">
        <v>2109</v>
      </c>
      <c r="C226" s="27" t="s">
        <v>703</v>
      </c>
      <c r="D226" s="27" t="s">
        <v>1151</v>
      </c>
      <c r="E226" s="27" t="s">
        <v>966</v>
      </c>
      <c r="F226" s="27" t="s">
        <v>969</v>
      </c>
      <c r="G226" s="108">
        <v>54.82</v>
      </c>
      <c r="H226" s="109">
        <v>5.220499154742944</v>
      </c>
      <c r="I226" s="83">
        <v>95229.827704176278</v>
      </c>
      <c r="J226" s="83">
        <v>1925116.5</v>
      </c>
      <c r="K226" s="84">
        <v>4.9467046645840021E-2</v>
      </c>
      <c r="L226" s="112">
        <v>4.9467046645840021E-2</v>
      </c>
      <c r="M226" s="82"/>
    </row>
    <row r="227" spans="1:13">
      <c r="A227" s="111" t="s">
        <v>820</v>
      </c>
      <c r="B227" s="107" t="s">
        <v>2111</v>
      </c>
      <c r="C227" s="27" t="s">
        <v>675</v>
      </c>
      <c r="D227" s="27" t="s">
        <v>1156</v>
      </c>
      <c r="E227" s="27" t="s">
        <v>966</v>
      </c>
      <c r="F227" s="27" t="s">
        <v>969</v>
      </c>
      <c r="G227" s="108">
        <v>79.989999999999995</v>
      </c>
      <c r="H227" s="109">
        <v>5.2025636425408166</v>
      </c>
      <c r="I227" s="83">
        <v>65040.17555370443</v>
      </c>
      <c r="J227" s="83">
        <v>966600.1875</v>
      </c>
      <c r="K227" s="84">
        <v>6.7287567698412459E-2</v>
      </c>
      <c r="L227" s="112">
        <v>6.7287567698412459E-2</v>
      </c>
      <c r="M227" s="82"/>
    </row>
    <row r="228" spans="1:13">
      <c r="A228" s="111" t="s">
        <v>832</v>
      </c>
      <c r="B228" s="107" t="s">
        <v>2113</v>
      </c>
      <c r="C228" s="27" t="s">
        <v>690</v>
      </c>
      <c r="D228" s="27" t="s">
        <v>1156</v>
      </c>
      <c r="E228" s="27" t="s">
        <v>966</v>
      </c>
      <c r="F228" s="27" t="s">
        <v>969</v>
      </c>
      <c r="G228" s="108">
        <v>114.73</v>
      </c>
      <c r="H228" s="109">
        <v>5.1843263069621193</v>
      </c>
      <c r="I228" s="83">
        <v>45187.189984852426</v>
      </c>
      <c r="J228" s="83">
        <v>554844.1875</v>
      </c>
      <c r="K228" s="84">
        <v>8.144122440654103E-2</v>
      </c>
      <c r="L228" s="112">
        <v>8.144122440654103E-2</v>
      </c>
      <c r="M228" s="82"/>
    </row>
    <row r="229" spans="1:13">
      <c r="A229" s="111" t="s">
        <v>826</v>
      </c>
      <c r="B229" s="107" t="s">
        <v>2120</v>
      </c>
      <c r="C229" s="27" t="s">
        <v>681</v>
      </c>
      <c r="D229" s="27" t="s">
        <v>1160</v>
      </c>
      <c r="E229" s="27" t="s">
        <v>966</v>
      </c>
      <c r="F229" s="27" t="s">
        <v>969</v>
      </c>
      <c r="G229" s="108">
        <v>37.76</v>
      </c>
      <c r="H229" s="109">
        <v>5.0544761943282257</v>
      </c>
      <c r="I229" s="83">
        <v>133857.95006165854</v>
      </c>
      <c r="J229" s="83">
        <v>2733610.5</v>
      </c>
      <c r="K229" s="84">
        <v>4.8967455334861548E-2</v>
      </c>
      <c r="L229" s="112">
        <v>4.8967455334861548E-2</v>
      </c>
      <c r="M229" s="82"/>
    </row>
    <row r="230" spans="1:13">
      <c r="A230" s="111" t="s">
        <v>233</v>
      </c>
      <c r="B230" s="107" t="s">
        <v>2114</v>
      </c>
      <c r="C230" s="27" t="s">
        <v>66</v>
      </c>
      <c r="D230" s="27" t="s">
        <v>1152</v>
      </c>
      <c r="E230" s="27" t="s">
        <v>966</v>
      </c>
      <c r="F230" s="27" t="s">
        <v>971</v>
      </c>
      <c r="G230" s="108">
        <v>23.72</v>
      </c>
      <c r="H230" s="109">
        <v>5.0700926588584361</v>
      </c>
      <c r="I230" s="83">
        <v>213747.58258256479</v>
      </c>
      <c r="J230" s="83">
        <v>8778450</v>
      </c>
      <c r="K230" s="84">
        <v>2.4349125709272685E-2</v>
      </c>
      <c r="L230" s="112">
        <v>2.4349125709272685E-2</v>
      </c>
      <c r="M230" s="82"/>
    </row>
    <row r="231" spans="1:13">
      <c r="A231" s="111" t="s">
        <v>1329</v>
      </c>
      <c r="B231" s="107" t="s">
        <v>2118</v>
      </c>
      <c r="C231" s="27" t="s">
        <v>35</v>
      </c>
      <c r="D231" s="27" t="s">
        <v>1159</v>
      </c>
      <c r="E231" s="27" t="s">
        <v>966</v>
      </c>
      <c r="F231" s="27" t="s">
        <v>969</v>
      </c>
      <c r="G231" s="108">
        <v>61.5</v>
      </c>
      <c r="H231" s="109">
        <v>5.0564811507627736</v>
      </c>
      <c r="I231" s="83">
        <v>82219.205703459738</v>
      </c>
      <c r="J231" s="83">
        <v>2346963</v>
      </c>
      <c r="K231" s="84">
        <v>3.503216953290688E-2</v>
      </c>
      <c r="L231" s="112">
        <v>3.503216953290688E-2</v>
      </c>
      <c r="M231" s="82"/>
    </row>
    <row r="232" spans="1:13">
      <c r="A232" s="111" t="s">
        <v>1202</v>
      </c>
      <c r="B232" s="107" t="s">
        <v>2116</v>
      </c>
      <c r="C232" s="27" t="s">
        <v>1521</v>
      </c>
      <c r="D232" s="27" t="s">
        <v>1149</v>
      </c>
      <c r="E232" s="27" t="s">
        <v>966</v>
      </c>
      <c r="F232" s="27" t="s">
        <v>971</v>
      </c>
      <c r="G232" s="108">
        <v>197.91</v>
      </c>
      <c r="H232" s="109">
        <v>5.0655317623081588</v>
      </c>
      <c r="I232" s="83">
        <v>25595.127898075683</v>
      </c>
      <c r="J232" s="83">
        <v>670535.5625</v>
      </c>
      <c r="K232" s="84">
        <v>3.8171171418034493E-2</v>
      </c>
      <c r="L232" s="112">
        <v>3.8171171418034493E-2</v>
      </c>
      <c r="M232" s="82"/>
    </row>
    <row r="233" spans="1:13">
      <c r="A233" s="111" t="s">
        <v>331</v>
      </c>
      <c r="B233" s="107" t="s">
        <v>2122</v>
      </c>
      <c r="C233" s="27" t="s">
        <v>156</v>
      </c>
      <c r="D233" s="27" t="s">
        <v>1152</v>
      </c>
      <c r="E233" s="27" t="s">
        <v>966</v>
      </c>
      <c r="F233" s="27" t="s">
        <v>969</v>
      </c>
      <c r="G233" s="108">
        <v>43.57</v>
      </c>
      <c r="H233" s="109">
        <v>5.0080695890236715</v>
      </c>
      <c r="I233" s="83">
        <v>114943.07066843405</v>
      </c>
      <c r="J233" s="83">
        <v>3595170</v>
      </c>
      <c r="K233" s="84">
        <v>3.1971525871776318E-2</v>
      </c>
      <c r="L233" s="112">
        <v>3.1971525871776318E-2</v>
      </c>
      <c r="M233" s="82"/>
    </row>
    <row r="234" spans="1:13">
      <c r="A234" s="111" t="s">
        <v>1214</v>
      </c>
      <c r="B234" s="107" t="s">
        <v>2124</v>
      </c>
      <c r="C234" s="27" t="s">
        <v>736</v>
      </c>
      <c r="D234" s="27" t="s">
        <v>1160</v>
      </c>
      <c r="E234" s="27" t="s">
        <v>966</v>
      </c>
      <c r="F234" s="27" t="s">
        <v>969</v>
      </c>
      <c r="G234" s="108">
        <v>52.25</v>
      </c>
      <c r="H234" s="109">
        <v>4.8229167800514237</v>
      </c>
      <c r="I234" s="83">
        <v>92304.627369405236</v>
      </c>
      <c r="J234" s="83">
        <v>3084055.75</v>
      </c>
      <c r="K234" s="84">
        <v>2.9929623473701872E-2</v>
      </c>
      <c r="L234" s="112">
        <v>2.9929623473701872E-2</v>
      </c>
      <c r="M234" s="82"/>
    </row>
    <row r="235" spans="1:13">
      <c r="A235" s="111" t="s">
        <v>1269</v>
      </c>
      <c r="B235" s="107" t="s">
        <v>2128</v>
      </c>
      <c r="C235" s="27" t="s">
        <v>785</v>
      </c>
      <c r="D235" s="27" t="s">
        <v>1157</v>
      </c>
      <c r="E235" s="27" t="s">
        <v>966</v>
      </c>
      <c r="F235" s="27" t="s">
        <v>969</v>
      </c>
      <c r="G235" s="108">
        <v>28.27</v>
      </c>
      <c r="H235" s="109">
        <v>4.7899390366026759</v>
      </c>
      <c r="I235" s="83">
        <v>169435.40985506459</v>
      </c>
      <c r="J235" s="83">
        <v>3622218.5</v>
      </c>
      <c r="K235" s="84">
        <v>4.6776694960578603E-2</v>
      </c>
      <c r="L235" s="112">
        <v>4.6776694960578603E-2</v>
      </c>
      <c r="M235" s="82"/>
    </row>
    <row r="236" spans="1:13">
      <c r="A236" s="111" t="s">
        <v>819</v>
      </c>
      <c r="B236" s="107" t="s">
        <v>2126</v>
      </c>
      <c r="C236" s="27" t="s">
        <v>674</v>
      </c>
      <c r="D236" s="27" t="s">
        <v>1152</v>
      </c>
      <c r="E236" s="27" t="s">
        <v>966</v>
      </c>
      <c r="F236" s="27" t="s">
        <v>969</v>
      </c>
      <c r="G236" s="108">
        <v>72.61</v>
      </c>
      <c r="H236" s="109">
        <v>4.81112447172511</v>
      </c>
      <c r="I236" s="83">
        <v>66259.805422463993</v>
      </c>
      <c r="J236" s="83">
        <v>2179602.25</v>
      </c>
      <c r="K236" s="84">
        <v>3.039995275397793E-2</v>
      </c>
      <c r="L236" s="112">
        <v>3.039995275397793E-2</v>
      </c>
      <c r="M236" s="82"/>
    </row>
    <row r="237" spans="1:13">
      <c r="A237" s="111" t="s">
        <v>1247</v>
      </c>
      <c r="B237" s="107" t="s">
        <v>2130</v>
      </c>
      <c r="C237" s="27" t="s">
        <v>1525</v>
      </c>
      <c r="D237" s="27" t="s">
        <v>1166</v>
      </c>
      <c r="E237" s="27" t="s">
        <v>966</v>
      </c>
      <c r="F237" s="27" t="s">
        <v>969</v>
      </c>
      <c r="G237" s="108">
        <v>29.96</v>
      </c>
      <c r="H237" s="109">
        <v>4.6664878071320812</v>
      </c>
      <c r="I237" s="83">
        <v>155757.26993097732</v>
      </c>
      <c r="J237" s="83">
        <v>5587809.5</v>
      </c>
      <c r="K237" s="84">
        <v>2.787447745507024E-2</v>
      </c>
      <c r="L237" s="112">
        <v>2.787447745507024E-2</v>
      </c>
      <c r="M237" s="82"/>
    </row>
    <row r="238" spans="1:13">
      <c r="A238" s="111" t="s">
        <v>803</v>
      </c>
      <c r="B238" s="107" t="s">
        <v>2132</v>
      </c>
      <c r="C238" s="27" t="s">
        <v>662</v>
      </c>
      <c r="D238" s="27" t="s">
        <v>1170</v>
      </c>
      <c r="E238" s="27" t="s">
        <v>966</v>
      </c>
      <c r="F238" s="27" t="s">
        <v>969</v>
      </c>
      <c r="G238" s="108">
        <v>46.78</v>
      </c>
      <c r="H238" s="109">
        <v>4.6644242846988977</v>
      </c>
      <c r="I238" s="83">
        <v>99709.796594675019</v>
      </c>
      <c r="J238" s="83">
        <v>2619307.75</v>
      </c>
      <c r="K238" s="84">
        <v>3.8067232303907406E-2</v>
      </c>
      <c r="L238" s="112">
        <v>3.8067232303907406E-2</v>
      </c>
      <c r="M238" s="82"/>
    </row>
    <row r="239" spans="1:13">
      <c r="A239" s="111" t="s">
        <v>1274</v>
      </c>
      <c r="B239" s="107" t="s">
        <v>2134</v>
      </c>
      <c r="C239" s="27" t="s">
        <v>1635</v>
      </c>
      <c r="D239" s="27" t="s">
        <v>1148</v>
      </c>
      <c r="E239" s="27" t="s">
        <v>966</v>
      </c>
      <c r="F239" s="27" t="s">
        <v>969</v>
      </c>
      <c r="G239" s="108">
        <v>10.25</v>
      </c>
      <c r="H239" s="109">
        <v>4.6438202601316432</v>
      </c>
      <c r="I239" s="83">
        <v>453055.63513479452</v>
      </c>
      <c r="J239" s="83">
        <v>35086684</v>
      </c>
      <c r="K239" s="84">
        <v>1.2912466596581042E-2</v>
      </c>
      <c r="L239" s="112">
        <v>1.2912466596581042E-2</v>
      </c>
      <c r="M239" s="82"/>
    </row>
    <row r="240" spans="1:13">
      <c r="A240" s="111" t="s">
        <v>1488</v>
      </c>
      <c r="B240" s="107" t="s">
        <v>2136</v>
      </c>
      <c r="C240" s="27" t="s">
        <v>1515</v>
      </c>
      <c r="D240" s="27" t="s">
        <v>1160</v>
      </c>
      <c r="E240" s="27" t="s">
        <v>966</v>
      </c>
      <c r="F240" s="27" t="s">
        <v>969</v>
      </c>
      <c r="G240" s="108">
        <v>18</v>
      </c>
      <c r="H240" s="109">
        <v>4.5425137977239665</v>
      </c>
      <c r="I240" s="83">
        <v>252361.87765133148</v>
      </c>
      <c r="J240" s="83">
        <v>7984596.5</v>
      </c>
      <c r="K240" s="84">
        <v>3.1606090257827242E-2</v>
      </c>
      <c r="L240" s="112">
        <v>3.1606090257827242E-2</v>
      </c>
      <c r="M240" s="82"/>
    </row>
    <row r="241" spans="1:13">
      <c r="A241" s="111" t="s">
        <v>1673</v>
      </c>
      <c r="B241" s="107" t="s">
        <v>2137</v>
      </c>
      <c r="C241" s="27" t="s">
        <v>1690</v>
      </c>
      <c r="D241" s="27" t="s">
        <v>1160</v>
      </c>
      <c r="E241" s="27" t="s">
        <v>966</v>
      </c>
      <c r="F241" s="27" t="s">
        <v>969</v>
      </c>
      <c r="G241" s="108">
        <v>28</v>
      </c>
      <c r="H241" s="109">
        <v>4.4828314576747976</v>
      </c>
      <c r="I241" s="83">
        <v>160101.12348838561</v>
      </c>
      <c r="J241" s="83">
        <v>2491229</v>
      </c>
      <c r="K241" s="84">
        <v>6.4265919948902975E-2</v>
      </c>
      <c r="L241" s="112">
        <v>6.4265919948902975E-2</v>
      </c>
      <c r="M241" s="82"/>
    </row>
    <row r="242" spans="1:13">
      <c r="A242" s="111" t="s">
        <v>1322</v>
      </c>
      <c r="B242" s="107" t="s">
        <v>2139</v>
      </c>
      <c r="C242" s="27" t="s">
        <v>28</v>
      </c>
      <c r="D242" s="27" t="s">
        <v>1159</v>
      </c>
      <c r="E242" s="27" t="s">
        <v>966</v>
      </c>
      <c r="F242" s="27" t="s">
        <v>971</v>
      </c>
      <c r="G242" s="108">
        <v>75.510000000000005</v>
      </c>
      <c r="H242" s="109">
        <v>4.450549251237045</v>
      </c>
      <c r="I242" s="83">
        <v>58939.865597100303</v>
      </c>
      <c r="J242" s="83">
        <v>1223241.125</v>
      </c>
      <c r="K242" s="84">
        <v>4.8183358450363006E-2</v>
      </c>
      <c r="L242" s="112">
        <v>4.8183358450363006E-2</v>
      </c>
      <c r="M242" s="82"/>
    </row>
    <row r="243" spans="1:13">
      <c r="A243" s="111" t="s">
        <v>227</v>
      </c>
      <c r="B243" s="107" t="s">
        <v>2141</v>
      </c>
      <c r="C243" s="27" t="s">
        <v>60</v>
      </c>
      <c r="D243" s="27" t="s">
        <v>1148</v>
      </c>
      <c r="E243" s="27" t="s">
        <v>966</v>
      </c>
      <c r="F243" s="27" t="s">
        <v>969</v>
      </c>
      <c r="G243" s="108">
        <v>18.14</v>
      </c>
      <c r="H243" s="109">
        <v>4.4200148530047523</v>
      </c>
      <c r="I243" s="83">
        <v>243661.23776211421</v>
      </c>
      <c r="J243" s="83">
        <v>11082354</v>
      </c>
      <c r="K243" s="84">
        <v>2.198641531953538E-2</v>
      </c>
      <c r="L243" s="112">
        <v>2.198641531953538E-2</v>
      </c>
      <c r="M243" s="82"/>
    </row>
    <row r="244" spans="1:13">
      <c r="A244" s="111" t="s">
        <v>300</v>
      </c>
      <c r="B244" s="107" t="s">
        <v>2148</v>
      </c>
      <c r="C244" s="27" t="s">
        <v>126</v>
      </c>
      <c r="D244" s="27" t="s">
        <v>1149</v>
      </c>
      <c r="E244" s="27" t="s">
        <v>966</v>
      </c>
      <c r="F244" s="27" t="s">
        <v>969</v>
      </c>
      <c r="G244" s="108">
        <v>52.47</v>
      </c>
      <c r="H244" s="109">
        <v>4.2487235563113179</v>
      </c>
      <c r="I244" s="83">
        <v>80974.338790000344</v>
      </c>
      <c r="J244" s="83">
        <v>1706924.5</v>
      </c>
      <c r="K244" s="84">
        <v>4.7438734864957616E-2</v>
      </c>
      <c r="L244" s="112">
        <v>4.7438734864957616E-2</v>
      </c>
      <c r="M244" s="82"/>
    </row>
    <row r="245" spans="1:13">
      <c r="A245" s="111" t="s">
        <v>1179</v>
      </c>
      <c r="B245" s="107" t="s">
        <v>2146</v>
      </c>
      <c r="C245" s="27" t="s">
        <v>705</v>
      </c>
      <c r="D245" s="27" t="s">
        <v>1154</v>
      </c>
      <c r="E245" s="27" t="s">
        <v>966</v>
      </c>
      <c r="F245" s="27" t="s">
        <v>969</v>
      </c>
      <c r="G245" s="108">
        <v>13.06</v>
      </c>
      <c r="H245" s="109">
        <v>4.2848813870351252</v>
      </c>
      <c r="I245" s="83">
        <v>328091.9898189223</v>
      </c>
      <c r="J245" s="83">
        <v>4654278.5</v>
      </c>
      <c r="K245" s="84">
        <v>7.0492556433595949E-2</v>
      </c>
      <c r="L245" s="112">
        <v>7.0492556433595949E-2</v>
      </c>
      <c r="M245" s="82"/>
    </row>
    <row r="246" spans="1:13">
      <c r="A246" s="111" t="s">
        <v>1178</v>
      </c>
      <c r="B246" s="107" t="s">
        <v>2144</v>
      </c>
      <c r="C246" s="27" t="s">
        <v>704</v>
      </c>
      <c r="D246" s="27" t="s">
        <v>1154</v>
      </c>
      <c r="E246" s="27" t="s">
        <v>966</v>
      </c>
      <c r="F246" s="27" t="s">
        <v>971</v>
      </c>
      <c r="G246" s="108">
        <v>42.65</v>
      </c>
      <c r="H246" s="109">
        <v>4.295823603022134</v>
      </c>
      <c r="I246" s="83">
        <v>100722.71050462215</v>
      </c>
      <c r="J246" s="83">
        <v>1553418.375</v>
      </c>
      <c r="K246" s="84">
        <v>6.483939685895769E-2</v>
      </c>
      <c r="L246" s="112">
        <v>6.483939685895769E-2</v>
      </c>
      <c r="M246" s="82"/>
    </row>
    <row r="247" spans="1:13">
      <c r="A247" s="111" t="s">
        <v>1679</v>
      </c>
      <c r="B247" s="107" t="s">
        <v>2149</v>
      </c>
      <c r="C247" s="27" t="s">
        <v>1703</v>
      </c>
      <c r="D247" s="27" t="s">
        <v>1152</v>
      </c>
      <c r="E247" s="27" t="s">
        <v>966</v>
      </c>
      <c r="F247" s="27" t="s">
        <v>969</v>
      </c>
      <c r="G247" s="108">
        <v>56.96</v>
      </c>
      <c r="H247" s="109">
        <v>4.2022724050110627</v>
      </c>
      <c r="I247" s="83">
        <v>73775.849807076243</v>
      </c>
      <c r="J247" s="83">
        <v>3041920.75</v>
      </c>
      <c r="K247" s="84">
        <v>2.4253047949088169E-2</v>
      </c>
      <c r="L247" s="112">
        <v>2.4253047949088169E-2</v>
      </c>
      <c r="M247" s="82"/>
    </row>
    <row r="248" spans="1:13">
      <c r="A248" s="111" t="s">
        <v>1335</v>
      </c>
      <c r="B248" s="107" t="s">
        <v>2151</v>
      </c>
      <c r="C248" s="27" t="s">
        <v>40</v>
      </c>
      <c r="D248" s="27" t="s">
        <v>1152</v>
      </c>
      <c r="E248" s="27" t="s">
        <v>966</v>
      </c>
      <c r="F248" s="27" t="s">
        <v>969</v>
      </c>
      <c r="G248" s="108">
        <v>41.65</v>
      </c>
      <c r="H248" s="109">
        <v>4.1593464743277373</v>
      </c>
      <c r="I248" s="83">
        <v>99864.261088301006</v>
      </c>
      <c r="J248" s="83">
        <v>3447132</v>
      </c>
      <c r="K248" s="84">
        <v>2.8970245725519362E-2</v>
      </c>
      <c r="L248" s="112">
        <v>2.8970245725519362E-2</v>
      </c>
      <c r="M248" s="82"/>
    </row>
    <row r="249" spans="1:13">
      <c r="A249" s="111" t="s">
        <v>1558</v>
      </c>
      <c r="B249" s="107" t="s">
        <v>2143</v>
      </c>
      <c r="C249" s="27" t="s">
        <v>1562</v>
      </c>
      <c r="D249" s="27" t="s">
        <v>1150</v>
      </c>
      <c r="E249" s="27" t="s">
        <v>966</v>
      </c>
      <c r="F249" s="27" t="s">
        <v>971</v>
      </c>
      <c r="G249" s="108">
        <v>47.86</v>
      </c>
      <c r="H249" s="109">
        <v>4.3227404432757153</v>
      </c>
      <c r="I249" s="83">
        <v>90320.527439943922</v>
      </c>
      <c r="J249" s="83">
        <v>3154891.25</v>
      </c>
      <c r="K249" s="84">
        <v>2.8628729259667484E-2</v>
      </c>
      <c r="L249" s="112">
        <v>2.8628729259667484E-2</v>
      </c>
      <c r="M249" s="82"/>
    </row>
    <row r="250" spans="1:13">
      <c r="A250" s="111" t="s">
        <v>1240</v>
      </c>
      <c r="B250" s="107" t="s">
        <v>2153</v>
      </c>
      <c r="C250" s="27" t="s">
        <v>1370</v>
      </c>
      <c r="D250" s="27" t="s">
        <v>1158</v>
      </c>
      <c r="E250" s="27" t="s">
        <v>966</v>
      </c>
      <c r="F250" s="27" t="s">
        <v>971</v>
      </c>
      <c r="G250" s="108">
        <v>28.53</v>
      </c>
      <c r="H250" s="109">
        <v>4.1542823349898121</v>
      </c>
      <c r="I250" s="83">
        <v>145611.01770030888</v>
      </c>
      <c r="J250" s="83">
        <v>6277119.5</v>
      </c>
      <c r="K250" s="84">
        <v>2.3197107797662427E-2</v>
      </c>
      <c r="L250" s="112">
        <v>2.3197107797662427E-2</v>
      </c>
      <c r="M250" s="82"/>
    </row>
    <row r="251" spans="1:13">
      <c r="A251" s="111" t="s">
        <v>1344</v>
      </c>
      <c r="B251" s="107" t="s">
        <v>2156</v>
      </c>
      <c r="C251" s="27" t="s">
        <v>48</v>
      </c>
      <c r="D251" s="27" t="s">
        <v>1166</v>
      </c>
      <c r="E251" s="27" t="s">
        <v>966</v>
      </c>
      <c r="F251" s="27" t="s">
        <v>969</v>
      </c>
      <c r="G251" s="108">
        <v>23.22</v>
      </c>
      <c r="H251" s="109">
        <v>4.000593416658627</v>
      </c>
      <c r="I251" s="83">
        <v>172290.84481733968</v>
      </c>
      <c r="J251" s="83">
        <v>5462585.5</v>
      </c>
      <c r="K251" s="84">
        <v>3.1540164417992116E-2</v>
      </c>
      <c r="L251" s="112">
        <v>3.1540164417992116E-2</v>
      </c>
      <c r="M251" s="82"/>
    </row>
    <row r="252" spans="1:13">
      <c r="A252" s="111" t="s">
        <v>1449</v>
      </c>
      <c r="B252" s="107" t="s">
        <v>2155</v>
      </c>
      <c r="C252" s="27" t="s">
        <v>1448</v>
      </c>
      <c r="D252" s="27" t="s">
        <v>1159</v>
      </c>
      <c r="E252" s="27" t="s">
        <v>966</v>
      </c>
      <c r="F252" s="27" t="s">
        <v>969</v>
      </c>
      <c r="G252" s="108">
        <v>119.75</v>
      </c>
      <c r="H252" s="109">
        <v>4.0184666577869637</v>
      </c>
      <c r="I252" s="83">
        <v>33557.132841644794</v>
      </c>
      <c r="J252" s="83">
        <v>1355158.75</v>
      </c>
      <c r="K252" s="84">
        <v>2.4762510548409767E-2</v>
      </c>
      <c r="L252" s="112">
        <v>2.4762510548409767E-2</v>
      </c>
      <c r="M252" s="82"/>
    </row>
    <row r="253" spans="1:13">
      <c r="A253" s="111" t="s">
        <v>830</v>
      </c>
      <c r="B253" s="107" t="s">
        <v>2160</v>
      </c>
      <c r="C253" s="27" t="s">
        <v>1427</v>
      </c>
      <c r="D253" s="27" t="s">
        <v>1166</v>
      </c>
      <c r="E253" s="27" t="s">
        <v>966</v>
      </c>
      <c r="F253" s="27" t="s">
        <v>971</v>
      </c>
      <c r="G253" s="108">
        <v>112.33</v>
      </c>
      <c r="H253" s="109">
        <v>3.8525568042490681</v>
      </c>
      <c r="I253" s="83">
        <v>34296.775609802076</v>
      </c>
      <c r="J253" s="83">
        <v>622766.8125</v>
      </c>
      <c r="K253" s="84">
        <v>5.5071617371714197E-2</v>
      </c>
      <c r="L253" s="112">
        <v>5.5071617371714197E-2</v>
      </c>
      <c r="M253" s="82"/>
    </row>
    <row r="254" spans="1:13">
      <c r="A254" s="111" t="s">
        <v>1674</v>
      </c>
      <c r="B254" s="107" t="s">
        <v>2158</v>
      </c>
      <c r="C254" s="27" t="s">
        <v>1694</v>
      </c>
      <c r="D254" s="27" t="s">
        <v>1154</v>
      </c>
      <c r="E254" s="27" t="s">
        <v>966</v>
      </c>
      <c r="F254" s="27" t="s">
        <v>971</v>
      </c>
      <c r="G254" s="108">
        <v>50.91</v>
      </c>
      <c r="H254" s="109">
        <v>3.9127356163737139</v>
      </c>
      <c r="I254" s="83">
        <v>76855.934322799338</v>
      </c>
      <c r="J254" s="83">
        <v>1634362.125</v>
      </c>
      <c r="K254" s="84">
        <v>4.7025033893757992E-2</v>
      </c>
      <c r="L254" s="112">
        <v>4.7025033893757992E-2</v>
      </c>
      <c r="M254" s="82"/>
    </row>
    <row r="255" spans="1:13">
      <c r="A255" s="111" t="s">
        <v>240</v>
      </c>
      <c r="B255" s="107" t="s">
        <v>2165</v>
      </c>
      <c r="C255" s="27" t="s">
        <v>72</v>
      </c>
      <c r="D255" s="27" t="s">
        <v>1165</v>
      </c>
      <c r="E255" s="27" t="s">
        <v>966</v>
      </c>
      <c r="F255" s="27" t="s">
        <v>969</v>
      </c>
      <c r="G255" s="108">
        <v>16.12</v>
      </c>
      <c r="H255" s="109">
        <v>3.7207539458148187</v>
      </c>
      <c r="I255" s="83">
        <v>230816.00160141554</v>
      </c>
      <c r="J255" s="83">
        <v>4170727</v>
      </c>
      <c r="K255" s="84">
        <v>5.5341910799104221E-2</v>
      </c>
      <c r="L255" s="112">
        <v>5.5341910799104221E-2</v>
      </c>
      <c r="M255" s="82"/>
    </row>
    <row r="256" spans="1:13">
      <c r="A256" s="111" t="s">
        <v>285</v>
      </c>
      <c r="B256" s="107" t="s">
        <v>2163</v>
      </c>
      <c r="C256" s="27" t="s">
        <v>112</v>
      </c>
      <c r="D256" s="27" t="s">
        <v>1159</v>
      </c>
      <c r="E256" s="27" t="s">
        <v>966</v>
      </c>
      <c r="F256" s="27" t="s">
        <v>971</v>
      </c>
      <c r="G256" s="108">
        <v>14.16</v>
      </c>
      <c r="H256" s="109">
        <v>3.7660405821022578</v>
      </c>
      <c r="I256" s="83">
        <v>265963.3179450747</v>
      </c>
      <c r="J256" s="83">
        <v>8597029</v>
      </c>
      <c r="K256" s="84">
        <v>3.093665473794199E-2</v>
      </c>
      <c r="L256" s="112">
        <v>3.093665473794199E-2</v>
      </c>
      <c r="M256" s="82"/>
    </row>
    <row r="257" spans="1:13">
      <c r="A257" s="111" t="s">
        <v>257</v>
      </c>
      <c r="B257" s="107" t="s">
        <v>2166</v>
      </c>
      <c r="C257" s="27" t="s">
        <v>87</v>
      </c>
      <c r="D257" s="27" t="s">
        <v>1154</v>
      </c>
      <c r="E257" s="27" t="s">
        <v>966</v>
      </c>
      <c r="F257" s="27" t="s">
        <v>969</v>
      </c>
      <c r="G257" s="108">
        <v>27.18</v>
      </c>
      <c r="H257" s="109">
        <v>3.6634884875347637</v>
      </c>
      <c r="I257" s="83">
        <v>134786.18423601045</v>
      </c>
      <c r="J257" s="83">
        <v>1394078.375</v>
      </c>
      <c r="K257" s="84">
        <v>9.6684796675086823E-2</v>
      </c>
      <c r="L257" s="112">
        <v>9.6684796675086823E-2</v>
      </c>
      <c r="M257" s="82"/>
    </row>
    <row r="258" spans="1:13">
      <c r="A258" s="111" t="s">
        <v>1231</v>
      </c>
      <c r="B258" s="107" t="s">
        <v>2168</v>
      </c>
      <c r="C258" s="27" t="s">
        <v>750</v>
      </c>
      <c r="D258" s="27" t="s">
        <v>1154</v>
      </c>
      <c r="E258" s="27" t="s">
        <v>966</v>
      </c>
      <c r="F258" s="27" t="s">
        <v>969</v>
      </c>
      <c r="G258" s="108">
        <v>19.59</v>
      </c>
      <c r="H258" s="109">
        <v>3.6235489789970026</v>
      </c>
      <c r="I258" s="83">
        <v>184969.32001005628</v>
      </c>
      <c r="J258" s="83">
        <v>3585549</v>
      </c>
      <c r="K258" s="84">
        <v>5.1587447280752902E-2</v>
      </c>
      <c r="L258" s="112">
        <v>5.1587447280752902E-2</v>
      </c>
      <c r="M258" s="82"/>
    </row>
    <row r="259" spans="1:13">
      <c r="A259" s="111" t="s">
        <v>1246</v>
      </c>
      <c r="B259" s="107" t="s">
        <v>2170</v>
      </c>
      <c r="C259" s="27" t="s">
        <v>764</v>
      </c>
      <c r="D259" s="27" t="s">
        <v>1149</v>
      </c>
      <c r="E259" s="27" t="s">
        <v>966</v>
      </c>
      <c r="F259" s="27" t="s">
        <v>971</v>
      </c>
      <c r="G259" s="108">
        <v>72.39</v>
      </c>
      <c r="H259" s="109">
        <v>3.6208738478325562</v>
      </c>
      <c r="I259" s="83">
        <v>50018.978420120962</v>
      </c>
      <c r="J259" s="83">
        <v>943272.625</v>
      </c>
      <c r="K259" s="84">
        <v>5.3027064598764287E-2</v>
      </c>
      <c r="L259" s="112">
        <v>5.3027064598764287E-2</v>
      </c>
      <c r="M259" s="82"/>
    </row>
    <row r="260" spans="1:13">
      <c r="A260" s="111" t="s">
        <v>1234</v>
      </c>
      <c r="B260" s="107" t="s">
        <v>2172</v>
      </c>
      <c r="C260" s="27" t="s">
        <v>753</v>
      </c>
      <c r="D260" s="27" t="s">
        <v>1166</v>
      </c>
      <c r="E260" s="27" t="s">
        <v>966</v>
      </c>
      <c r="F260" s="27" t="s">
        <v>969</v>
      </c>
      <c r="G260" s="108">
        <v>31.19</v>
      </c>
      <c r="H260" s="109">
        <v>3.5791620178173931</v>
      </c>
      <c r="I260" s="83">
        <v>114753.51131187537</v>
      </c>
      <c r="J260" s="83">
        <v>5308309</v>
      </c>
      <c r="K260" s="84">
        <v>2.1617715041056459E-2</v>
      </c>
      <c r="L260" s="112">
        <v>2.1617715041056459E-2</v>
      </c>
      <c r="M260" s="82"/>
    </row>
    <row r="261" spans="1:13">
      <c r="A261" s="111" t="s">
        <v>1293</v>
      </c>
      <c r="B261" s="107" t="s">
        <v>2174</v>
      </c>
      <c r="C261" s="27" t="s">
        <v>1</v>
      </c>
      <c r="D261" s="27" t="s">
        <v>1166</v>
      </c>
      <c r="E261" s="27" t="s">
        <v>966</v>
      </c>
      <c r="F261" s="27" t="s">
        <v>969</v>
      </c>
      <c r="G261" s="108">
        <v>110.46</v>
      </c>
      <c r="H261" s="109">
        <v>3.5398549534070467</v>
      </c>
      <c r="I261" s="83">
        <v>32046.486994450905</v>
      </c>
      <c r="J261" s="83">
        <v>1235868.75</v>
      </c>
      <c r="K261" s="84">
        <v>2.5930331998807239E-2</v>
      </c>
      <c r="L261" s="112">
        <v>2.5930331998807239E-2</v>
      </c>
      <c r="M261" s="82"/>
    </row>
    <row r="262" spans="1:13">
      <c r="A262" s="111" t="s">
        <v>1604</v>
      </c>
      <c r="B262" s="107" t="s">
        <v>2176</v>
      </c>
      <c r="C262" s="27" t="s">
        <v>1631</v>
      </c>
      <c r="D262" s="27" t="s">
        <v>1164</v>
      </c>
      <c r="E262" s="27" t="s">
        <v>966</v>
      </c>
      <c r="F262" s="27" t="s">
        <v>969</v>
      </c>
      <c r="G262" s="108">
        <v>63.07</v>
      </c>
      <c r="H262" s="109">
        <v>3.5091687440772121</v>
      </c>
      <c r="I262" s="83">
        <v>55639.269764978788</v>
      </c>
      <c r="J262" s="83">
        <v>585891.625</v>
      </c>
      <c r="K262" s="84">
        <v>9.496512220153136E-2</v>
      </c>
      <c r="L262" s="112">
        <v>9.496512220153136E-2</v>
      </c>
      <c r="M262" s="82"/>
    </row>
    <row r="263" spans="1:13">
      <c r="A263" s="111" t="s">
        <v>814</v>
      </c>
      <c r="B263" s="107" t="s">
        <v>2177</v>
      </c>
      <c r="C263" s="27" t="s">
        <v>670</v>
      </c>
      <c r="D263" s="27" t="s">
        <v>1160</v>
      </c>
      <c r="E263" s="27" t="s">
        <v>966</v>
      </c>
      <c r="F263" s="27" t="s">
        <v>969</v>
      </c>
      <c r="G263" s="108">
        <v>62.29</v>
      </c>
      <c r="H263" s="109">
        <v>3.4883258847399667</v>
      </c>
      <c r="I263" s="83">
        <v>56001.378788569062</v>
      </c>
      <c r="J263" s="83">
        <v>2738598.25</v>
      </c>
      <c r="K263" s="84">
        <v>2.0448920826035385E-2</v>
      </c>
      <c r="L263" s="112">
        <v>2.0448920826035385E-2</v>
      </c>
      <c r="M263" s="82"/>
    </row>
    <row r="264" spans="1:13">
      <c r="A264" s="111" t="s">
        <v>252</v>
      </c>
      <c r="B264" s="107" t="s">
        <v>2179</v>
      </c>
      <c r="C264" s="27" t="s">
        <v>83</v>
      </c>
      <c r="D264" s="27" t="s">
        <v>1150</v>
      </c>
      <c r="E264" s="27" t="s">
        <v>966</v>
      </c>
      <c r="F264" s="27" t="s">
        <v>969</v>
      </c>
      <c r="G264" s="108">
        <v>50.08</v>
      </c>
      <c r="H264" s="109">
        <v>3.4662800020460094</v>
      </c>
      <c r="I264" s="83">
        <v>69214.856270886754</v>
      </c>
      <c r="J264" s="83">
        <v>809105.875</v>
      </c>
      <c r="K264" s="84">
        <v>8.5544869230972709E-2</v>
      </c>
      <c r="L264" s="112">
        <v>8.5544869230972709E-2</v>
      </c>
      <c r="M264" s="82"/>
    </row>
    <row r="265" spans="1:13">
      <c r="A265" s="111" t="s">
        <v>256</v>
      </c>
      <c r="B265" s="107" t="s">
        <v>2186</v>
      </c>
      <c r="C265" s="27" t="s">
        <v>86</v>
      </c>
      <c r="D265" s="27" t="s">
        <v>1154</v>
      </c>
      <c r="E265" s="27" t="s">
        <v>966</v>
      </c>
      <c r="F265" s="27" t="s">
        <v>969</v>
      </c>
      <c r="G265" s="108">
        <v>63.77</v>
      </c>
      <c r="H265" s="109">
        <v>3.410703549394448</v>
      </c>
      <c r="I265" s="83">
        <v>53484.452711219194</v>
      </c>
      <c r="J265" s="83">
        <v>895016.1875</v>
      </c>
      <c r="K265" s="84">
        <v>5.9758084220369698E-2</v>
      </c>
      <c r="L265" s="112">
        <v>5.9758084220369698E-2</v>
      </c>
      <c r="M265" s="82"/>
    </row>
    <row r="266" spans="1:13">
      <c r="A266" s="111" t="s">
        <v>1304</v>
      </c>
      <c r="B266" s="107" t="s">
        <v>2183</v>
      </c>
      <c r="C266" s="27" t="s">
        <v>12</v>
      </c>
      <c r="D266" s="27" t="s">
        <v>1153</v>
      </c>
      <c r="E266" s="27" t="s">
        <v>966</v>
      </c>
      <c r="F266" s="27" t="s">
        <v>969</v>
      </c>
      <c r="G266" s="108">
        <v>60.89</v>
      </c>
      <c r="H266" s="109">
        <v>3.4219518758384022</v>
      </c>
      <c r="I266" s="83">
        <v>56198.914039060641</v>
      </c>
      <c r="J266" s="83">
        <v>648888.375</v>
      </c>
      <c r="K266" s="84">
        <v>8.6607984060526041E-2</v>
      </c>
      <c r="L266" s="112">
        <v>8.6607984060526041E-2</v>
      </c>
      <c r="M266" s="82"/>
    </row>
    <row r="267" spans="1:13">
      <c r="A267" s="111" t="s">
        <v>274</v>
      </c>
      <c r="B267" s="107" t="s">
        <v>2188</v>
      </c>
      <c r="C267" s="27" t="s">
        <v>103</v>
      </c>
      <c r="D267" s="27" t="s">
        <v>1154</v>
      </c>
      <c r="E267" s="27" t="s">
        <v>966</v>
      </c>
      <c r="F267" s="27" t="s">
        <v>971</v>
      </c>
      <c r="G267" s="108">
        <v>56.78</v>
      </c>
      <c r="H267" s="109">
        <v>3.3687465907341569</v>
      </c>
      <c r="I267" s="83">
        <v>59329.809628991847</v>
      </c>
      <c r="J267" s="83">
        <v>782591.5625</v>
      </c>
      <c r="K267" s="84">
        <v>7.5811972006779527E-2</v>
      </c>
      <c r="L267" s="112">
        <v>7.5811972006779527E-2</v>
      </c>
      <c r="M267" s="82"/>
    </row>
    <row r="268" spans="1:13">
      <c r="A268" s="111" t="s">
        <v>228</v>
      </c>
      <c r="B268" s="107" t="s">
        <v>2194</v>
      </c>
      <c r="C268" s="27" t="s">
        <v>61</v>
      </c>
      <c r="D268" s="27" t="s">
        <v>1154</v>
      </c>
      <c r="E268" s="27" t="s">
        <v>966</v>
      </c>
      <c r="F268" s="27" t="s">
        <v>969</v>
      </c>
      <c r="G268" s="108">
        <v>17.71</v>
      </c>
      <c r="H268" s="109">
        <v>3.3313870364103786</v>
      </c>
      <c r="I268" s="83">
        <v>188107.68133316649</v>
      </c>
      <c r="J268" s="83">
        <v>4558328.5</v>
      </c>
      <c r="K268" s="84">
        <v>4.1266811142103184E-2</v>
      </c>
      <c r="L268" s="112">
        <v>4.1266811142103184E-2</v>
      </c>
      <c r="M268" s="82"/>
    </row>
    <row r="269" spans="1:13">
      <c r="A269" s="111" t="s">
        <v>1456</v>
      </c>
      <c r="B269" s="107" t="s">
        <v>2192</v>
      </c>
      <c r="C269" s="27" t="s">
        <v>656</v>
      </c>
      <c r="D269" s="27" t="s">
        <v>1154</v>
      </c>
      <c r="E269" s="27" t="s">
        <v>966</v>
      </c>
      <c r="F269" s="27" t="s">
        <v>969</v>
      </c>
      <c r="G269" s="108">
        <v>49.26</v>
      </c>
      <c r="H269" s="109">
        <v>3.3341721389813532</v>
      </c>
      <c r="I269" s="83">
        <v>67685.183495358375</v>
      </c>
      <c r="J269" s="83">
        <v>576512.625</v>
      </c>
      <c r="K269" s="84">
        <v>0.11740451216546798</v>
      </c>
      <c r="L269" s="112">
        <v>0.11740451216546798</v>
      </c>
      <c r="M269" s="82"/>
    </row>
    <row r="270" spans="1:13">
      <c r="A270" s="111" t="s">
        <v>1413</v>
      </c>
      <c r="B270" s="107" t="s">
        <v>2181</v>
      </c>
      <c r="C270" s="27" t="s">
        <v>149</v>
      </c>
      <c r="D270" s="27" t="s">
        <v>1169</v>
      </c>
      <c r="E270" s="27" t="s">
        <v>966</v>
      </c>
      <c r="F270" s="27" t="s">
        <v>971</v>
      </c>
      <c r="G270" s="108">
        <v>34.270000000000003</v>
      </c>
      <c r="H270" s="109">
        <v>3.4217672256186389</v>
      </c>
      <c r="I270" s="83">
        <v>99847.307429782275</v>
      </c>
      <c r="J270" s="83">
        <v>6598311.5</v>
      </c>
      <c r="K270" s="84">
        <v>1.5132251247880958E-2</v>
      </c>
      <c r="L270" s="112">
        <v>1.5132251247880958E-2</v>
      </c>
      <c r="M270" s="82"/>
    </row>
    <row r="271" spans="1:13">
      <c r="A271" s="111" t="s">
        <v>824</v>
      </c>
      <c r="B271" s="107" t="s">
        <v>2198</v>
      </c>
      <c r="C271" s="27" t="s">
        <v>679</v>
      </c>
      <c r="D271" s="27" t="s">
        <v>1160</v>
      </c>
      <c r="E271" s="27" t="s">
        <v>966</v>
      </c>
      <c r="F271" s="27" t="s">
        <v>969</v>
      </c>
      <c r="G271" s="108">
        <v>36.61</v>
      </c>
      <c r="H271" s="109">
        <v>3.2708562820638232</v>
      </c>
      <c r="I271" s="83">
        <v>89343.247256591741</v>
      </c>
      <c r="J271" s="83">
        <v>4401527.5</v>
      </c>
      <c r="K271" s="84">
        <v>2.0298236749990029E-2</v>
      </c>
      <c r="L271" s="112">
        <v>2.0298236749990029E-2</v>
      </c>
      <c r="M271" s="82"/>
    </row>
    <row r="272" spans="1:13">
      <c r="A272" s="111" t="s">
        <v>332</v>
      </c>
      <c r="B272" s="107" t="s">
        <v>2196</v>
      </c>
      <c r="C272" s="27" t="s">
        <v>157</v>
      </c>
      <c r="D272" s="27" t="s">
        <v>1149</v>
      </c>
      <c r="E272" s="27" t="s">
        <v>966</v>
      </c>
      <c r="F272" s="27" t="s">
        <v>971</v>
      </c>
      <c r="G272" s="108">
        <v>57.29</v>
      </c>
      <c r="H272" s="109">
        <v>3.2954745910741057</v>
      </c>
      <c r="I272" s="83">
        <v>57522.684431386027</v>
      </c>
      <c r="J272" s="83">
        <v>801355.4375</v>
      </c>
      <c r="K272" s="84">
        <v>7.1781735968299371E-2</v>
      </c>
      <c r="L272" s="112">
        <v>7.1781735968299371E-2</v>
      </c>
      <c r="M272" s="82"/>
    </row>
    <row r="273" spans="1:13">
      <c r="A273" s="111" t="s">
        <v>337</v>
      </c>
      <c r="B273" s="107" t="s">
        <v>2185</v>
      </c>
      <c r="C273" s="27" t="s">
        <v>224</v>
      </c>
      <c r="D273" s="27" t="s">
        <v>1152</v>
      </c>
      <c r="E273" s="27" t="s">
        <v>966</v>
      </c>
      <c r="F273" s="27" t="s">
        <v>971</v>
      </c>
      <c r="G273" s="108">
        <v>89.9</v>
      </c>
      <c r="H273" s="109">
        <v>3.4169828048450879</v>
      </c>
      <c r="I273" s="83">
        <v>38008.707506619437</v>
      </c>
      <c r="J273" s="83">
        <v>5281693.5</v>
      </c>
      <c r="K273" s="84">
        <v>7.1963107110663343E-3</v>
      </c>
      <c r="L273" s="112">
        <v>7.1963107110663343E-3</v>
      </c>
      <c r="M273" s="82"/>
    </row>
    <row r="274" spans="1:13">
      <c r="A274" s="111" t="s">
        <v>1282</v>
      </c>
      <c r="B274" s="107" t="s">
        <v>2200</v>
      </c>
      <c r="C274" s="27" t="s">
        <v>796</v>
      </c>
      <c r="D274" s="27" t="s">
        <v>1148</v>
      </c>
      <c r="E274" s="27" t="s">
        <v>966</v>
      </c>
      <c r="F274" s="27" t="s">
        <v>969</v>
      </c>
      <c r="G274" s="108">
        <v>47.39</v>
      </c>
      <c r="H274" s="109">
        <v>3.0730592853137622</v>
      </c>
      <c r="I274" s="83">
        <v>64846.154997125173</v>
      </c>
      <c r="J274" s="83">
        <v>848784.6875</v>
      </c>
      <c r="K274" s="84">
        <v>7.6398827585028944E-2</v>
      </c>
      <c r="L274" s="112">
        <v>7.6398827585028944E-2</v>
      </c>
      <c r="M274" s="82"/>
    </row>
    <row r="275" spans="1:13">
      <c r="A275" s="111" t="s">
        <v>1442</v>
      </c>
      <c r="B275" s="107" t="s">
        <v>2202</v>
      </c>
      <c r="C275" s="27" t="s">
        <v>1437</v>
      </c>
      <c r="D275" s="27" t="s">
        <v>1164</v>
      </c>
      <c r="E275" s="27" t="s">
        <v>966</v>
      </c>
      <c r="F275" s="27" t="s">
        <v>969</v>
      </c>
      <c r="G275" s="108">
        <v>33.659999999999997</v>
      </c>
      <c r="H275" s="109">
        <v>3.0350697391359396</v>
      </c>
      <c r="I275" s="83">
        <v>90168.441447888894</v>
      </c>
      <c r="J275" s="83">
        <v>1034591.6875</v>
      </c>
      <c r="K275" s="84">
        <v>8.7153649635222777E-2</v>
      </c>
      <c r="L275" s="112">
        <v>8.7153649635222777E-2</v>
      </c>
      <c r="M275" s="82"/>
    </row>
    <row r="276" spans="1:13">
      <c r="A276" s="111" t="s">
        <v>1227</v>
      </c>
      <c r="B276" s="107" t="s">
        <v>2203</v>
      </c>
      <c r="C276" s="27" t="s">
        <v>747</v>
      </c>
      <c r="D276" s="27" t="s">
        <v>1165</v>
      </c>
      <c r="E276" s="27" t="s">
        <v>966</v>
      </c>
      <c r="F276" s="27" t="s">
        <v>971</v>
      </c>
      <c r="G276" s="108">
        <v>46.57</v>
      </c>
      <c r="H276" s="109">
        <v>3.0086158856968526</v>
      </c>
      <c r="I276" s="83">
        <v>64604.163317518847</v>
      </c>
      <c r="J276" s="83">
        <v>2469157.75</v>
      </c>
      <c r="K276" s="84">
        <v>2.6164453574308424E-2</v>
      </c>
      <c r="L276" s="112">
        <v>2.6164453574308424E-2</v>
      </c>
      <c r="M276" s="82"/>
    </row>
    <row r="277" spans="1:13">
      <c r="A277" s="111" t="s">
        <v>334</v>
      </c>
      <c r="B277" s="107" t="s">
        <v>2190</v>
      </c>
      <c r="C277" s="27" t="s">
        <v>159</v>
      </c>
      <c r="D277" s="27" t="s">
        <v>1161</v>
      </c>
      <c r="E277" s="27" t="s">
        <v>966</v>
      </c>
      <c r="F277" s="27" t="s">
        <v>971</v>
      </c>
      <c r="G277" s="108">
        <v>80.680000000000007</v>
      </c>
      <c r="H277" s="109">
        <v>3.3371838283973547</v>
      </c>
      <c r="I277" s="83">
        <v>41363.210565163048</v>
      </c>
      <c r="J277" s="83">
        <v>3134188.75</v>
      </c>
      <c r="K277" s="84">
        <v>1.3197421682138017E-2</v>
      </c>
      <c r="L277" s="112">
        <v>1.3197421682138017E-2</v>
      </c>
      <c r="M277" s="82"/>
    </row>
    <row r="278" spans="1:13">
      <c r="A278" s="111" t="s">
        <v>1339</v>
      </c>
      <c r="B278" s="107" t="s">
        <v>2205</v>
      </c>
      <c r="C278" s="27" t="s">
        <v>43</v>
      </c>
      <c r="D278" s="27" t="s">
        <v>1157</v>
      </c>
      <c r="E278" s="27" t="s">
        <v>966</v>
      </c>
      <c r="F278" s="27" t="s">
        <v>971</v>
      </c>
      <c r="G278" s="108">
        <v>23.14</v>
      </c>
      <c r="H278" s="109">
        <v>2.8995878576156997</v>
      </c>
      <c r="I278" s="83">
        <v>125306.30326774846</v>
      </c>
      <c r="J278" s="83">
        <v>1240774.75</v>
      </c>
      <c r="K278" s="84">
        <v>0.10099037175583116</v>
      </c>
      <c r="L278" s="112">
        <v>0.10099037175583116</v>
      </c>
      <c r="M278" s="82"/>
    </row>
    <row r="279" spans="1:13">
      <c r="A279" s="111" t="s">
        <v>1249</v>
      </c>
      <c r="B279" s="107" t="s">
        <v>2207</v>
      </c>
      <c r="C279" s="27" t="s">
        <v>766</v>
      </c>
      <c r="D279" s="27" t="s">
        <v>1163</v>
      </c>
      <c r="E279" s="27" t="s">
        <v>966</v>
      </c>
      <c r="F279" s="27" t="s">
        <v>969</v>
      </c>
      <c r="G279" s="108">
        <v>115.79</v>
      </c>
      <c r="H279" s="109">
        <v>2.7636435785774123</v>
      </c>
      <c r="I279" s="83">
        <v>23867.722416248485</v>
      </c>
      <c r="J279" s="83">
        <v>208946.65625</v>
      </c>
      <c r="K279" s="84">
        <v>0.114228783770013</v>
      </c>
      <c r="L279" s="112">
        <v>0.114228783770013</v>
      </c>
      <c r="M279" s="82"/>
    </row>
    <row r="280" spans="1:13">
      <c r="A280" s="111" t="s">
        <v>265</v>
      </c>
      <c r="B280" s="107" t="s">
        <v>2213</v>
      </c>
      <c r="C280" s="27" t="s">
        <v>95</v>
      </c>
      <c r="D280" s="27" t="s">
        <v>1167</v>
      </c>
      <c r="E280" s="27" t="s">
        <v>966</v>
      </c>
      <c r="F280" s="27" t="s">
        <v>969</v>
      </c>
      <c r="G280" s="108">
        <v>89.5</v>
      </c>
      <c r="H280" s="109">
        <v>2.6557073039533532</v>
      </c>
      <c r="I280" s="83">
        <v>29672.707306741377</v>
      </c>
      <c r="J280" s="83">
        <v>879421.4375</v>
      </c>
      <c r="K280" s="84">
        <v>3.3741168956597532E-2</v>
      </c>
      <c r="L280" s="112">
        <v>3.3741168956597532E-2</v>
      </c>
      <c r="M280" s="82"/>
    </row>
    <row r="281" spans="1:13">
      <c r="A281" s="111" t="s">
        <v>1184</v>
      </c>
      <c r="B281" s="107" t="s">
        <v>2215</v>
      </c>
      <c r="C281" s="27" t="s">
        <v>709</v>
      </c>
      <c r="D281" s="27" t="s">
        <v>1156</v>
      </c>
      <c r="E281" s="27" t="s">
        <v>966</v>
      </c>
      <c r="F281" s="27" t="s">
        <v>969</v>
      </c>
      <c r="G281" s="108">
        <v>39.979999999999997</v>
      </c>
      <c r="H281" s="109">
        <v>2.6292696754187448</v>
      </c>
      <c r="I281" s="83">
        <v>65764.624197567406</v>
      </c>
      <c r="J281" s="83">
        <v>1339949.875</v>
      </c>
      <c r="K281" s="84">
        <v>4.9079913677791423E-2</v>
      </c>
      <c r="L281" s="112">
        <v>4.9079913677791423E-2</v>
      </c>
      <c r="M281" s="82"/>
    </row>
    <row r="282" spans="1:13">
      <c r="A282" s="111" t="s">
        <v>231</v>
      </c>
      <c r="B282" s="107" t="s">
        <v>2211</v>
      </c>
      <c r="C282" s="27" t="s">
        <v>64</v>
      </c>
      <c r="D282" s="27" t="s">
        <v>1157</v>
      </c>
      <c r="E282" s="27" t="s">
        <v>966</v>
      </c>
      <c r="F282" s="27" t="s">
        <v>971</v>
      </c>
      <c r="G282" s="108">
        <v>76.599999999999994</v>
      </c>
      <c r="H282" s="109">
        <v>2.684188813383491</v>
      </c>
      <c r="I282" s="83">
        <v>35041.62941753905</v>
      </c>
      <c r="J282" s="83">
        <v>1034107.375</v>
      </c>
      <c r="K282" s="84">
        <v>3.3885871297977203E-2</v>
      </c>
      <c r="L282" s="112">
        <v>3.3885871297977203E-2</v>
      </c>
      <c r="M282" s="82"/>
    </row>
    <row r="283" spans="1:13">
      <c r="A283" s="111" t="s">
        <v>1337</v>
      </c>
      <c r="B283" s="107" t="s">
        <v>2219</v>
      </c>
      <c r="C283" s="27" t="s">
        <v>41</v>
      </c>
      <c r="D283" s="27" t="s">
        <v>1157</v>
      </c>
      <c r="E283" s="27" t="s">
        <v>966</v>
      </c>
      <c r="F283" s="27" t="s">
        <v>967</v>
      </c>
      <c r="G283" s="108">
        <v>48.31</v>
      </c>
      <c r="H283" s="109">
        <v>2.4731395505620744</v>
      </c>
      <c r="I283" s="83">
        <v>51193.118413621902</v>
      </c>
      <c r="J283" s="83">
        <v>1227522.25</v>
      </c>
      <c r="K283" s="84">
        <v>4.1704432171084396E-2</v>
      </c>
      <c r="L283" s="112">
        <v>4.1704432171084396E-2</v>
      </c>
      <c r="M283" s="82"/>
    </row>
    <row r="284" spans="1:13">
      <c r="A284" s="111" t="s">
        <v>246</v>
      </c>
      <c r="B284" s="107" t="s">
        <v>2224</v>
      </c>
      <c r="C284" s="27" t="s">
        <v>78</v>
      </c>
      <c r="D284" s="27" t="s">
        <v>1149</v>
      </c>
      <c r="E284" s="27" t="s">
        <v>966</v>
      </c>
      <c r="F284" s="27" t="s">
        <v>969</v>
      </c>
      <c r="G284" s="108">
        <v>49.49</v>
      </c>
      <c r="H284" s="109">
        <v>2.4574953354640821</v>
      </c>
      <c r="I284" s="83">
        <v>49656.402009781414</v>
      </c>
      <c r="J284" s="83">
        <v>758471.875</v>
      </c>
      <c r="K284" s="84">
        <v>6.5469008998891895E-2</v>
      </c>
      <c r="L284" s="112">
        <v>6.5469008998891895E-2</v>
      </c>
      <c r="M284" s="82"/>
    </row>
    <row r="285" spans="1:13">
      <c r="A285" s="111" t="s">
        <v>1614</v>
      </c>
      <c r="B285" s="107" t="s">
        <v>2221</v>
      </c>
      <c r="C285" s="27" t="s">
        <v>1647</v>
      </c>
      <c r="D285" s="27" t="s">
        <v>1160</v>
      </c>
      <c r="E285" s="27" t="s">
        <v>966</v>
      </c>
      <c r="F285" s="27" t="s">
        <v>969</v>
      </c>
      <c r="G285" s="108">
        <v>15.05</v>
      </c>
      <c r="H285" s="109">
        <v>2.4670710720089826</v>
      </c>
      <c r="I285" s="83">
        <v>163924.9881733543</v>
      </c>
      <c r="J285" s="83">
        <v>16339537</v>
      </c>
      <c r="K285" s="84">
        <v>1.0032413291353012E-2</v>
      </c>
      <c r="L285" s="112">
        <v>1.0032413291353012E-2</v>
      </c>
      <c r="M285" s="82"/>
    </row>
    <row r="286" spans="1:13">
      <c r="A286" s="111" t="s">
        <v>299</v>
      </c>
      <c r="B286" s="107" t="s">
        <v>2228</v>
      </c>
      <c r="C286" s="27" t="s">
        <v>125</v>
      </c>
      <c r="D286" s="27" t="s">
        <v>1154</v>
      </c>
      <c r="E286" s="27" t="s">
        <v>966</v>
      </c>
      <c r="F286" s="27" t="s">
        <v>969</v>
      </c>
      <c r="G286" s="108">
        <v>22.12</v>
      </c>
      <c r="H286" s="109">
        <v>2.3997464357847278</v>
      </c>
      <c r="I286" s="83">
        <v>108487.63272082855</v>
      </c>
      <c r="J286" s="83">
        <v>3551177.75</v>
      </c>
      <c r="K286" s="84">
        <v>3.0549761335046818E-2</v>
      </c>
      <c r="L286" s="112">
        <v>3.0549761335046818E-2</v>
      </c>
      <c r="M286" s="82"/>
    </row>
    <row r="287" spans="1:13">
      <c r="A287" s="111" t="s">
        <v>241</v>
      </c>
      <c r="B287" s="107" t="s">
        <v>2230</v>
      </c>
      <c r="C287" s="27" t="s">
        <v>73</v>
      </c>
      <c r="D287" s="27" t="s">
        <v>1163</v>
      </c>
      <c r="E287" s="27" t="s">
        <v>966</v>
      </c>
      <c r="F287" s="27" t="s">
        <v>969</v>
      </c>
      <c r="G287" s="108">
        <v>21.43</v>
      </c>
      <c r="H287" s="109">
        <v>2.3808294050972418</v>
      </c>
      <c r="I287" s="83">
        <v>111097.96570682415</v>
      </c>
      <c r="J287" s="83">
        <v>1781920.5</v>
      </c>
      <c r="K287" s="84">
        <v>6.2347318921817302E-2</v>
      </c>
      <c r="L287" s="112">
        <v>6.2347318921817302E-2</v>
      </c>
      <c r="M287" s="82"/>
    </row>
    <row r="288" spans="1:13">
      <c r="A288" s="111" t="s">
        <v>818</v>
      </c>
      <c r="B288" s="107" t="s">
        <v>2226</v>
      </c>
      <c r="C288" s="27" t="s">
        <v>673</v>
      </c>
      <c r="D288" s="27" t="s">
        <v>1167</v>
      </c>
      <c r="E288" s="27" t="s">
        <v>966</v>
      </c>
      <c r="F288" s="27" t="s">
        <v>971</v>
      </c>
      <c r="G288" s="108">
        <v>97.85</v>
      </c>
      <c r="H288" s="109">
        <v>2.4067064895389616</v>
      </c>
      <c r="I288" s="83">
        <v>24595.876234429856</v>
      </c>
      <c r="J288" s="83">
        <v>1653143.5</v>
      </c>
      <c r="K288" s="84">
        <v>1.4878246343665783E-2</v>
      </c>
      <c r="L288" s="112">
        <v>1.4878246343665783E-2</v>
      </c>
      <c r="M288" s="82"/>
    </row>
    <row r="289" spans="1:13">
      <c r="A289" s="111" t="s">
        <v>1386</v>
      </c>
      <c r="B289" s="107" t="s">
        <v>2232</v>
      </c>
      <c r="C289" s="27" t="s">
        <v>1692</v>
      </c>
      <c r="D289" s="27" t="s">
        <v>1168</v>
      </c>
      <c r="E289" s="27" t="s">
        <v>966</v>
      </c>
      <c r="F289" s="27" t="s">
        <v>969</v>
      </c>
      <c r="G289" s="108">
        <v>28.93</v>
      </c>
      <c r="H289" s="109">
        <v>2.3111103297819766</v>
      </c>
      <c r="I289" s="83">
        <v>79886.288620185849</v>
      </c>
      <c r="J289" s="83">
        <v>4333447</v>
      </c>
      <c r="K289" s="84">
        <v>1.843481381454206E-2</v>
      </c>
      <c r="L289" s="112">
        <v>1.843481381454206E-2</v>
      </c>
      <c r="M289" s="82"/>
    </row>
    <row r="290" spans="1:13">
      <c r="A290" s="111" t="s">
        <v>1220</v>
      </c>
      <c r="B290" s="107" t="s">
        <v>2161</v>
      </c>
      <c r="C290" s="27" t="s">
        <v>741</v>
      </c>
      <c r="D290" s="27" t="s">
        <v>1150</v>
      </c>
      <c r="E290" s="27" t="s">
        <v>966</v>
      </c>
      <c r="F290" s="27" t="s">
        <v>971</v>
      </c>
      <c r="G290" s="108">
        <v>131.03</v>
      </c>
      <c r="H290" s="109">
        <v>3.7437518851151639</v>
      </c>
      <c r="I290" s="83">
        <v>28571.715524041549</v>
      </c>
      <c r="J290" s="83">
        <v>4773999</v>
      </c>
      <c r="K290" s="84">
        <v>5.9848599725390705E-3</v>
      </c>
      <c r="L290" s="112">
        <v>5.9848599725390705E-3</v>
      </c>
      <c r="M290" s="82"/>
    </row>
    <row r="291" spans="1:13">
      <c r="A291" s="111" t="s">
        <v>1279</v>
      </c>
      <c r="B291" s="107" t="s">
        <v>2233</v>
      </c>
      <c r="C291" s="27" t="s">
        <v>793</v>
      </c>
      <c r="D291" s="27" t="s">
        <v>1147</v>
      </c>
      <c r="E291" s="27" t="s">
        <v>966</v>
      </c>
      <c r="F291" s="27" t="s">
        <v>969</v>
      </c>
      <c r="G291" s="108">
        <v>30.69</v>
      </c>
      <c r="H291" s="109">
        <v>2.2315459865576361</v>
      </c>
      <c r="I291" s="83">
        <v>72712.479197055596</v>
      </c>
      <c r="J291" s="83">
        <v>702910.9375</v>
      </c>
      <c r="K291" s="84">
        <v>0.10344479694065878</v>
      </c>
      <c r="L291" s="112">
        <v>0.10344479694065878</v>
      </c>
      <c r="M291" s="82"/>
    </row>
    <row r="292" spans="1:13">
      <c r="A292" s="111" t="s">
        <v>266</v>
      </c>
      <c r="B292" s="107" t="s">
        <v>2217</v>
      </c>
      <c r="C292" s="27" t="s">
        <v>96</v>
      </c>
      <c r="D292" s="27" t="s">
        <v>1153</v>
      </c>
      <c r="E292" s="27" t="s">
        <v>966</v>
      </c>
      <c r="F292" s="27" t="s">
        <v>971</v>
      </c>
      <c r="G292" s="108">
        <v>85.73</v>
      </c>
      <c r="H292" s="109">
        <v>2.6177420738113213</v>
      </c>
      <c r="I292" s="83">
        <v>30534.726161335839</v>
      </c>
      <c r="J292" s="83">
        <v>3057268.5</v>
      </c>
      <c r="K292" s="84">
        <v>9.9875840677179119E-3</v>
      </c>
      <c r="L292" s="112">
        <v>9.9875840677179119E-3</v>
      </c>
      <c r="M292" s="82"/>
    </row>
    <row r="293" spans="1:13">
      <c r="A293" s="111" t="s">
        <v>1291</v>
      </c>
      <c r="B293" s="107" t="s">
        <v>2235</v>
      </c>
      <c r="C293" s="27" t="s">
        <v>0</v>
      </c>
      <c r="D293" s="27" t="s">
        <v>1170</v>
      </c>
      <c r="E293" s="27" t="s">
        <v>966</v>
      </c>
      <c r="F293" s="27" t="s">
        <v>971</v>
      </c>
      <c r="G293" s="108">
        <v>31.38</v>
      </c>
      <c r="H293" s="109">
        <v>2.1857696324987739</v>
      </c>
      <c r="I293" s="83">
        <v>69654.864005697076</v>
      </c>
      <c r="J293" s="83">
        <v>3586885.5</v>
      </c>
      <c r="K293" s="84">
        <v>1.9419316285868918E-2</v>
      </c>
      <c r="L293" s="112">
        <v>1.9419316285868918E-2</v>
      </c>
      <c r="M293" s="82"/>
    </row>
    <row r="294" spans="1:13">
      <c r="A294" s="111" t="s">
        <v>1287</v>
      </c>
      <c r="B294" s="107" t="s">
        <v>2237</v>
      </c>
      <c r="C294" s="27" t="s">
        <v>685</v>
      </c>
      <c r="D294" s="27" t="s">
        <v>1159</v>
      </c>
      <c r="E294" s="27" t="s">
        <v>966</v>
      </c>
      <c r="F294" s="27" t="s">
        <v>971</v>
      </c>
      <c r="G294" s="108">
        <v>45.62</v>
      </c>
      <c r="H294" s="109">
        <v>2.0215058514425217</v>
      </c>
      <c r="I294" s="83">
        <v>44311.833657223193</v>
      </c>
      <c r="J294" s="83">
        <v>1352381.625</v>
      </c>
      <c r="K294" s="84">
        <v>3.2765776196658387E-2</v>
      </c>
      <c r="L294" s="112">
        <v>3.2765776196658387E-2</v>
      </c>
      <c r="M294" s="82"/>
    </row>
    <row r="295" spans="1:13">
      <c r="A295" s="111" t="s">
        <v>1296</v>
      </c>
      <c r="B295" s="107" t="s">
        <v>2238</v>
      </c>
      <c r="C295" s="27" t="s">
        <v>4</v>
      </c>
      <c r="D295" s="27" t="s">
        <v>1165</v>
      </c>
      <c r="E295" s="27" t="s">
        <v>966</v>
      </c>
      <c r="F295" s="27" t="s">
        <v>971</v>
      </c>
      <c r="G295" s="108">
        <v>10.1</v>
      </c>
      <c r="H295" s="109">
        <v>2.0192239345625445</v>
      </c>
      <c r="I295" s="83">
        <v>199923.1618378757</v>
      </c>
      <c r="J295" s="83">
        <v>2174479.5</v>
      </c>
      <c r="K295" s="84">
        <v>9.1940697457886217E-2</v>
      </c>
      <c r="L295" s="112">
        <v>9.1940697457886217E-2</v>
      </c>
      <c r="M295" s="82"/>
    </row>
    <row r="296" spans="1:13">
      <c r="A296" s="111" t="s">
        <v>209</v>
      </c>
      <c r="B296" s="107" t="s">
        <v>2240</v>
      </c>
      <c r="C296" s="27" t="s">
        <v>215</v>
      </c>
      <c r="D296" s="27" t="s">
        <v>1152</v>
      </c>
      <c r="E296" s="27" t="s">
        <v>966</v>
      </c>
      <c r="F296" s="27" t="s">
        <v>969</v>
      </c>
      <c r="G296" s="108">
        <v>51.88</v>
      </c>
      <c r="H296" s="109">
        <v>1.9973572477973063</v>
      </c>
      <c r="I296" s="83">
        <v>38499.561445591869</v>
      </c>
      <c r="J296" s="83">
        <v>2639551.5</v>
      </c>
      <c r="K296" s="84">
        <v>1.4585645116449469E-2</v>
      </c>
      <c r="L296" s="112">
        <v>1.4585645116449469E-2</v>
      </c>
      <c r="M296" s="82"/>
    </row>
    <row r="297" spans="1:13">
      <c r="A297" s="111" t="s">
        <v>1263</v>
      </c>
      <c r="B297" s="107" t="s">
        <v>2241</v>
      </c>
      <c r="C297" s="27" t="s">
        <v>779</v>
      </c>
      <c r="D297" s="27" t="s">
        <v>1148</v>
      </c>
      <c r="E297" s="27" t="s">
        <v>966</v>
      </c>
      <c r="F297" s="27" t="s">
        <v>971</v>
      </c>
      <c r="G297" s="108">
        <v>77.489999999999995</v>
      </c>
      <c r="H297" s="109">
        <v>1.9845902764567076</v>
      </c>
      <c r="I297" s="83">
        <v>25610.921105390473</v>
      </c>
      <c r="J297" s="83">
        <v>1631051.875</v>
      </c>
      <c r="K297" s="84">
        <v>1.5702088632460247E-2</v>
      </c>
      <c r="L297" s="112">
        <v>1.5702088632460247E-2</v>
      </c>
      <c r="M297" s="82"/>
    </row>
    <row r="298" spans="1:13">
      <c r="A298" s="111" t="s">
        <v>1225</v>
      </c>
      <c r="B298" s="107" t="s">
        <v>2243</v>
      </c>
      <c r="C298" s="27" t="s">
        <v>745</v>
      </c>
      <c r="D298" s="27" t="s">
        <v>1155</v>
      </c>
      <c r="E298" s="27" t="s">
        <v>966</v>
      </c>
      <c r="F298" s="27" t="s">
        <v>971</v>
      </c>
      <c r="G298" s="108">
        <v>56.23</v>
      </c>
      <c r="H298" s="109">
        <v>1.898517561528845</v>
      </c>
      <c r="I298" s="83">
        <v>33763.428090500536</v>
      </c>
      <c r="J298" s="83">
        <v>713535.0625</v>
      </c>
      <c r="K298" s="84">
        <v>4.7318526958162674E-2</v>
      </c>
      <c r="L298" s="112">
        <v>4.7318526958162674E-2</v>
      </c>
      <c r="M298" s="82"/>
    </row>
    <row r="299" spans="1:13">
      <c r="A299" s="111" t="s">
        <v>1232</v>
      </c>
      <c r="B299" s="107" t="s">
        <v>2245</v>
      </c>
      <c r="C299" s="27" t="s">
        <v>751</v>
      </c>
      <c r="D299" s="27" t="s">
        <v>1160</v>
      </c>
      <c r="E299" s="27" t="s">
        <v>966</v>
      </c>
      <c r="F299" s="27" t="s">
        <v>969</v>
      </c>
      <c r="G299" s="108">
        <v>14.2</v>
      </c>
      <c r="H299" s="109">
        <v>1.648885228379926</v>
      </c>
      <c r="I299" s="83">
        <v>116118.67805492437</v>
      </c>
      <c r="J299" s="83">
        <v>8860760</v>
      </c>
      <c r="K299" s="84">
        <v>1.3104821488780236E-2</v>
      </c>
      <c r="L299" s="112">
        <v>1.3104821488780236E-2</v>
      </c>
      <c r="M299" s="82"/>
    </row>
    <row r="300" spans="1:13">
      <c r="A300" s="111" t="s">
        <v>286</v>
      </c>
      <c r="B300" s="107" t="s">
        <v>2248</v>
      </c>
      <c r="C300" s="27" t="s">
        <v>113</v>
      </c>
      <c r="D300" s="27" t="s">
        <v>1163</v>
      </c>
      <c r="E300" s="27" t="s">
        <v>966</v>
      </c>
      <c r="F300" s="27" t="s">
        <v>971</v>
      </c>
      <c r="G300" s="108">
        <v>144.78</v>
      </c>
      <c r="H300" s="109">
        <v>1.5411498624723987</v>
      </c>
      <c r="I300" s="83">
        <v>10644.770427354601</v>
      </c>
      <c r="J300" s="83">
        <v>793746.5</v>
      </c>
      <c r="K300" s="84">
        <v>1.3410793530874909E-2</v>
      </c>
      <c r="L300" s="112">
        <v>1.3410793530874909E-2</v>
      </c>
      <c r="M300" s="82"/>
    </row>
    <row r="301" spans="1:13">
      <c r="A301" s="111" t="s">
        <v>1681</v>
      </c>
      <c r="B301" s="107" t="s">
        <v>2251</v>
      </c>
      <c r="C301" s="27" t="s">
        <v>1706</v>
      </c>
      <c r="D301" s="27" t="s">
        <v>1168</v>
      </c>
      <c r="E301" s="27" t="s">
        <v>966</v>
      </c>
      <c r="F301" s="27" t="s">
        <v>971</v>
      </c>
      <c r="G301" s="108">
        <v>26.09</v>
      </c>
      <c r="H301" s="109">
        <v>1.2956183639818408</v>
      </c>
      <c r="I301" s="83">
        <v>49659.577001987003</v>
      </c>
      <c r="J301" s="83">
        <v>2342524</v>
      </c>
      <c r="K301" s="84">
        <v>2.1199175334804254E-2</v>
      </c>
      <c r="L301" s="112">
        <v>2.1199175334804254E-2</v>
      </c>
      <c r="M301" s="82"/>
    </row>
    <row r="302" spans="1:13">
      <c r="A302" s="111" t="s">
        <v>1039</v>
      </c>
      <c r="B302" s="107" t="s">
        <v>2209</v>
      </c>
      <c r="C302" s="27" t="s">
        <v>1040</v>
      </c>
      <c r="D302" s="27" t="s">
        <v>1160</v>
      </c>
      <c r="E302" s="27" t="s">
        <v>966</v>
      </c>
      <c r="F302" s="27" t="s">
        <v>971</v>
      </c>
      <c r="G302" s="108">
        <v>84.83</v>
      </c>
      <c r="H302" s="109">
        <v>2.7231676788443528</v>
      </c>
      <c r="I302" s="83">
        <v>32101.469749432421</v>
      </c>
      <c r="J302" s="83">
        <v>7105336</v>
      </c>
      <c r="K302" s="84">
        <v>4.5179383141673276E-3</v>
      </c>
      <c r="L302" s="112">
        <v>4.5179383141673276E-3</v>
      </c>
      <c r="M302" s="82"/>
    </row>
    <row r="303" spans="1:13">
      <c r="A303" s="111" t="s">
        <v>815</v>
      </c>
      <c r="B303" s="107" t="s">
        <v>2250</v>
      </c>
      <c r="C303" s="27" t="s">
        <v>1533</v>
      </c>
      <c r="D303" s="27" t="s">
        <v>1149</v>
      </c>
      <c r="E303" s="27" t="s">
        <v>966</v>
      </c>
      <c r="F303" s="27" t="s">
        <v>971</v>
      </c>
      <c r="G303" s="108">
        <v>144.76</v>
      </c>
      <c r="H303" s="109">
        <v>1.3139103359055433</v>
      </c>
      <c r="I303" s="83">
        <v>9076.4737213701555</v>
      </c>
      <c r="J303" s="83">
        <v>354039.5</v>
      </c>
      <c r="K303" s="84">
        <v>2.5636895660993069E-2</v>
      </c>
      <c r="L303" s="112">
        <v>2.5636895660993069E-2</v>
      </c>
      <c r="M303" s="82"/>
    </row>
    <row r="304" spans="1:13">
      <c r="A304" s="111" t="s">
        <v>1288</v>
      </c>
      <c r="B304" s="107" t="s">
        <v>2257</v>
      </c>
      <c r="C304" s="27" t="s">
        <v>686</v>
      </c>
      <c r="D304" s="27" t="s">
        <v>1155</v>
      </c>
      <c r="E304" s="27" t="s">
        <v>966</v>
      </c>
      <c r="F304" s="27" t="s">
        <v>969</v>
      </c>
      <c r="G304" s="108">
        <v>5.27</v>
      </c>
      <c r="H304" s="109">
        <v>1.1067676444955938</v>
      </c>
      <c r="I304" s="83">
        <v>210012.83576766489</v>
      </c>
      <c r="J304" s="83">
        <v>9125770</v>
      </c>
      <c r="K304" s="84">
        <v>2.3013163356918363E-2</v>
      </c>
      <c r="L304" s="112">
        <v>2.3013163356918363E-2</v>
      </c>
      <c r="M304" s="82"/>
    </row>
    <row r="305" spans="1:13">
      <c r="A305" s="111" t="s">
        <v>1438</v>
      </c>
      <c r="B305" s="107" t="s">
        <v>2258</v>
      </c>
      <c r="C305" s="27" t="s">
        <v>671</v>
      </c>
      <c r="D305" s="27" t="s">
        <v>1164</v>
      </c>
      <c r="E305" s="27" t="s">
        <v>966</v>
      </c>
      <c r="F305" s="27" t="s">
        <v>971</v>
      </c>
      <c r="G305" s="108">
        <v>25.95</v>
      </c>
      <c r="H305" s="109">
        <v>1.0492401554088728</v>
      </c>
      <c r="I305" s="83">
        <v>40433.146643887201</v>
      </c>
      <c r="J305" s="83">
        <v>2535014</v>
      </c>
      <c r="K305" s="84">
        <v>1.5949871142284501E-2</v>
      </c>
      <c r="L305" s="112">
        <v>1.5949871142284501E-2</v>
      </c>
      <c r="M305" s="82"/>
    </row>
    <row r="306" spans="1:13">
      <c r="A306" s="111" t="s">
        <v>281</v>
      </c>
      <c r="B306" s="107" t="s">
        <v>2253</v>
      </c>
      <c r="C306" s="27" t="s">
        <v>108</v>
      </c>
      <c r="D306" s="27" t="s">
        <v>1164</v>
      </c>
      <c r="E306" s="27" t="s">
        <v>966</v>
      </c>
      <c r="F306" s="27" t="s">
        <v>971</v>
      </c>
      <c r="G306" s="108">
        <v>165.11</v>
      </c>
      <c r="H306" s="109">
        <v>1.1442886786745718</v>
      </c>
      <c r="I306" s="83">
        <v>6930.4625926629024</v>
      </c>
      <c r="J306" s="83">
        <v>383326.6875</v>
      </c>
      <c r="K306" s="84">
        <v>1.8079781081412189E-2</v>
      </c>
      <c r="L306" s="112">
        <v>1.8079781081412189E-2</v>
      </c>
      <c r="M306" s="82"/>
    </row>
    <row r="307" spans="1:13">
      <c r="A307" s="111" t="s">
        <v>324</v>
      </c>
      <c r="B307" s="107" t="s">
        <v>2255</v>
      </c>
      <c r="C307" s="27" t="s">
        <v>150</v>
      </c>
      <c r="D307" s="27" t="s">
        <v>1166</v>
      </c>
      <c r="E307" s="27" t="s">
        <v>966</v>
      </c>
      <c r="F307" s="27" t="s">
        <v>971</v>
      </c>
      <c r="G307" s="108">
        <v>172.79</v>
      </c>
      <c r="H307" s="109">
        <v>1.1153727303092336</v>
      </c>
      <c r="I307" s="83">
        <v>6455.0768580892045</v>
      </c>
      <c r="J307" s="83">
        <v>1173290.625</v>
      </c>
      <c r="K307" s="84">
        <v>5.5016862152880534E-3</v>
      </c>
      <c r="L307" s="112">
        <v>5.5016862152880534E-3</v>
      </c>
      <c r="M307" s="82"/>
    </row>
    <row r="308" spans="1:13">
      <c r="A308" s="111" t="s">
        <v>1302</v>
      </c>
      <c r="B308" s="107" t="s">
        <v>2260</v>
      </c>
      <c r="C308" s="27" t="s">
        <v>10</v>
      </c>
      <c r="D308" s="27" t="s">
        <v>1161</v>
      </c>
      <c r="E308" s="27" t="s">
        <v>966</v>
      </c>
      <c r="F308" s="27" t="s">
        <v>971</v>
      </c>
      <c r="G308" s="108">
        <v>75.83</v>
      </c>
      <c r="H308" s="109">
        <v>0.93757894910890593</v>
      </c>
      <c r="I308" s="83">
        <v>12364.221932070499</v>
      </c>
      <c r="J308" s="83">
        <v>2629855.5</v>
      </c>
      <c r="K308" s="84">
        <v>4.7014833826689332E-3</v>
      </c>
      <c r="L308" s="112">
        <v>4.7014833826689332E-3</v>
      </c>
      <c r="M308" s="82"/>
    </row>
    <row r="309" spans="1:13">
      <c r="A309" s="111" t="s">
        <v>1420</v>
      </c>
      <c r="B309" s="107" t="s">
        <v>2247</v>
      </c>
      <c r="C309" s="27" t="s">
        <v>1422</v>
      </c>
      <c r="D309" s="27" t="s">
        <v>1151</v>
      </c>
      <c r="E309" s="27" t="s">
        <v>966</v>
      </c>
      <c r="F309" s="27" t="s">
        <v>971</v>
      </c>
      <c r="G309" s="108">
        <v>103.77</v>
      </c>
      <c r="H309" s="109">
        <v>1.525996283632663</v>
      </c>
      <c r="I309" s="83">
        <v>14705.56310718573</v>
      </c>
      <c r="J309" s="83">
        <v>1980195.75</v>
      </c>
      <c r="K309" s="84">
        <v>7.4263178815456654E-3</v>
      </c>
      <c r="L309" s="112">
        <v>7.4263178815456654E-3</v>
      </c>
      <c r="M309" s="82"/>
    </row>
    <row r="310" spans="1:13">
      <c r="A310" s="111" t="s">
        <v>292</v>
      </c>
      <c r="B310" s="107" t="s">
        <v>2261</v>
      </c>
      <c r="C310" s="27" t="s">
        <v>1379</v>
      </c>
      <c r="D310" s="27" t="s">
        <v>1164</v>
      </c>
      <c r="E310" s="27" t="s">
        <v>966</v>
      </c>
      <c r="F310" s="27" t="s">
        <v>971</v>
      </c>
      <c r="G310" s="108">
        <v>104.69</v>
      </c>
      <c r="H310" s="109">
        <v>0.76762821150137206</v>
      </c>
      <c r="I310" s="83">
        <v>7332.3928885411406</v>
      </c>
      <c r="J310" s="83">
        <v>1409482.375</v>
      </c>
      <c r="K310" s="84">
        <v>5.2021884193771068E-3</v>
      </c>
      <c r="L310" s="112">
        <v>5.2021884193771068E-3</v>
      </c>
      <c r="M310" s="82"/>
    </row>
    <row r="311" spans="1:13">
      <c r="A311" s="111" t="s">
        <v>1458</v>
      </c>
      <c r="B311" s="107" t="s">
        <v>2262</v>
      </c>
      <c r="C311" s="27" t="s">
        <v>1463</v>
      </c>
      <c r="D311" s="27" t="s">
        <v>1159</v>
      </c>
      <c r="E311" s="27" t="s">
        <v>966</v>
      </c>
      <c r="F311" s="27" t="s">
        <v>967</v>
      </c>
      <c r="G311" s="108">
        <v>73.5</v>
      </c>
      <c r="H311" s="109">
        <v>0.5669338660997626</v>
      </c>
      <c r="I311" s="83">
        <v>7713.3859333301034</v>
      </c>
      <c r="J311" s="83">
        <v>2260860.25</v>
      </c>
      <c r="K311" s="84">
        <v>3.4117039889263847E-3</v>
      </c>
      <c r="L311" s="112">
        <v>3.4117039889263847E-3</v>
      </c>
      <c r="M311" s="82"/>
    </row>
    <row r="312" spans="1:13">
      <c r="A312" s="111" t="s">
        <v>298</v>
      </c>
      <c r="B312" s="107" t="s">
        <v>2263</v>
      </c>
      <c r="C312" s="27" t="s">
        <v>124</v>
      </c>
      <c r="D312" s="27" t="s">
        <v>1151</v>
      </c>
      <c r="E312" s="27" t="s">
        <v>966</v>
      </c>
      <c r="F312" s="27" t="s">
        <v>971</v>
      </c>
      <c r="G312" s="108">
        <v>30.52</v>
      </c>
      <c r="H312" s="109">
        <v>0.38801096836680415</v>
      </c>
      <c r="I312" s="83">
        <v>12713.33448121901</v>
      </c>
      <c r="J312" s="83">
        <v>2269352.25</v>
      </c>
      <c r="K312" s="84">
        <v>5.6021864746731188E-3</v>
      </c>
      <c r="L312" s="112">
        <v>5.6021864746731188E-3</v>
      </c>
      <c r="M312" s="82"/>
    </row>
    <row r="313" spans="1:13">
      <c r="A313" s="111" t="s">
        <v>236</v>
      </c>
      <c r="B313" s="107" t="s">
        <v>2266</v>
      </c>
      <c r="C313" s="27" t="s">
        <v>68</v>
      </c>
      <c r="D313" s="27" t="s">
        <v>1148</v>
      </c>
      <c r="E313" s="27" t="s">
        <v>966</v>
      </c>
      <c r="F313" s="27" t="s">
        <v>971</v>
      </c>
      <c r="G313" s="108">
        <v>21.86</v>
      </c>
      <c r="H313" s="109">
        <v>0.23872328622654052</v>
      </c>
      <c r="I313" s="83">
        <v>10920.552892339458</v>
      </c>
      <c r="J313" s="83">
        <v>1891550.125</v>
      </c>
      <c r="K313" s="84">
        <v>5.7733351857854982E-3</v>
      </c>
      <c r="L313" s="112">
        <v>5.7733351857854982E-3</v>
      </c>
      <c r="M313" s="82"/>
    </row>
    <row r="314" spans="1:13">
      <c r="A314" s="111" t="s">
        <v>234</v>
      </c>
      <c r="B314" s="107" t="s">
        <v>2264</v>
      </c>
      <c r="C314" s="27" t="s">
        <v>67</v>
      </c>
      <c r="D314" s="27" t="s">
        <v>1166</v>
      </c>
      <c r="E314" s="27" t="s">
        <v>966</v>
      </c>
      <c r="F314" s="27" t="s">
        <v>971</v>
      </c>
      <c r="G314" s="108">
        <v>42.91</v>
      </c>
      <c r="H314" s="109">
        <v>0.32084533198015541</v>
      </c>
      <c r="I314" s="83">
        <v>7477.1692374774038</v>
      </c>
      <c r="J314" s="83">
        <v>1337017.25</v>
      </c>
      <c r="K314" s="84">
        <v>5.5924254062372078E-3</v>
      </c>
      <c r="L314" s="112">
        <v>5.5924254062372078E-3</v>
      </c>
      <c r="M314" s="82"/>
    </row>
    <row r="315" spans="1:13">
      <c r="A315" s="111" t="s">
        <v>328</v>
      </c>
      <c r="B315" s="107" t="s">
        <v>2268</v>
      </c>
      <c r="C315" s="27" t="s">
        <v>154</v>
      </c>
      <c r="D315" s="27" t="s">
        <v>1161</v>
      </c>
      <c r="E315" s="27" t="s">
        <v>966</v>
      </c>
      <c r="F315" s="27" t="s">
        <v>970</v>
      </c>
      <c r="G315" s="108">
        <v>97.45</v>
      </c>
      <c r="H315" s="109">
        <v>-0.10972130620554948</v>
      </c>
      <c r="I315" s="83">
        <v>-1125.924127301688</v>
      </c>
      <c r="J315" s="83">
        <v>2304529</v>
      </c>
      <c r="K315" s="84">
        <v>-4.8857017086861919E-4</v>
      </c>
      <c r="L315" s="112">
        <v>4.8857017086861919E-4</v>
      </c>
      <c r="M315" s="82"/>
    </row>
    <row r="316" spans="1:13">
      <c r="A316" s="111" t="s">
        <v>1311</v>
      </c>
      <c r="B316" s="107" t="s">
        <v>2270</v>
      </c>
      <c r="C316" s="27" t="s">
        <v>17</v>
      </c>
      <c r="D316" s="27" t="s">
        <v>1148</v>
      </c>
      <c r="E316" s="27" t="s">
        <v>966</v>
      </c>
      <c r="F316" s="27" t="s">
        <v>970</v>
      </c>
      <c r="G316" s="108">
        <v>113.74</v>
      </c>
      <c r="H316" s="109">
        <v>-0.13583753520526351</v>
      </c>
      <c r="I316" s="83">
        <v>-1194.2811254199362</v>
      </c>
      <c r="J316" s="83">
        <v>408380.3125</v>
      </c>
      <c r="K316" s="84">
        <v>-2.924433643994374E-3</v>
      </c>
      <c r="L316" s="112">
        <v>2.924433643994374E-3</v>
      </c>
      <c r="M316" s="82"/>
    </row>
    <row r="317" spans="1:13">
      <c r="A317" s="111" t="s">
        <v>270</v>
      </c>
      <c r="B317" s="107" t="s">
        <v>2272</v>
      </c>
      <c r="C317" s="27" t="s">
        <v>99</v>
      </c>
      <c r="D317" s="27" t="s">
        <v>1164</v>
      </c>
      <c r="E317" s="27" t="s">
        <v>966</v>
      </c>
      <c r="F317" s="27" t="s">
        <v>970</v>
      </c>
      <c r="G317" s="108">
        <v>115.84</v>
      </c>
      <c r="H317" s="109">
        <v>-0.15541795868500527</v>
      </c>
      <c r="I317" s="83">
        <v>-1341.6605549465235</v>
      </c>
      <c r="J317" s="83">
        <v>981688.375</v>
      </c>
      <c r="K317" s="84">
        <v>-1.3666868113280076E-3</v>
      </c>
      <c r="L317" s="112">
        <v>1.3666868113280076E-3</v>
      </c>
      <c r="M317" s="82"/>
    </row>
    <row r="318" spans="1:13">
      <c r="A318" s="111" t="s">
        <v>1235</v>
      </c>
      <c r="B318" s="107" t="s">
        <v>2276</v>
      </c>
      <c r="C318" s="27" t="s">
        <v>754</v>
      </c>
      <c r="D318" s="27" t="s">
        <v>1164</v>
      </c>
      <c r="E318" s="27" t="s">
        <v>966</v>
      </c>
      <c r="F318" s="27" t="s">
        <v>970</v>
      </c>
      <c r="G318" s="108">
        <v>86.7</v>
      </c>
      <c r="H318" s="109">
        <v>-0.24335076188994498</v>
      </c>
      <c r="I318" s="83">
        <v>-2806.8138626291234</v>
      </c>
      <c r="J318" s="83">
        <v>1144643.125</v>
      </c>
      <c r="K318" s="84">
        <v>-2.4521301017984302E-3</v>
      </c>
      <c r="L318" s="112">
        <v>2.4521301017984302E-3</v>
      </c>
      <c r="M318" s="82"/>
    </row>
    <row r="319" spans="1:13">
      <c r="A319" s="111" t="s">
        <v>267</v>
      </c>
      <c r="B319" s="107" t="s">
        <v>2280</v>
      </c>
      <c r="C319" s="27" t="s">
        <v>97</v>
      </c>
      <c r="D319" s="27" t="s">
        <v>1163</v>
      </c>
      <c r="E319" s="27" t="s">
        <v>966</v>
      </c>
      <c r="F319" s="27" t="s">
        <v>970</v>
      </c>
      <c r="G319" s="108">
        <v>56.48</v>
      </c>
      <c r="H319" s="109">
        <v>-0.59877620062221915</v>
      </c>
      <c r="I319" s="83">
        <v>-10601.561625747507</v>
      </c>
      <c r="J319" s="83">
        <v>1144344.375</v>
      </c>
      <c r="K319" s="84">
        <v>-9.2643105146975584E-3</v>
      </c>
      <c r="L319" s="112">
        <v>9.2643105146975584E-3</v>
      </c>
      <c r="M319" s="82"/>
    </row>
    <row r="320" spans="1:13">
      <c r="A320" s="111" t="s">
        <v>1289</v>
      </c>
      <c r="B320" s="107" t="s">
        <v>2278</v>
      </c>
      <c r="C320" s="27" t="s">
        <v>687</v>
      </c>
      <c r="D320" s="27" t="s">
        <v>1159</v>
      </c>
      <c r="E320" s="27" t="s">
        <v>966</v>
      </c>
      <c r="F320" s="27" t="s">
        <v>970</v>
      </c>
      <c r="G320" s="108">
        <v>87.64</v>
      </c>
      <c r="H320" s="109">
        <v>-0.57646872614881461</v>
      </c>
      <c r="I320" s="83">
        <v>-6577.6897095939603</v>
      </c>
      <c r="J320" s="83">
        <v>618001.9375</v>
      </c>
      <c r="K320" s="84">
        <v>-1.0643477488440658E-2</v>
      </c>
      <c r="L320" s="112">
        <v>1.0643477488440658E-2</v>
      </c>
      <c r="M320" s="82"/>
    </row>
    <row r="321" spans="1:13">
      <c r="A321" s="111" t="s">
        <v>1009</v>
      </c>
      <c r="B321" s="107" t="s">
        <v>2274</v>
      </c>
      <c r="C321" s="27" t="s">
        <v>894</v>
      </c>
      <c r="D321" s="27" t="s">
        <v>1167</v>
      </c>
      <c r="E321" s="27" t="s">
        <v>966</v>
      </c>
      <c r="F321" s="27" t="s">
        <v>970</v>
      </c>
      <c r="G321" s="108">
        <v>165.31</v>
      </c>
      <c r="H321" s="109">
        <v>-0.17572876379336796</v>
      </c>
      <c r="I321" s="83">
        <v>-1063.025611235666</v>
      </c>
      <c r="J321" s="83">
        <v>1283175.75</v>
      </c>
      <c r="K321" s="84">
        <v>-8.2843337028124637E-4</v>
      </c>
      <c r="L321" s="112">
        <v>8.2843337028124637E-4</v>
      </c>
      <c r="M321" s="82"/>
    </row>
    <row r="322" spans="1:13">
      <c r="A322" s="111" t="s">
        <v>1022</v>
      </c>
      <c r="B322" s="107" t="s">
        <v>2222</v>
      </c>
      <c r="C322" s="27" t="s">
        <v>906</v>
      </c>
      <c r="D322" s="27" t="s">
        <v>1165</v>
      </c>
      <c r="E322" s="27" t="s">
        <v>966</v>
      </c>
      <c r="F322" s="27" t="s">
        <v>971</v>
      </c>
      <c r="G322" s="108">
        <v>67.239999999999995</v>
      </c>
      <c r="H322" s="109">
        <v>2.3877711119866469</v>
      </c>
      <c r="I322" s="83">
        <v>35511.170612531932</v>
      </c>
      <c r="J322" s="83">
        <v>13375296</v>
      </c>
      <c r="K322" s="84">
        <v>2.6549820364747019E-3</v>
      </c>
      <c r="L322" s="112">
        <v>2.6549820364747019E-3</v>
      </c>
      <c r="M322" s="82"/>
    </row>
    <row r="323" spans="1:13">
      <c r="A323" s="111" t="s">
        <v>311</v>
      </c>
      <c r="B323" s="107" t="s">
        <v>2282</v>
      </c>
      <c r="C323" s="27" t="s">
        <v>137</v>
      </c>
      <c r="D323" s="27" t="s">
        <v>1164</v>
      </c>
      <c r="E323" s="27" t="s">
        <v>966</v>
      </c>
      <c r="F323" s="27" t="s">
        <v>970</v>
      </c>
      <c r="G323" s="108">
        <v>42.53</v>
      </c>
      <c r="H323" s="109">
        <v>-1.1176977219864179</v>
      </c>
      <c r="I323" s="83">
        <v>-26280.219186137263</v>
      </c>
      <c r="J323" s="83">
        <v>2154950</v>
      </c>
      <c r="K323" s="84">
        <v>-1.2195280255290037E-2</v>
      </c>
      <c r="L323" s="112">
        <v>1.2195280255290037E-2</v>
      </c>
      <c r="M323" s="82"/>
    </row>
    <row r="324" spans="1:13">
      <c r="A324" s="111" t="s">
        <v>244</v>
      </c>
      <c r="B324" s="107" t="s">
        <v>2284</v>
      </c>
      <c r="C324" s="27" t="s">
        <v>76</v>
      </c>
      <c r="D324" s="27" t="s">
        <v>1156</v>
      </c>
      <c r="E324" s="27" t="s">
        <v>966</v>
      </c>
      <c r="F324" s="27" t="s">
        <v>970</v>
      </c>
      <c r="G324" s="108">
        <v>40.96</v>
      </c>
      <c r="H324" s="109">
        <v>-1.2689814176202943</v>
      </c>
      <c r="I324" s="83">
        <v>-30980.991641120461</v>
      </c>
      <c r="J324" s="83">
        <v>963599.875</v>
      </c>
      <c r="K324" s="84">
        <v>-3.2151303092604139E-2</v>
      </c>
      <c r="L324" s="112">
        <v>3.2151303092604139E-2</v>
      </c>
      <c r="M324" s="82"/>
    </row>
    <row r="325" spans="1:13">
      <c r="A325" s="111" t="s">
        <v>338</v>
      </c>
      <c r="B325" s="107" t="s">
        <v>2286</v>
      </c>
      <c r="C325" s="27" t="s">
        <v>225</v>
      </c>
      <c r="D325" s="27" t="s">
        <v>1159</v>
      </c>
      <c r="E325" s="27" t="s">
        <v>966</v>
      </c>
      <c r="F325" s="27" t="s">
        <v>970</v>
      </c>
      <c r="G325" s="108">
        <v>92.76</v>
      </c>
      <c r="H325" s="109">
        <v>-1.2722381094924178</v>
      </c>
      <c r="I325" s="83">
        <v>-13715.374185989844</v>
      </c>
      <c r="J325" s="83">
        <v>897771.625</v>
      </c>
      <c r="K325" s="84">
        <v>-1.5277130401609478E-2</v>
      </c>
      <c r="L325" s="112">
        <v>1.5277130401609478E-2</v>
      </c>
      <c r="M325" s="82"/>
    </row>
    <row r="326" spans="1:13">
      <c r="A326" s="111" t="s">
        <v>1252</v>
      </c>
      <c r="B326" s="107" t="s">
        <v>2288</v>
      </c>
      <c r="C326" s="27" t="s">
        <v>769</v>
      </c>
      <c r="D326" s="27" t="s">
        <v>1153</v>
      </c>
      <c r="E326" s="27" t="s">
        <v>966</v>
      </c>
      <c r="F326" s="27" t="s">
        <v>970</v>
      </c>
      <c r="G326" s="108">
        <v>81.61</v>
      </c>
      <c r="H326" s="109">
        <v>-1.4834866232152211</v>
      </c>
      <c r="I326" s="83">
        <v>-18177.755461527035</v>
      </c>
      <c r="J326" s="83">
        <v>1081729.625</v>
      </c>
      <c r="K326" s="84">
        <v>-1.6804342824138736E-2</v>
      </c>
      <c r="L326" s="112">
        <v>1.6804342824138736E-2</v>
      </c>
      <c r="M326" s="82"/>
    </row>
    <row r="327" spans="1:13">
      <c r="A327" s="111" t="s">
        <v>288</v>
      </c>
      <c r="B327" s="107" t="s">
        <v>2289</v>
      </c>
      <c r="C327" s="27" t="s">
        <v>115</v>
      </c>
      <c r="D327" s="27" t="s">
        <v>1165</v>
      </c>
      <c r="E327" s="27" t="s">
        <v>966</v>
      </c>
      <c r="F327" s="27" t="s">
        <v>970</v>
      </c>
      <c r="G327" s="108">
        <v>42.95</v>
      </c>
      <c r="H327" s="109">
        <v>-1.6064315271839045</v>
      </c>
      <c r="I327" s="83">
        <v>-37402.363845958193</v>
      </c>
      <c r="J327" s="83">
        <v>3307887.75</v>
      </c>
      <c r="K327" s="84">
        <v>-1.1307023294837678E-2</v>
      </c>
      <c r="L327" s="112">
        <v>1.1307023294837678E-2</v>
      </c>
      <c r="M327" s="82"/>
    </row>
    <row r="328" spans="1:13">
      <c r="A328" s="111" t="s">
        <v>1308</v>
      </c>
      <c r="B328" s="107" t="s">
        <v>2291</v>
      </c>
      <c r="C328" s="27" t="s">
        <v>15</v>
      </c>
      <c r="D328" s="27" t="s">
        <v>1153</v>
      </c>
      <c r="E328" s="27" t="s">
        <v>966</v>
      </c>
      <c r="F328" s="27" t="s">
        <v>970</v>
      </c>
      <c r="G328" s="108">
        <v>92.26</v>
      </c>
      <c r="H328" s="109">
        <v>-1.8269928012911147</v>
      </c>
      <c r="I328" s="83">
        <v>-19802.653384902609</v>
      </c>
      <c r="J328" s="83">
        <v>936061.25</v>
      </c>
      <c r="K328" s="84">
        <v>-2.1155296605753746E-2</v>
      </c>
      <c r="L328" s="112">
        <v>2.1155296605753746E-2</v>
      </c>
      <c r="M328" s="82"/>
    </row>
    <row r="329" spans="1:13">
      <c r="A329" s="111" t="s">
        <v>321</v>
      </c>
      <c r="B329" s="107" t="s">
        <v>2295</v>
      </c>
      <c r="C329" s="27" t="s">
        <v>147</v>
      </c>
      <c r="D329" s="27" t="s">
        <v>1150</v>
      </c>
      <c r="E329" s="27" t="s">
        <v>966</v>
      </c>
      <c r="F329" s="27" t="s">
        <v>970</v>
      </c>
      <c r="G329" s="108">
        <v>129.62</v>
      </c>
      <c r="H329" s="109">
        <v>-1.8967711778612188</v>
      </c>
      <c r="I329" s="83">
        <v>-14633.321847409494</v>
      </c>
      <c r="J329" s="83">
        <v>489230.90625</v>
      </c>
      <c r="K329" s="84">
        <v>-2.9910869612828132E-2</v>
      </c>
      <c r="L329" s="112">
        <v>2.9910869612828132E-2</v>
      </c>
      <c r="M329" s="82"/>
    </row>
    <row r="330" spans="1:13">
      <c r="A330" s="111" t="s">
        <v>1318</v>
      </c>
      <c r="B330" s="107" t="s">
        <v>2297</v>
      </c>
      <c r="C330" s="27" t="s">
        <v>24</v>
      </c>
      <c r="D330" s="27" t="s">
        <v>1157</v>
      </c>
      <c r="E330" s="27" t="s">
        <v>966</v>
      </c>
      <c r="F330" s="27" t="s">
        <v>970</v>
      </c>
      <c r="G330" s="108">
        <v>37.840000000000003</v>
      </c>
      <c r="H330" s="109">
        <v>-1.9411442453022223</v>
      </c>
      <c r="I330" s="83">
        <v>-51298.737983673942</v>
      </c>
      <c r="J330" s="83">
        <v>2495555</v>
      </c>
      <c r="K330" s="84">
        <v>-2.0556043839416057E-2</v>
      </c>
      <c r="L330" s="112">
        <v>2.0556043839416057E-2</v>
      </c>
      <c r="M330" s="82"/>
    </row>
    <row r="331" spans="1:13">
      <c r="A331" s="111" t="s">
        <v>258</v>
      </c>
      <c r="B331" s="107" t="s">
        <v>2293</v>
      </c>
      <c r="C331" s="27" t="s">
        <v>88</v>
      </c>
      <c r="D331" s="27" t="s">
        <v>1148</v>
      </c>
      <c r="E331" s="27" t="s">
        <v>966</v>
      </c>
      <c r="F331" s="27" t="s">
        <v>970</v>
      </c>
      <c r="G331" s="108">
        <v>104.03</v>
      </c>
      <c r="H331" s="109">
        <v>-1.8740424428229325</v>
      </c>
      <c r="I331" s="83">
        <v>-18014.442399528332</v>
      </c>
      <c r="J331" s="83">
        <v>2400737</v>
      </c>
      <c r="K331" s="84">
        <v>-7.5037134011465365E-3</v>
      </c>
      <c r="L331" s="112">
        <v>7.5037134011465365E-3</v>
      </c>
      <c r="M331" s="82"/>
    </row>
    <row r="332" spans="1:13">
      <c r="A332" s="111" t="s">
        <v>293</v>
      </c>
      <c r="B332" s="107" t="s">
        <v>2300</v>
      </c>
      <c r="C332" s="27" t="s">
        <v>119</v>
      </c>
      <c r="D332" s="27" t="s">
        <v>1160</v>
      </c>
      <c r="E332" s="27" t="s">
        <v>966</v>
      </c>
      <c r="F332" s="27" t="s">
        <v>970</v>
      </c>
      <c r="G332" s="108">
        <v>18.489999999999998</v>
      </c>
      <c r="H332" s="109">
        <v>-2.3922706105165479</v>
      </c>
      <c r="I332" s="83">
        <v>-129381.8610338858</v>
      </c>
      <c r="J332" s="83">
        <v>10214602</v>
      </c>
      <c r="K332" s="84">
        <v>-1.2666363411309202E-2</v>
      </c>
      <c r="L332" s="112">
        <v>1.2666363411309202E-2</v>
      </c>
      <c r="M332" s="82"/>
    </row>
    <row r="333" spans="1:13">
      <c r="A333" s="111" t="s">
        <v>1283</v>
      </c>
      <c r="B333" s="107" t="s">
        <v>2298</v>
      </c>
      <c r="C333" s="27" t="s">
        <v>797</v>
      </c>
      <c r="D333" s="27" t="s">
        <v>1160</v>
      </c>
      <c r="E333" s="27" t="s">
        <v>966</v>
      </c>
      <c r="F333" s="27" t="s">
        <v>970</v>
      </c>
      <c r="G333" s="108">
        <v>33.68</v>
      </c>
      <c r="H333" s="109">
        <v>-2.3863148533157434</v>
      </c>
      <c r="I333" s="83">
        <v>-70852.578780158656</v>
      </c>
      <c r="J333" s="83">
        <v>3773403.75</v>
      </c>
      <c r="K333" s="84">
        <v>-1.8776834782166806E-2</v>
      </c>
      <c r="L333" s="112">
        <v>1.8776834782166806E-2</v>
      </c>
      <c r="M333" s="82"/>
    </row>
    <row r="334" spans="1:13">
      <c r="A334" s="111" t="s">
        <v>1314</v>
      </c>
      <c r="B334" s="107" t="s">
        <v>2304</v>
      </c>
      <c r="C334" s="27" t="s">
        <v>20</v>
      </c>
      <c r="D334" s="27" t="s">
        <v>1168</v>
      </c>
      <c r="E334" s="27" t="s">
        <v>966</v>
      </c>
      <c r="F334" s="27" t="s">
        <v>970</v>
      </c>
      <c r="G334" s="108">
        <v>21.3</v>
      </c>
      <c r="H334" s="109">
        <v>-2.6094718752647115</v>
      </c>
      <c r="I334" s="83">
        <v>-122510.41667909443</v>
      </c>
      <c r="J334" s="83">
        <v>4058634.5</v>
      </c>
      <c r="K334" s="84">
        <v>-3.0185131644422387E-2</v>
      </c>
      <c r="L334" s="112">
        <v>3.0185131644422387E-2</v>
      </c>
      <c r="M334" s="82"/>
    </row>
    <row r="335" spans="1:13">
      <c r="A335" s="111" t="s">
        <v>1331</v>
      </c>
      <c r="B335" s="107" t="s">
        <v>2306</v>
      </c>
      <c r="C335" s="27" t="s">
        <v>37</v>
      </c>
      <c r="D335" s="27" t="s">
        <v>1166</v>
      </c>
      <c r="E335" s="27" t="s">
        <v>966</v>
      </c>
      <c r="F335" s="27" t="s">
        <v>970</v>
      </c>
      <c r="G335" s="108">
        <v>47.73</v>
      </c>
      <c r="H335" s="109">
        <v>-2.6442888323708811</v>
      </c>
      <c r="I335" s="83">
        <v>-55400.981193607397</v>
      </c>
      <c r="J335" s="83">
        <v>957178.875</v>
      </c>
      <c r="K335" s="84">
        <v>-5.7879444104538345E-2</v>
      </c>
      <c r="L335" s="112">
        <v>5.7879444104538345E-2</v>
      </c>
      <c r="M335" s="82"/>
    </row>
    <row r="336" spans="1:13">
      <c r="A336" s="111" t="s">
        <v>1545</v>
      </c>
      <c r="B336" s="107" t="s">
        <v>2302</v>
      </c>
      <c r="C336" s="27" t="s">
        <v>1548</v>
      </c>
      <c r="D336" s="27" t="s">
        <v>1157</v>
      </c>
      <c r="E336" s="27" t="s">
        <v>966</v>
      </c>
      <c r="F336" s="27" t="s">
        <v>970</v>
      </c>
      <c r="G336" s="108">
        <v>101.43</v>
      </c>
      <c r="H336" s="109">
        <v>-2.5679550639036308</v>
      </c>
      <c r="I336" s="83">
        <v>-25317.51024256759</v>
      </c>
      <c r="J336" s="83">
        <v>1277399.625</v>
      </c>
      <c r="K336" s="84">
        <v>-1.981956918342417E-2</v>
      </c>
      <c r="L336" s="112">
        <v>1.981956918342417E-2</v>
      </c>
      <c r="M336" s="82"/>
    </row>
    <row r="337" spans="1:13">
      <c r="A337" s="111" t="s">
        <v>1493</v>
      </c>
      <c r="B337" s="107" t="s">
        <v>2310</v>
      </c>
      <c r="C337" s="27" t="s">
        <v>1520</v>
      </c>
      <c r="D337" s="27" t="s">
        <v>1163</v>
      </c>
      <c r="E337" s="27" t="s">
        <v>966</v>
      </c>
      <c r="F337" s="27" t="s">
        <v>970</v>
      </c>
      <c r="G337" s="108">
        <v>33.770000000000003</v>
      </c>
      <c r="H337" s="109">
        <v>-2.9393774581211467</v>
      </c>
      <c r="I337" s="83">
        <v>-87041.085523279442</v>
      </c>
      <c r="J337" s="83">
        <v>1901875</v>
      </c>
      <c r="K337" s="84">
        <v>-4.576593389327871E-2</v>
      </c>
      <c r="L337" s="112">
        <v>4.576593389327871E-2</v>
      </c>
      <c r="M337" s="82"/>
    </row>
    <row r="338" spans="1:13">
      <c r="A338" s="111" t="s">
        <v>1317</v>
      </c>
      <c r="B338" s="107" t="s">
        <v>2308</v>
      </c>
      <c r="C338" s="27" t="s">
        <v>23</v>
      </c>
      <c r="D338" s="27" t="s">
        <v>1164</v>
      </c>
      <c r="E338" s="27" t="s">
        <v>966</v>
      </c>
      <c r="F338" s="27" t="s">
        <v>970</v>
      </c>
      <c r="G338" s="108">
        <v>89.34</v>
      </c>
      <c r="H338" s="109">
        <v>-2.7046424328072503</v>
      </c>
      <c r="I338" s="83">
        <v>-30273.588905386729</v>
      </c>
      <c r="J338" s="83">
        <v>1776482</v>
      </c>
      <c r="K338" s="84">
        <v>-1.7041314747566667E-2</v>
      </c>
      <c r="L338" s="112">
        <v>1.7041314747566667E-2</v>
      </c>
      <c r="M338" s="82"/>
    </row>
    <row r="339" spans="1:13">
      <c r="A339" s="111" t="s">
        <v>1222</v>
      </c>
      <c r="B339" s="107" t="s">
        <v>2311</v>
      </c>
      <c r="C339" s="27" t="s">
        <v>743</v>
      </c>
      <c r="D339" s="27" t="s">
        <v>1160</v>
      </c>
      <c r="E339" s="27" t="s">
        <v>966</v>
      </c>
      <c r="F339" s="27" t="s">
        <v>968</v>
      </c>
      <c r="G339" s="108">
        <v>8.02</v>
      </c>
      <c r="H339" s="109">
        <v>-3.1455359847709241</v>
      </c>
      <c r="I339" s="83">
        <v>-392211.4694228085</v>
      </c>
      <c r="J339" s="83">
        <v>27782640</v>
      </c>
      <c r="K339" s="84">
        <v>-1.4117141834714358E-2</v>
      </c>
      <c r="L339" s="112">
        <v>1.4117141834714358E-2</v>
      </c>
      <c r="M339" s="82"/>
    </row>
    <row r="340" spans="1:13">
      <c r="A340" s="111" t="s">
        <v>817</v>
      </c>
      <c r="B340" s="107" t="s">
        <v>2313</v>
      </c>
      <c r="C340" s="27" t="s">
        <v>672</v>
      </c>
      <c r="D340" s="27" t="s">
        <v>1159</v>
      </c>
      <c r="E340" s="27" t="s">
        <v>966</v>
      </c>
      <c r="F340" s="27" t="s">
        <v>970</v>
      </c>
      <c r="G340" s="108">
        <v>62.51</v>
      </c>
      <c r="H340" s="109">
        <v>-3.1707949272732825</v>
      </c>
      <c r="I340" s="83">
        <v>-50724.602899908539</v>
      </c>
      <c r="J340" s="83">
        <v>1372879.25</v>
      </c>
      <c r="K340" s="84">
        <v>-3.6947606936231676E-2</v>
      </c>
      <c r="L340" s="112">
        <v>3.6947606936231676E-2</v>
      </c>
      <c r="M340" s="82"/>
    </row>
    <row r="341" spans="1:13">
      <c r="A341" s="111" t="s">
        <v>283</v>
      </c>
      <c r="B341" s="107" t="s">
        <v>2317</v>
      </c>
      <c r="C341" s="27" t="s">
        <v>110</v>
      </c>
      <c r="D341" s="27" t="s">
        <v>1168</v>
      </c>
      <c r="E341" s="27" t="s">
        <v>966</v>
      </c>
      <c r="F341" s="27" t="s">
        <v>970</v>
      </c>
      <c r="G341" s="108">
        <v>58.92</v>
      </c>
      <c r="H341" s="109">
        <v>-3.4330706751842031</v>
      </c>
      <c r="I341" s="83">
        <v>-58266.644181673502</v>
      </c>
      <c r="J341" s="83">
        <v>1736233.625</v>
      </c>
      <c r="K341" s="84">
        <v>-3.355921884168872E-2</v>
      </c>
      <c r="L341" s="112">
        <v>3.355921884168872E-2</v>
      </c>
      <c r="M341" s="82"/>
    </row>
    <row r="342" spans="1:13">
      <c r="A342" s="111" t="s">
        <v>1295</v>
      </c>
      <c r="B342" s="107" t="s">
        <v>2315</v>
      </c>
      <c r="C342" s="27" t="s">
        <v>3</v>
      </c>
      <c r="D342" s="27" t="s">
        <v>1165</v>
      </c>
      <c r="E342" s="27" t="s">
        <v>966</v>
      </c>
      <c r="F342" s="27" t="s">
        <v>970</v>
      </c>
      <c r="G342" s="108">
        <v>11.51</v>
      </c>
      <c r="H342" s="109">
        <v>-3.4235167345006712</v>
      </c>
      <c r="I342" s="83">
        <v>-297438.46520422865</v>
      </c>
      <c r="J342" s="83">
        <v>8653152</v>
      </c>
      <c r="K342" s="84">
        <v>-3.4373424297207383E-2</v>
      </c>
      <c r="L342" s="112">
        <v>3.4373424297207383E-2</v>
      </c>
      <c r="M342" s="82"/>
    </row>
    <row r="343" spans="1:13">
      <c r="A343" s="111" t="s">
        <v>239</v>
      </c>
      <c r="B343" s="107" t="s">
        <v>2318</v>
      </c>
      <c r="C343" s="27" t="s">
        <v>71</v>
      </c>
      <c r="D343" s="27" t="s">
        <v>1151</v>
      </c>
      <c r="E343" s="27" t="s">
        <v>966</v>
      </c>
      <c r="F343" s="27" t="s">
        <v>970</v>
      </c>
      <c r="G343" s="108">
        <v>47.81</v>
      </c>
      <c r="H343" s="109">
        <v>-3.592161925775049</v>
      </c>
      <c r="I343" s="83">
        <v>-75134.112649551331</v>
      </c>
      <c r="J343" s="83">
        <v>2234913.75</v>
      </c>
      <c r="K343" s="84">
        <v>-3.3618349992052862E-2</v>
      </c>
      <c r="L343" s="112">
        <v>3.3618349992052862E-2</v>
      </c>
      <c r="M343" s="82"/>
    </row>
    <row r="344" spans="1:13">
      <c r="A344" s="111" t="s">
        <v>1389</v>
      </c>
      <c r="B344" s="107" t="s">
        <v>2322</v>
      </c>
      <c r="C344" s="27" t="s">
        <v>1375</v>
      </c>
      <c r="D344" s="27" t="s">
        <v>1154</v>
      </c>
      <c r="E344" s="27" t="s">
        <v>966</v>
      </c>
      <c r="F344" s="27" t="s">
        <v>970</v>
      </c>
      <c r="G344" s="108">
        <v>20.53</v>
      </c>
      <c r="H344" s="109">
        <v>-3.9149074641837371</v>
      </c>
      <c r="I344" s="83">
        <v>-190692.03430023073</v>
      </c>
      <c r="J344" s="83">
        <v>5636506</v>
      </c>
      <c r="K344" s="84">
        <v>-3.3831603177612288E-2</v>
      </c>
      <c r="L344" s="112">
        <v>3.3831603177612288E-2</v>
      </c>
      <c r="M344" s="82"/>
    </row>
    <row r="345" spans="1:13">
      <c r="A345" s="111" t="s">
        <v>303</v>
      </c>
      <c r="B345" s="107" t="s">
        <v>2324</v>
      </c>
      <c r="C345" s="27" t="s">
        <v>129</v>
      </c>
      <c r="D345" s="27" t="s">
        <v>1155</v>
      </c>
      <c r="E345" s="27" t="s">
        <v>966</v>
      </c>
      <c r="F345" s="27" t="s">
        <v>970</v>
      </c>
      <c r="G345" s="108">
        <v>62.47</v>
      </c>
      <c r="H345" s="109">
        <v>-3.9165819513120672</v>
      </c>
      <c r="I345" s="83">
        <v>-62695.405015400465</v>
      </c>
      <c r="J345" s="83">
        <v>677813.9375</v>
      </c>
      <c r="K345" s="84">
        <v>-9.2496482510586411E-2</v>
      </c>
      <c r="L345" s="112">
        <v>9.2496482510586411E-2</v>
      </c>
      <c r="M345" s="82"/>
    </row>
    <row r="346" spans="1:13">
      <c r="A346" s="111" t="s">
        <v>1260</v>
      </c>
      <c r="B346" s="107" t="s">
        <v>2326</v>
      </c>
      <c r="C346" s="27" t="s">
        <v>776</v>
      </c>
      <c r="D346" s="27" t="s">
        <v>1163</v>
      </c>
      <c r="E346" s="27" t="s">
        <v>966</v>
      </c>
      <c r="F346" s="27" t="s">
        <v>970</v>
      </c>
      <c r="G346" s="108">
        <v>102.67</v>
      </c>
      <c r="H346" s="109">
        <v>-4.0055659562156904</v>
      </c>
      <c r="I346" s="83">
        <v>-39013.986132421254</v>
      </c>
      <c r="J346" s="83">
        <v>677088.5</v>
      </c>
      <c r="K346" s="84">
        <v>-5.7620216755152769E-2</v>
      </c>
      <c r="L346" s="112">
        <v>5.7620216755152769E-2</v>
      </c>
      <c r="M346" s="82"/>
    </row>
    <row r="347" spans="1:13">
      <c r="A347" s="111" t="s">
        <v>237</v>
      </c>
      <c r="B347" s="107" t="s">
        <v>2328</v>
      </c>
      <c r="C347" s="27" t="s">
        <v>69</v>
      </c>
      <c r="D347" s="27" t="s">
        <v>1168</v>
      </c>
      <c r="E347" s="27" t="s">
        <v>966</v>
      </c>
      <c r="F347" s="27" t="s">
        <v>970</v>
      </c>
      <c r="G347" s="108">
        <v>73</v>
      </c>
      <c r="H347" s="109">
        <v>-4.1374402193834348</v>
      </c>
      <c r="I347" s="83">
        <v>-56677.263279225139</v>
      </c>
      <c r="J347" s="83">
        <v>1745166.75</v>
      </c>
      <c r="K347" s="84">
        <v>-3.2476703603953681E-2</v>
      </c>
      <c r="L347" s="112">
        <v>3.2476703603953681E-2</v>
      </c>
      <c r="M347" s="82"/>
    </row>
    <row r="348" spans="1:13">
      <c r="A348" s="111" t="s">
        <v>260</v>
      </c>
      <c r="B348" s="107" t="s">
        <v>2320</v>
      </c>
      <c r="C348" s="27" t="s">
        <v>90</v>
      </c>
      <c r="D348" s="27" t="s">
        <v>1155</v>
      </c>
      <c r="E348" s="27" t="s">
        <v>966</v>
      </c>
      <c r="F348" s="27" t="s">
        <v>970</v>
      </c>
      <c r="G348" s="108">
        <v>88.48</v>
      </c>
      <c r="H348" s="109">
        <v>-3.8699081115257519</v>
      </c>
      <c r="I348" s="83">
        <v>-43737.659488310936</v>
      </c>
      <c r="J348" s="83">
        <v>2069207.125</v>
      </c>
      <c r="K348" s="84">
        <v>-2.1137400388716976E-2</v>
      </c>
      <c r="L348" s="112">
        <v>2.1137400388716976E-2</v>
      </c>
      <c r="M348" s="82"/>
    </row>
    <row r="349" spans="1:13">
      <c r="A349" s="111" t="s">
        <v>1281</v>
      </c>
      <c r="B349" s="107" t="s">
        <v>2332</v>
      </c>
      <c r="C349" s="27" t="s">
        <v>795</v>
      </c>
      <c r="D349" s="27" t="s">
        <v>1164</v>
      </c>
      <c r="E349" s="27" t="s">
        <v>966</v>
      </c>
      <c r="F349" s="27" t="s">
        <v>970</v>
      </c>
      <c r="G349" s="108">
        <v>48.22</v>
      </c>
      <c r="H349" s="109">
        <v>-4.6975154077785657</v>
      </c>
      <c r="I349" s="83">
        <v>-97418.403313533083</v>
      </c>
      <c r="J349" s="83">
        <v>1370389.25</v>
      </c>
      <c r="K349" s="84">
        <v>-7.1088125737656715E-2</v>
      </c>
      <c r="L349" s="112">
        <v>7.1088125737656715E-2</v>
      </c>
      <c r="M349" s="82"/>
    </row>
    <row r="350" spans="1:13">
      <c r="A350" s="111" t="s">
        <v>294</v>
      </c>
      <c r="B350" s="107" t="s">
        <v>2330</v>
      </c>
      <c r="C350" s="27" t="s">
        <v>120</v>
      </c>
      <c r="D350" s="27" t="s">
        <v>1149</v>
      </c>
      <c r="E350" s="27" t="s">
        <v>966</v>
      </c>
      <c r="F350" s="27" t="s">
        <v>970</v>
      </c>
      <c r="G350" s="108">
        <v>103.13</v>
      </c>
      <c r="H350" s="109">
        <v>-4.6612212019898838</v>
      </c>
      <c r="I350" s="83">
        <v>-45197.529351206089</v>
      </c>
      <c r="J350" s="83">
        <v>1280067.25</v>
      </c>
      <c r="K350" s="84">
        <v>-3.5308714718860351E-2</v>
      </c>
      <c r="L350" s="112">
        <v>3.5308714718860351E-2</v>
      </c>
      <c r="M350" s="82"/>
    </row>
    <row r="351" spans="1:13">
      <c r="A351" s="111" t="s">
        <v>1553</v>
      </c>
      <c r="B351" s="107" t="s">
        <v>2334</v>
      </c>
      <c r="C351" s="27" t="s">
        <v>1643</v>
      </c>
      <c r="D351" s="27" t="s">
        <v>1163</v>
      </c>
      <c r="E351" s="27" t="s">
        <v>966</v>
      </c>
      <c r="F351" s="27" t="s">
        <v>970</v>
      </c>
      <c r="G351" s="108">
        <v>47.83</v>
      </c>
      <c r="H351" s="109">
        <v>-5.1064817161207294</v>
      </c>
      <c r="I351" s="83">
        <v>-106763.1552607303</v>
      </c>
      <c r="J351" s="83">
        <v>2451718.25</v>
      </c>
      <c r="K351" s="84">
        <v>-4.3546257919616298E-2</v>
      </c>
      <c r="L351" s="112">
        <v>4.3546257919616298E-2</v>
      </c>
      <c r="M351" s="82"/>
    </row>
    <row r="352" spans="1:13">
      <c r="A352" s="111" t="s">
        <v>1672</v>
      </c>
      <c r="B352" s="107" t="s">
        <v>2335</v>
      </c>
      <c r="C352" s="27" t="s">
        <v>1689</v>
      </c>
      <c r="D352" s="27" t="s">
        <v>1150</v>
      </c>
      <c r="E352" s="27" t="s">
        <v>966</v>
      </c>
      <c r="F352" s="27" t="s">
        <v>970</v>
      </c>
      <c r="G352" s="108">
        <v>38.11</v>
      </c>
      <c r="H352" s="109">
        <v>-5.1450644722085919</v>
      </c>
      <c r="I352" s="83">
        <v>-135005.62771473607</v>
      </c>
      <c r="J352" s="83">
        <v>7093092</v>
      </c>
      <c r="K352" s="84">
        <v>-1.9033395832837932E-2</v>
      </c>
      <c r="L352" s="112">
        <v>1.9033395832837932E-2</v>
      </c>
      <c r="M352" s="82"/>
    </row>
    <row r="353" spans="1:13">
      <c r="A353" s="111" t="s">
        <v>812</v>
      </c>
      <c r="B353" s="107" t="s">
        <v>2339</v>
      </c>
      <c r="C353" s="27" t="s">
        <v>1561</v>
      </c>
      <c r="D353" s="27" t="s">
        <v>1166</v>
      </c>
      <c r="E353" s="27" t="s">
        <v>966</v>
      </c>
      <c r="F353" s="27" t="s">
        <v>968</v>
      </c>
      <c r="G353" s="108">
        <v>60.67</v>
      </c>
      <c r="H353" s="109">
        <v>-5.7950958145183771</v>
      </c>
      <c r="I353" s="83">
        <v>-95518.309123428</v>
      </c>
      <c r="J353" s="83">
        <v>1454519.125</v>
      </c>
      <c r="K353" s="84">
        <v>-6.5670026252441338E-2</v>
      </c>
      <c r="L353" s="112">
        <v>6.5670026252441338E-2</v>
      </c>
      <c r="M353" s="82"/>
    </row>
    <row r="354" spans="1:13">
      <c r="A354" s="111" t="s">
        <v>801</v>
      </c>
      <c r="B354" s="107" t="s">
        <v>2337</v>
      </c>
      <c r="C354" s="27" t="s">
        <v>660</v>
      </c>
      <c r="D354" s="27" t="s">
        <v>1157</v>
      </c>
      <c r="E354" s="27" t="s">
        <v>966</v>
      </c>
      <c r="F354" s="27" t="s">
        <v>970</v>
      </c>
      <c r="G354" s="108">
        <v>203.33</v>
      </c>
      <c r="H354" s="109">
        <v>-5.7566681735026553</v>
      </c>
      <c r="I354" s="83">
        <v>-28311.946950782742</v>
      </c>
      <c r="J354" s="83">
        <v>388995.09375</v>
      </c>
      <c r="K354" s="84">
        <v>-7.2782272593335862E-2</v>
      </c>
      <c r="L354" s="112">
        <v>7.2782272593335862E-2</v>
      </c>
      <c r="M354" s="82"/>
    </row>
    <row r="355" spans="1:13">
      <c r="A355" s="111" t="s">
        <v>1391</v>
      </c>
      <c r="B355" s="107" t="s">
        <v>2340</v>
      </c>
      <c r="C355" s="27" t="s">
        <v>689</v>
      </c>
      <c r="D355" s="27" t="s">
        <v>1159</v>
      </c>
      <c r="E355" s="27" t="s">
        <v>966</v>
      </c>
      <c r="F355" s="27" t="s">
        <v>970</v>
      </c>
      <c r="G355" s="108">
        <v>53.56</v>
      </c>
      <c r="H355" s="109">
        <v>-5.9063343620057713</v>
      </c>
      <c r="I355" s="83">
        <v>-110275.10011213164</v>
      </c>
      <c r="J355" s="83">
        <v>1677149.5</v>
      </c>
      <c r="K355" s="84">
        <v>-6.5751502839867068E-2</v>
      </c>
      <c r="L355" s="112">
        <v>6.5751502839867068E-2</v>
      </c>
      <c r="M355" s="82"/>
    </row>
    <row r="356" spans="1:13">
      <c r="A356" s="111" t="s">
        <v>269</v>
      </c>
      <c r="B356" s="107" t="s">
        <v>2344</v>
      </c>
      <c r="C356" s="27" t="s">
        <v>1423</v>
      </c>
      <c r="D356" s="27" t="s">
        <v>1166</v>
      </c>
      <c r="E356" s="27" t="s">
        <v>966</v>
      </c>
      <c r="F356" s="27" t="s">
        <v>970</v>
      </c>
      <c r="G356" s="108">
        <v>118</v>
      </c>
      <c r="H356" s="109">
        <v>-6.1542446149282144</v>
      </c>
      <c r="I356" s="83">
        <v>-52154.615380747578</v>
      </c>
      <c r="J356" s="83">
        <v>1033776.5</v>
      </c>
      <c r="K356" s="84">
        <v>-5.0450571647495931E-2</v>
      </c>
      <c r="L356" s="112">
        <v>5.0450571647495931E-2</v>
      </c>
      <c r="M356" s="82"/>
    </row>
    <row r="357" spans="1:13">
      <c r="A357" s="111" t="s">
        <v>861</v>
      </c>
      <c r="B357" s="107" t="s">
        <v>2342</v>
      </c>
      <c r="C357" s="27" t="s">
        <v>1066</v>
      </c>
      <c r="D357" s="27" t="s">
        <v>1156</v>
      </c>
      <c r="E357" s="27" t="s">
        <v>966</v>
      </c>
      <c r="F357" s="27" t="s">
        <v>970</v>
      </c>
      <c r="G357" s="108">
        <v>30.95</v>
      </c>
      <c r="H357" s="109">
        <v>-6.0925909930066195</v>
      </c>
      <c r="I357" s="83">
        <v>-196852.69767388108</v>
      </c>
      <c r="J357" s="83">
        <v>3251160.5</v>
      </c>
      <c r="K357" s="84">
        <v>-6.0548440371947516E-2</v>
      </c>
      <c r="L357" s="112">
        <v>6.0548440371947516E-2</v>
      </c>
      <c r="M357" s="82"/>
    </row>
    <row r="358" spans="1:13">
      <c r="A358" s="111" t="s">
        <v>802</v>
      </c>
      <c r="B358" s="107" t="s">
        <v>2349</v>
      </c>
      <c r="C358" s="27" t="s">
        <v>661</v>
      </c>
      <c r="D358" s="27" t="s">
        <v>1148</v>
      </c>
      <c r="E358" s="27" t="s">
        <v>966</v>
      </c>
      <c r="F358" s="27" t="s">
        <v>970</v>
      </c>
      <c r="G358" s="108">
        <v>105.34</v>
      </c>
      <c r="H358" s="109">
        <v>-6.4886756120934521</v>
      </c>
      <c r="I358" s="83">
        <v>-61597.452174800186</v>
      </c>
      <c r="J358" s="83">
        <v>681628.375</v>
      </c>
      <c r="K358" s="84">
        <v>-9.036808682561108E-2</v>
      </c>
      <c r="L358" s="112">
        <v>9.036808682561108E-2</v>
      </c>
      <c r="M358" s="82"/>
    </row>
    <row r="359" spans="1:13">
      <c r="A359" s="111" t="s">
        <v>245</v>
      </c>
      <c r="B359" s="107" t="s">
        <v>2345</v>
      </c>
      <c r="C359" s="27" t="s">
        <v>77</v>
      </c>
      <c r="D359" s="27" t="s">
        <v>1164</v>
      </c>
      <c r="E359" s="27" t="s">
        <v>966</v>
      </c>
      <c r="F359" s="27" t="s">
        <v>970</v>
      </c>
      <c r="G359" s="108">
        <v>230.3</v>
      </c>
      <c r="H359" s="109">
        <v>-6.301150528696974</v>
      </c>
      <c r="I359" s="83">
        <v>-27360.618882748469</v>
      </c>
      <c r="J359" s="83">
        <v>2728964.5</v>
      </c>
      <c r="K359" s="84">
        <v>-1.0026007624045116E-2</v>
      </c>
      <c r="L359" s="112">
        <v>1.0026007624045116E-2</v>
      </c>
      <c r="M359" s="82"/>
    </row>
    <row r="360" spans="1:13">
      <c r="A360" s="111" t="s">
        <v>847</v>
      </c>
      <c r="B360" s="107" t="s">
        <v>2347</v>
      </c>
      <c r="C360" s="27" t="s">
        <v>1053</v>
      </c>
      <c r="D360" s="27" t="s">
        <v>1164</v>
      </c>
      <c r="E360" s="27" t="s">
        <v>966</v>
      </c>
      <c r="F360" s="27" t="s">
        <v>970</v>
      </c>
      <c r="G360" s="108">
        <v>108.67</v>
      </c>
      <c r="H360" s="109">
        <v>-6.3103652326756325</v>
      </c>
      <c r="I360" s="83">
        <v>-58069.064439823618</v>
      </c>
      <c r="J360" s="83">
        <v>2034191.5</v>
      </c>
      <c r="K360" s="84">
        <v>-2.8546508251471713E-2</v>
      </c>
      <c r="L360" s="112">
        <v>2.8546508251471713E-2</v>
      </c>
      <c r="M360" s="82"/>
    </row>
    <row r="361" spans="1:13">
      <c r="A361" s="111" t="s">
        <v>1320</v>
      </c>
      <c r="B361" s="107" t="s">
        <v>2351</v>
      </c>
      <c r="C361" s="27" t="s">
        <v>26</v>
      </c>
      <c r="D361" s="27" t="s">
        <v>1164</v>
      </c>
      <c r="E361" s="27" t="s">
        <v>966</v>
      </c>
      <c r="F361" s="27" t="s">
        <v>970</v>
      </c>
      <c r="G361" s="108">
        <v>44.16</v>
      </c>
      <c r="H361" s="109">
        <v>-6.8354106204563774</v>
      </c>
      <c r="I361" s="83">
        <v>-154787.37818062445</v>
      </c>
      <c r="J361" s="83">
        <v>1641791.875</v>
      </c>
      <c r="K361" s="84">
        <v>-9.4279537216387099E-2</v>
      </c>
      <c r="L361" s="112">
        <v>9.4279537216387099E-2</v>
      </c>
      <c r="M361" s="82"/>
    </row>
    <row r="362" spans="1:13">
      <c r="A362" s="111" t="s">
        <v>1250</v>
      </c>
      <c r="B362" s="107" t="s">
        <v>2353</v>
      </c>
      <c r="C362" s="27" t="s">
        <v>767</v>
      </c>
      <c r="D362" s="27" t="s">
        <v>1160</v>
      </c>
      <c r="E362" s="27" t="s">
        <v>966</v>
      </c>
      <c r="F362" s="27" t="s">
        <v>968</v>
      </c>
      <c r="G362" s="108">
        <v>24</v>
      </c>
      <c r="H362" s="109">
        <v>-6.9620845800924132</v>
      </c>
      <c r="I362" s="83">
        <v>-290086.85750385054</v>
      </c>
      <c r="J362" s="83">
        <v>2650568.25</v>
      </c>
      <c r="K362" s="84">
        <v>-0.10944327032659903</v>
      </c>
      <c r="L362" s="112">
        <v>0.10944327032659903</v>
      </c>
      <c r="M362" s="82"/>
    </row>
    <row r="363" spans="1:13">
      <c r="A363" s="111" t="s">
        <v>1211</v>
      </c>
      <c r="B363" s="107" t="s">
        <v>2358</v>
      </c>
      <c r="C363" s="27" t="s">
        <v>733</v>
      </c>
      <c r="D363" s="27" t="s">
        <v>1151</v>
      </c>
      <c r="E363" s="27" t="s">
        <v>966</v>
      </c>
      <c r="F363" s="27" t="s">
        <v>968</v>
      </c>
      <c r="G363" s="108">
        <v>29.46</v>
      </c>
      <c r="H363" s="109">
        <v>-7.1975505572569789</v>
      </c>
      <c r="I363" s="83">
        <v>-244316.04064008757</v>
      </c>
      <c r="J363" s="83">
        <v>2966879.25</v>
      </c>
      <c r="K363" s="84">
        <v>-8.2347820741301675E-2</v>
      </c>
      <c r="L363" s="112">
        <v>8.2347820741301675E-2</v>
      </c>
      <c r="M363" s="82"/>
    </row>
    <row r="364" spans="1:13">
      <c r="A364" s="111" t="s">
        <v>326</v>
      </c>
      <c r="B364" s="107" t="s">
        <v>2357</v>
      </c>
      <c r="C364" s="27" t="s">
        <v>152</v>
      </c>
      <c r="D364" s="27" t="s">
        <v>1151</v>
      </c>
      <c r="E364" s="27" t="s">
        <v>966</v>
      </c>
      <c r="F364" s="27" t="s">
        <v>970</v>
      </c>
      <c r="G364" s="108">
        <v>20.420000000000002</v>
      </c>
      <c r="H364" s="109">
        <v>-7.1824545599094032</v>
      </c>
      <c r="I364" s="83">
        <v>-351736.26640104811</v>
      </c>
      <c r="J364" s="83">
        <v>6038243.5</v>
      </c>
      <c r="K364" s="84">
        <v>-5.8251421361369099E-2</v>
      </c>
      <c r="L364" s="112">
        <v>5.8251421361369099E-2</v>
      </c>
      <c r="M364" s="82"/>
    </row>
    <row r="365" spans="1:13">
      <c r="A365" s="111" t="s">
        <v>1276</v>
      </c>
      <c r="B365" s="107" t="s">
        <v>2355</v>
      </c>
      <c r="C365" s="27" t="s">
        <v>790</v>
      </c>
      <c r="D365" s="27" t="s">
        <v>1151</v>
      </c>
      <c r="E365" s="27" t="s">
        <v>966</v>
      </c>
      <c r="F365" s="27" t="s">
        <v>970</v>
      </c>
      <c r="G365" s="108">
        <v>70.75</v>
      </c>
      <c r="H365" s="109">
        <v>-7.1073396365402921</v>
      </c>
      <c r="I365" s="83">
        <v>-100457.09733625855</v>
      </c>
      <c r="J365" s="83">
        <v>1746172.5</v>
      </c>
      <c r="K365" s="84">
        <v>-5.7529881690530887E-2</v>
      </c>
      <c r="L365" s="112">
        <v>5.7529881690530887E-2</v>
      </c>
      <c r="M365" s="82"/>
    </row>
    <row r="366" spans="1:13">
      <c r="A366" s="111" t="s">
        <v>314</v>
      </c>
      <c r="B366" s="107" t="s">
        <v>2360</v>
      </c>
      <c r="C366" s="27" t="s">
        <v>140</v>
      </c>
      <c r="D366" s="27" t="s">
        <v>1149</v>
      </c>
      <c r="E366" s="27" t="s">
        <v>966</v>
      </c>
      <c r="F366" s="27" t="s">
        <v>970</v>
      </c>
      <c r="G366" s="108">
        <v>86.82</v>
      </c>
      <c r="H366" s="109">
        <v>-7.287727994986744</v>
      </c>
      <c r="I366" s="83">
        <v>-83940.658776626864</v>
      </c>
      <c r="J366" s="83">
        <v>786430.4375</v>
      </c>
      <c r="K366" s="84">
        <v>-0.10673627923592016</v>
      </c>
      <c r="L366" s="112">
        <v>0.10673627923592016</v>
      </c>
      <c r="M366" s="82"/>
    </row>
    <row r="367" spans="1:13">
      <c r="A367" s="111" t="s">
        <v>1324</v>
      </c>
      <c r="B367" s="107" t="s">
        <v>2362</v>
      </c>
      <c r="C367" s="27" t="s">
        <v>30</v>
      </c>
      <c r="D367" s="27" t="s">
        <v>1165</v>
      </c>
      <c r="E367" s="27" t="s">
        <v>966</v>
      </c>
      <c r="F367" s="27" t="s">
        <v>970</v>
      </c>
      <c r="G367" s="108">
        <v>14.4</v>
      </c>
      <c r="H367" s="109">
        <v>-7.3549252766478439</v>
      </c>
      <c r="I367" s="83">
        <v>-510758.69976721139</v>
      </c>
      <c r="J367" s="83">
        <v>9093999</v>
      </c>
      <c r="K367" s="84">
        <v>-5.6164367267602669E-2</v>
      </c>
      <c r="L367" s="112">
        <v>5.6164367267602669E-2</v>
      </c>
      <c r="M367" s="82"/>
    </row>
    <row r="368" spans="1:13">
      <c r="A368" s="111" t="s">
        <v>1607</v>
      </c>
      <c r="B368" s="107" t="s">
        <v>2366</v>
      </c>
      <c r="C368" s="27" t="s">
        <v>1693</v>
      </c>
      <c r="D368" s="27" t="s">
        <v>1168</v>
      </c>
      <c r="E368" s="27" t="s">
        <v>966</v>
      </c>
      <c r="F368" s="27" t="s">
        <v>970</v>
      </c>
      <c r="G368" s="108">
        <v>27.49</v>
      </c>
      <c r="H368" s="109">
        <v>-7.4600621660543505</v>
      </c>
      <c r="I368" s="83">
        <v>-271373.66919077304</v>
      </c>
      <c r="J368" s="83">
        <v>2270480.75</v>
      </c>
      <c r="K368" s="84">
        <v>-0.11952255890774367</v>
      </c>
      <c r="L368" s="112">
        <v>0.11952255890774367</v>
      </c>
      <c r="M368" s="82"/>
    </row>
    <row r="369" spans="1:13">
      <c r="A369" s="111" t="s">
        <v>1338</v>
      </c>
      <c r="B369" s="107" t="s">
        <v>2364</v>
      </c>
      <c r="C369" s="27" t="s">
        <v>42</v>
      </c>
      <c r="D369" s="27" t="s">
        <v>1155</v>
      </c>
      <c r="E369" s="27" t="s">
        <v>966</v>
      </c>
      <c r="F369" s="27" t="s">
        <v>970</v>
      </c>
      <c r="G369" s="108">
        <v>55.03</v>
      </c>
      <c r="H369" s="109">
        <v>-7.4234010546008538</v>
      </c>
      <c r="I369" s="83">
        <v>-134897.34789389159</v>
      </c>
      <c r="J369" s="83">
        <v>1809763</v>
      </c>
      <c r="K369" s="84">
        <v>-7.4538681525642636E-2</v>
      </c>
      <c r="L369" s="112">
        <v>7.4538681525642636E-2</v>
      </c>
      <c r="M369" s="82"/>
    </row>
    <row r="370" spans="1:13">
      <c r="A370" s="111" t="s">
        <v>1343</v>
      </c>
      <c r="B370" s="107" t="s">
        <v>2367</v>
      </c>
      <c r="C370" s="27" t="s">
        <v>47</v>
      </c>
      <c r="D370" s="27" t="s">
        <v>1164</v>
      </c>
      <c r="E370" s="27" t="s">
        <v>966</v>
      </c>
      <c r="F370" s="27" t="s">
        <v>970</v>
      </c>
      <c r="G370" s="108">
        <v>27.09</v>
      </c>
      <c r="H370" s="109">
        <v>-7.5447202366954116</v>
      </c>
      <c r="I370" s="83">
        <v>-278505.7304058845</v>
      </c>
      <c r="J370" s="83">
        <v>5880692.5</v>
      </c>
      <c r="K370" s="84">
        <v>-4.7359342527412293E-2</v>
      </c>
      <c r="L370" s="112">
        <v>4.7359342527412293E-2</v>
      </c>
      <c r="M370" s="82"/>
    </row>
    <row r="371" spans="1:13">
      <c r="A371" s="111" t="s">
        <v>1185</v>
      </c>
      <c r="B371" s="107" t="s">
        <v>2371</v>
      </c>
      <c r="C371" s="27" t="s">
        <v>710</v>
      </c>
      <c r="D371" s="27" t="s">
        <v>1155</v>
      </c>
      <c r="E371" s="27" t="s">
        <v>966</v>
      </c>
      <c r="F371" s="27" t="s">
        <v>970</v>
      </c>
      <c r="G371" s="108">
        <v>78.849999999999994</v>
      </c>
      <c r="H371" s="109">
        <v>-7.8078679441151362</v>
      </c>
      <c r="I371" s="83">
        <v>-99021.787496704332</v>
      </c>
      <c r="J371" s="83">
        <v>633529</v>
      </c>
      <c r="K371" s="84">
        <v>-0.15630190172305344</v>
      </c>
      <c r="L371" s="112">
        <v>0.15630190172305344</v>
      </c>
      <c r="M371" s="82"/>
    </row>
    <row r="372" spans="1:13">
      <c r="A372" s="111" t="s">
        <v>312</v>
      </c>
      <c r="B372" s="107" t="s">
        <v>2374</v>
      </c>
      <c r="C372" s="27" t="s">
        <v>138</v>
      </c>
      <c r="D372" s="27" t="s">
        <v>1155</v>
      </c>
      <c r="E372" s="27" t="s">
        <v>966</v>
      </c>
      <c r="F372" s="27" t="s">
        <v>970</v>
      </c>
      <c r="G372" s="108">
        <v>35.65</v>
      </c>
      <c r="H372" s="109">
        <v>-8.0000157416124402</v>
      </c>
      <c r="I372" s="83">
        <v>-224404.36862867995</v>
      </c>
      <c r="J372" s="83">
        <v>1527419.25</v>
      </c>
      <c r="K372" s="84">
        <v>-0.14691733695819267</v>
      </c>
      <c r="L372" s="112">
        <v>0.14691733695819267</v>
      </c>
      <c r="M372" s="82"/>
    </row>
    <row r="373" spans="1:13">
      <c r="A373" s="111" t="s">
        <v>1271</v>
      </c>
      <c r="B373" s="107" t="s">
        <v>2376</v>
      </c>
      <c r="C373" s="27" t="s">
        <v>786</v>
      </c>
      <c r="D373" s="27" t="s">
        <v>1167</v>
      </c>
      <c r="E373" s="27" t="s">
        <v>966</v>
      </c>
      <c r="F373" s="27" t="s">
        <v>970</v>
      </c>
      <c r="G373" s="108">
        <v>48.5</v>
      </c>
      <c r="H373" s="109">
        <v>-8.043981443731461</v>
      </c>
      <c r="I373" s="83">
        <v>-165855.28749961773</v>
      </c>
      <c r="J373" s="83">
        <v>1697702.75</v>
      </c>
      <c r="K373" s="84">
        <v>-9.7693949956562026E-2</v>
      </c>
      <c r="L373" s="112">
        <v>9.7693949956562026E-2</v>
      </c>
      <c r="M373" s="82"/>
    </row>
    <row r="374" spans="1:13">
      <c r="A374" s="111" t="s">
        <v>1173</v>
      </c>
      <c r="B374" s="107" t="s">
        <v>2369</v>
      </c>
      <c r="C374" s="27" t="s">
        <v>699</v>
      </c>
      <c r="D374" s="27" t="s">
        <v>1151</v>
      </c>
      <c r="E374" s="27" t="s">
        <v>966</v>
      </c>
      <c r="F374" s="27" t="s">
        <v>970</v>
      </c>
      <c r="G374" s="108">
        <v>83.82</v>
      </c>
      <c r="H374" s="109">
        <v>-7.666064293192588</v>
      </c>
      <c r="I374" s="83">
        <v>-91458.652984879373</v>
      </c>
      <c r="J374" s="83">
        <v>2426210.75</v>
      </c>
      <c r="K374" s="84">
        <v>-3.7696087606931661E-2</v>
      </c>
      <c r="L374" s="112">
        <v>3.7696087606931661E-2</v>
      </c>
      <c r="M374" s="82"/>
    </row>
    <row r="375" spans="1:13">
      <c r="A375" s="111" t="s">
        <v>1199</v>
      </c>
      <c r="B375" s="107" t="s">
        <v>2378</v>
      </c>
      <c r="C375" s="27" t="s">
        <v>724</v>
      </c>
      <c r="D375" s="27" t="s">
        <v>1159</v>
      </c>
      <c r="E375" s="27" t="s">
        <v>966</v>
      </c>
      <c r="F375" s="27" t="s">
        <v>970</v>
      </c>
      <c r="G375" s="108">
        <v>63.91</v>
      </c>
      <c r="H375" s="109">
        <v>-8.1521602733628544</v>
      </c>
      <c r="I375" s="83">
        <v>-127556.88113539125</v>
      </c>
      <c r="J375" s="83">
        <v>1553801.75</v>
      </c>
      <c r="K375" s="84">
        <v>-8.2093408078212846E-2</v>
      </c>
      <c r="L375" s="112">
        <v>8.2093408078212846E-2</v>
      </c>
      <c r="M375" s="82"/>
    </row>
    <row r="376" spans="1:13">
      <c r="A376" s="111" t="s">
        <v>835</v>
      </c>
      <c r="B376" s="107" t="s">
        <v>2380</v>
      </c>
      <c r="C376" s="27" t="s">
        <v>693</v>
      </c>
      <c r="D376" s="27" t="s">
        <v>1159</v>
      </c>
      <c r="E376" s="27" t="s">
        <v>966</v>
      </c>
      <c r="F376" s="27" t="s">
        <v>968</v>
      </c>
      <c r="G376" s="108">
        <v>32.57</v>
      </c>
      <c r="H376" s="109">
        <v>-8.3570510360878352</v>
      </c>
      <c r="I376" s="83">
        <v>-256587.38213349201</v>
      </c>
      <c r="J376" s="83">
        <v>1426373.875</v>
      </c>
      <c r="K376" s="84">
        <v>-0.17988788678108117</v>
      </c>
      <c r="L376" s="112">
        <v>0.17988788678108117</v>
      </c>
      <c r="M376" s="82"/>
    </row>
    <row r="377" spans="1:13">
      <c r="A377" s="111" t="s">
        <v>208</v>
      </c>
      <c r="B377" s="107" t="s">
        <v>2373</v>
      </c>
      <c r="C377" s="27" t="s">
        <v>1477</v>
      </c>
      <c r="D377" s="27" t="s">
        <v>1155</v>
      </c>
      <c r="E377" s="27" t="s">
        <v>966</v>
      </c>
      <c r="F377" s="27" t="s">
        <v>970</v>
      </c>
      <c r="G377" s="108">
        <v>101.23</v>
      </c>
      <c r="H377" s="109">
        <v>-8.0020039666671519</v>
      </c>
      <c r="I377" s="83">
        <v>-79047.752313218909</v>
      </c>
      <c r="J377" s="83">
        <v>869521.125</v>
      </c>
      <c r="K377" s="84">
        <v>-9.0909524841295733E-2</v>
      </c>
      <c r="L377" s="112">
        <v>9.0909524841295733E-2</v>
      </c>
      <c r="M377" s="82"/>
    </row>
    <row r="378" spans="1:13">
      <c r="A378" s="111" t="s">
        <v>1489</v>
      </c>
      <c r="B378" s="107" t="s">
        <v>2382</v>
      </c>
      <c r="C378" s="27" t="s">
        <v>1516</v>
      </c>
      <c r="D378" s="27" t="s">
        <v>1166</v>
      </c>
      <c r="E378" s="27" t="s">
        <v>966</v>
      </c>
      <c r="F378" s="27" t="s">
        <v>968</v>
      </c>
      <c r="G378" s="108">
        <v>40.340000000000003</v>
      </c>
      <c r="H378" s="109">
        <v>-8.4072947667020586</v>
      </c>
      <c r="I378" s="83">
        <v>-208410.87671546993</v>
      </c>
      <c r="J378" s="83">
        <v>1943496</v>
      </c>
      <c r="K378" s="84">
        <v>-0.10723504278654031</v>
      </c>
      <c r="L378" s="112">
        <v>0.10723504278654031</v>
      </c>
      <c r="M378" s="82"/>
    </row>
    <row r="379" spans="1:13">
      <c r="A379" s="111" t="s">
        <v>1307</v>
      </c>
      <c r="B379" s="107" t="s">
        <v>2383</v>
      </c>
      <c r="C379" s="27" t="s">
        <v>14</v>
      </c>
      <c r="D379" s="27" t="s">
        <v>1156</v>
      </c>
      <c r="E379" s="27" t="s">
        <v>966</v>
      </c>
      <c r="F379" s="27" t="s">
        <v>970</v>
      </c>
      <c r="G379" s="108">
        <v>19.13</v>
      </c>
      <c r="H379" s="109">
        <v>-8.5305925041072896</v>
      </c>
      <c r="I379" s="83">
        <v>-445927.47015720286</v>
      </c>
      <c r="J379" s="83">
        <v>7329827.5</v>
      </c>
      <c r="K379" s="84">
        <v>-6.0837375798707793E-2</v>
      </c>
      <c r="L379" s="112">
        <v>6.0837375798707793E-2</v>
      </c>
      <c r="M379" s="82"/>
    </row>
    <row r="380" spans="1:13">
      <c r="A380" s="111" t="s">
        <v>226</v>
      </c>
      <c r="B380" s="107" t="s">
        <v>2387</v>
      </c>
      <c r="C380" s="27" t="s">
        <v>59</v>
      </c>
      <c r="D380" s="27" t="s">
        <v>1157</v>
      </c>
      <c r="E380" s="27" t="s">
        <v>966</v>
      </c>
      <c r="F380" s="27" t="s">
        <v>968</v>
      </c>
      <c r="G380" s="108">
        <v>53.04</v>
      </c>
      <c r="H380" s="109">
        <v>-8.8881879016600767</v>
      </c>
      <c r="I380" s="83">
        <v>-167575.18668288228</v>
      </c>
      <c r="J380" s="83">
        <v>978886.125</v>
      </c>
      <c r="K380" s="84">
        <v>-0.17118966384663209</v>
      </c>
      <c r="L380" s="112">
        <v>0.17118966384663209</v>
      </c>
      <c r="M380" s="82"/>
    </row>
    <row r="381" spans="1:13">
      <c r="A381" s="111" t="s">
        <v>301</v>
      </c>
      <c r="B381" s="107" t="s">
        <v>2389</v>
      </c>
      <c r="C381" s="27" t="s">
        <v>127</v>
      </c>
      <c r="D381" s="27" t="s">
        <v>1159</v>
      </c>
      <c r="E381" s="27" t="s">
        <v>966</v>
      </c>
      <c r="F381" s="27" t="s">
        <v>968</v>
      </c>
      <c r="G381" s="108">
        <v>89.75</v>
      </c>
      <c r="H381" s="109">
        <v>-9.2733169472140453</v>
      </c>
      <c r="I381" s="83">
        <v>-103323.86570712028</v>
      </c>
      <c r="J381" s="83">
        <v>1015869.75</v>
      </c>
      <c r="K381" s="84">
        <v>-0.10170975728642405</v>
      </c>
      <c r="L381" s="112">
        <v>0.10170975728642405</v>
      </c>
      <c r="M381" s="82"/>
    </row>
    <row r="382" spans="1:13">
      <c r="A382" s="111" t="s">
        <v>992</v>
      </c>
      <c r="B382" s="107" t="s">
        <v>2385</v>
      </c>
      <c r="C382" s="27" t="s">
        <v>880</v>
      </c>
      <c r="D382" s="27" t="s">
        <v>1162</v>
      </c>
      <c r="E382" s="27" t="s">
        <v>966</v>
      </c>
      <c r="F382" s="27" t="s">
        <v>970</v>
      </c>
      <c r="G382" s="108">
        <v>68</v>
      </c>
      <c r="H382" s="109">
        <v>-8.8603764498484701</v>
      </c>
      <c r="I382" s="83">
        <v>-130299.65367424222</v>
      </c>
      <c r="J382" s="83">
        <v>3112278</v>
      </c>
      <c r="K382" s="84">
        <v>-4.1866328674444321E-2</v>
      </c>
      <c r="L382" s="112">
        <v>4.1866328674444321E-2</v>
      </c>
      <c r="M382" s="82"/>
    </row>
    <row r="383" spans="1:13">
      <c r="A383" s="111" t="s">
        <v>836</v>
      </c>
      <c r="B383" s="107" t="s">
        <v>2391</v>
      </c>
      <c r="C383" s="27" t="s">
        <v>694</v>
      </c>
      <c r="D383" s="27" t="s">
        <v>1164</v>
      </c>
      <c r="E383" s="27" t="s">
        <v>966</v>
      </c>
      <c r="F383" s="27" t="s">
        <v>970</v>
      </c>
      <c r="G383" s="108">
        <v>66.27</v>
      </c>
      <c r="H383" s="109">
        <v>-9.6567796129779406</v>
      </c>
      <c r="I383" s="83">
        <v>-145718.72058213281</v>
      </c>
      <c r="J383" s="83">
        <v>3619048.5</v>
      </c>
      <c r="K383" s="84">
        <v>-4.0264373517551036E-2</v>
      </c>
      <c r="L383" s="112">
        <v>4.0264373517551036E-2</v>
      </c>
      <c r="M383" s="82"/>
    </row>
    <row r="384" spans="1:13">
      <c r="A384" s="111" t="s">
        <v>811</v>
      </c>
      <c r="B384" s="107" t="s">
        <v>2392</v>
      </c>
      <c r="C384" s="27" t="s">
        <v>668</v>
      </c>
      <c r="D384" s="27" t="s">
        <v>1147</v>
      </c>
      <c r="E384" s="27" t="s">
        <v>966</v>
      </c>
      <c r="F384" s="27" t="s">
        <v>970</v>
      </c>
      <c r="G384" s="108">
        <v>132.71</v>
      </c>
      <c r="H384" s="109">
        <v>-10.343644679584813</v>
      </c>
      <c r="I384" s="83">
        <v>-77941.712603306543</v>
      </c>
      <c r="J384" s="83">
        <v>1088043.875</v>
      </c>
      <c r="K384" s="84">
        <v>-7.16347147336375E-2</v>
      </c>
      <c r="L384" s="112">
        <v>7.16347147336375E-2</v>
      </c>
      <c r="M384" s="82"/>
    </row>
    <row r="385" spans="1:13">
      <c r="A385" s="111" t="s">
        <v>1221</v>
      </c>
      <c r="B385" s="107" t="s">
        <v>2394</v>
      </c>
      <c r="C385" s="27" t="s">
        <v>742</v>
      </c>
      <c r="D385" s="27" t="s">
        <v>1148</v>
      </c>
      <c r="E385" s="27" t="s">
        <v>966</v>
      </c>
      <c r="F385" s="27" t="s">
        <v>970</v>
      </c>
      <c r="G385" s="108">
        <v>61.64</v>
      </c>
      <c r="H385" s="109">
        <v>-10.405127444614136</v>
      </c>
      <c r="I385" s="83">
        <v>-168804.79306642013</v>
      </c>
      <c r="J385" s="83">
        <v>3178686</v>
      </c>
      <c r="K385" s="84">
        <v>-5.3105211734163153E-2</v>
      </c>
      <c r="L385" s="112">
        <v>5.3105211734163153E-2</v>
      </c>
      <c r="M385" s="82"/>
    </row>
    <row r="386" spans="1:13">
      <c r="A386" s="111" t="s">
        <v>263</v>
      </c>
      <c r="B386" s="107" t="s">
        <v>2395</v>
      </c>
      <c r="C386" s="27" t="s">
        <v>93</v>
      </c>
      <c r="D386" s="27" t="s">
        <v>1148</v>
      </c>
      <c r="E386" s="27" t="s">
        <v>966</v>
      </c>
      <c r="F386" s="27" t="s">
        <v>970</v>
      </c>
      <c r="G386" s="108">
        <v>113.45</v>
      </c>
      <c r="H386" s="109">
        <v>-10.598509625386038</v>
      </c>
      <c r="I386" s="83">
        <v>-93420.093656994606</v>
      </c>
      <c r="J386" s="83">
        <v>1458055.375</v>
      </c>
      <c r="K386" s="84">
        <v>-6.4071704860314105E-2</v>
      </c>
      <c r="L386" s="112">
        <v>6.4071704860314105E-2</v>
      </c>
      <c r="M386" s="82"/>
    </row>
    <row r="387" spans="1:13">
      <c r="A387" s="111" t="s">
        <v>1280</v>
      </c>
      <c r="B387" s="107" t="s">
        <v>2397</v>
      </c>
      <c r="C387" s="27" t="s">
        <v>794</v>
      </c>
      <c r="D387" s="27" t="s">
        <v>1164</v>
      </c>
      <c r="E387" s="27" t="s">
        <v>966</v>
      </c>
      <c r="F387" s="27" t="s">
        <v>970</v>
      </c>
      <c r="G387" s="108">
        <v>48.86</v>
      </c>
      <c r="H387" s="109">
        <v>-11.070166079800494</v>
      </c>
      <c r="I387" s="83">
        <v>-226569.09700778744</v>
      </c>
      <c r="J387" s="83">
        <v>1985529.875</v>
      </c>
      <c r="K387" s="84">
        <v>-0.11411014251688731</v>
      </c>
      <c r="L387" s="112">
        <v>0.11411014251688731</v>
      </c>
      <c r="M387" s="82"/>
    </row>
    <row r="388" spans="1:13">
      <c r="A388" s="111" t="s">
        <v>1326</v>
      </c>
      <c r="B388" s="107" t="s">
        <v>2400</v>
      </c>
      <c r="C388" s="27" t="s">
        <v>32</v>
      </c>
      <c r="D388" s="27" t="s">
        <v>1152</v>
      </c>
      <c r="E388" s="27" t="s">
        <v>966</v>
      </c>
      <c r="F388" s="27" t="s">
        <v>970</v>
      </c>
      <c r="G388" s="108">
        <v>53.28</v>
      </c>
      <c r="H388" s="109">
        <v>-11.240624540236093</v>
      </c>
      <c r="I388" s="83">
        <v>-210972.68281223896</v>
      </c>
      <c r="J388" s="83">
        <v>1599945.375</v>
      </c>
      <c r="K388" s="84">
        <v>-0.13186242862337658</v>
      </c>
      <c r="L388" s="112">
        <v>0.13186242862337658</v>
      </c>
      <c r="M388" s="82"/>
    </row>
    <row r="389" spans="1:13">
      <c r="A389" s="111" t="s">
        <v>318</v>
      </c>
      <c r="B389" s="107" t="s">
        <v>2402</v>
      </c>
      <c r="C389" s="27" t="s">
        <v>144</v>
      </c>
      <c r="D389" s="27" t="s">
        <v>1156</v>
      </c>
      <c r="E389" s="27" t="s">
        <v>966</v>
      </c>
      <c r="F389" s="27" t="s">
        <v>968</v>
      </c>
      <c r="G389" s="108">
        <v>96.9</v>
      </c>
      <c r="H389" s="109">
        <v>-11.811674112613941</v>
      </c>
      <c r="I389" s="83">
        <v>-121895.50167816244</v>
      </c>
      <c r="J389" s="83">
        <v>754942.9375</v>
      </c>
      <c r="K389" s="84">
        <v>-0.16146319890324484</v>
      </c>
      <c r="L389" s="112">
        <v>0.16146319890324484</v>
      </c>
      <c r="M389" s="82"/>
    </row>
    <row r="390" spans="1:13">
      <c r="A390" s="111" t="s">
        <v>1181</v>
      </c>
      <c r="B390" s="107" t="s">
        <v>2406</v>
      </c>
      <c r="C390" s="27" t="s">
        <v>707</v>
      </c>
      <c r="D390" s="27" t="s">
        <v>1155</v>
      </c>
      <c r="E390" s="27" t="s">
        <v>966</v>
      </c>
      <c r="F390" s="27" t="s">
        <v>970</v>
      </c>
      <c r="G390" s="108">
        <v>64.11</v>
      </c>
      <c r="H390" s="109">
        <v>-12.155412470964125</v>
      </c>
      <c r="I390" s="83">
        <v>-189602.44066392333</v>
      </c>
      <c r="J390" s="83">
        <v>1976770.625</v>
      </c>
      <c r="K390" s="84">
        <v>-9.5915245940040889E-2</v>
      </c>
      <c r="L390" s="112">
        <v>9.5915245940040889E-2</v>
      </c>
      <c r="M390" s="82"/>
    </row>
    <row r="391" spans="1:13">
      <c r="A391" s="111" t="s">
        <v>1026</v>
      </c>
      <c r="B391" s="107" t="s">
        <v>2399</v>
      </c>
      <c r="C391" s="27" t="s">
        <v>910</v>
      </c>
      <c r="D391" s="27" t="s">
        <v>1151</v>
      </c>
      <c r="E391" s="27" t="s">
        <v>966</v>
      </c>
      <c r="F391" s="27" t="s">
        <v>970</v>
      </c>
      <c r="G391" s="108">
        <v>97.04</v>
      </c>
      <c r="H391" s="109">
        <v>-11.192081138214593</v>
      </c>
      <c r="I391" s="83">
        <v>-115334.71906651476</v>
      </c>
      <c r="J391" s="83">
        <v>4434816.5</v>
      </c>
      <c r="K391" s="84">
        <v>-2.600664967006296E-2</v>
      </c>
      <c r="L391" s="112">
        <v>2.600664967006296E-2</v>
      </c>
      <c r="M391" s="82"/>
    </row>
    <row r="392" spans="1:13">
      <c r="A392" s="111" t="s">
        <v>799</v>
      </c>
      <c r="B392" s="107" t="s">
        <v>2408</v>
      </c>
      <c r="C392" s="27" t="s">
        <v>655</v>
      </c>
      <c r="D392" s="27" t="s">
        <v>1151</v>
      </c>
      <c r="E392" s="27" t="s">
        <v>966</v>
      </c>
      <c r="F392" s="27" t="s">
        <v>970</v>
      </c>
      <c r="G392" s="108">
        <v>269.52999999999997</v>
      </c>
      <c r="H392" s="109">
        <v>-12.320350637484244</v>
      </c>
      <c r="I392" s="83">
        <v>-45710.498413847243</v>
      </c>
      <c r="J392" s="83">
        <v>565670.875</v>
      </c>
      <c r="K392" s="84">
        <v>-8.0807586945053952E-2</v>
      </c>
      <c r="L392" s="112">
        <v>8.0807586945053952E-2</v>
      </c>
      <c r="M392" s="82"/>
    </row>
    <row r="393" spans="1:13">
      <c r="A393" s="111" t="s">
        <v>248</v>
      </c>
      <c r="B393" s="107" t="s">
        <v>2410</v>
      </c>
      <c r="C393" s="27" t="s">
        <v>80</v>
      </c>
      <c r="D393" s="27" t="s">
        <v>1155</v>
      </c>
      <c r="E393" s="27" t="s">
        <v>966</v>
      </c>
      <c r="F393" s="27" t="s">
        <v>968</v>
      </c>
      <c r="G393" s="108">
        <v>55.98</v>
      </c>
      <c r="H393" s="109">
        <v>-12.377354631499673</v>
      </c>
      <c r="I393" s="83">
        <v>-221103.15526080158</v>
      </c>
      <c r="J393" s="83">
        <v>1277359.125</v>
      </c>
      <c r="K393" s="84">
        <v>-0.17309396467559707</v>
      </c>
      <c r="L393" s="112">
        <v>0.17309396467559707</v>
      </c>
      <c r="M393" s="82"/>
    </row>
    <row r="394" spans="1:13">
      <c r="A394" s="111" t="s">
        <v>840</v>
      </c>
      <c r="B394" s="107" t="s">
        <v>2404</v>
      </c>
      <c r="C394" s="27" t="s">
        <v>923</v>
      </c>
      <c r="D394" s="27" t="s">
        <v>1160</v>
      </c>
      <c r="E394" s="27" t="s">
        <v>966</v>
      </c>
      <c r="F394" s="27" t="s">
        <v>970</v>
      </c>
      <c r="G394" s="108">
        <v>73.73</v>
      </c>
      <c r="H394" s="109">
        <v>-12.105570765357653</v>
      </c>
      <c r="I394" s="83">
        <v>-164187.85793242441</v>
      </c>
      <c r="J394" s="83">
        <v>4802084</v>
      </c>
      <c r="K394" s="84">
        <v>-3.4190959161152619E-2</v>
      </c>
      <c r="L394" s="112">
        <v>3.4190959161152619E-2</v>
      </c>
      <c r="M394" s="82"/>
    </row>
    <row r="395" spans="1:13">
      <c r="A395" s="111" t="s">
        <v>1037</v>
      </c>
      <c r="B395" s="107" t="s">
        <v>2412</v>
      </c>
      <c r="C395" s="27" t="s">
        <v>920</v>
      </c>
      <c r="D395" s="27" t="s">
        <v>1160</v>
      </c>
      <c r="E395" s="27" t="s">
        <v>966</v>
      </c>
      <c r="F395" s="27" t="s">
        <v>970</v>
      </c>
      <c r="G395" s="108">
        <v>40.99</v>
      </c>
      <c r="H395" s="109">
        <v>-12.685818886557897</v>
      </c>
      <c r="I395" s="83">
        <v>-309485.70106264687</v>
      </c>
      <c r="J395" s="83">
        <v>6150649</v>
      </c>
      <c r="K395" s="84">
        <v>-5.0317568286313667E-2</v>
      </c>
      <c r="L395" s="112">
        <v>5.0317568286313667E-2</v>
      </c>
      <c r="M395" s="82"/>
    </row>
    <row r="396" spans="1:13">
      <c r="A396" s="111" t="s">
        <v>846</v>
      </c>
      <c r="B396" s="107" t="s">
        <v>2414</v>
      </c>
      <c r="C396" s="27" t="s">
        <v>1052</v>
      </c>
      <c r="D396" s="27" t="s">
        <v>1165</v>
      </c>
      <c r="E396" s="27" t="s">
        <v>966</v>
      </c>
      <c r="F396" s="27" t="s">
        <v>970</v>
      </c>
      <c r="G396" s="108">
        <v>10.35</v>
      </c>
      <c r="H396" s="109">
        <v>-12.790651747841897</v>
      </c>
      <c r="I396" s="83">
        <v>-1235811.7630765119</v>
      </c>
      <c r="J396" s="83">
        <v>18833696</v>
      </c>
      <c r="K396" s="84">
        <v>-6.5617060139258485E-2</v>
      </c>
      <c r="L396" s="112">
        <v>6.5617060139258485E-2</v>
      </c>
      <c r="M396" s="82"/>
    </row>
    <row r="397" spans="1:13">
      <c r="A397" s="111" t="s">
        <v>327</v>
      </c>
      <c r="B397" s="107" t="s">
        <v>2417</v>
      </c>
      <c r="C397" s="27" t="s">
        <v>153</v>
      </c>
      <c r="D397" s="27" t="s">
        <v>1161</v>
      </c>
      <c r="E397" s="27" t="s">
        <v>966</v>
      </c>
      <c r="F397" s="27" t="s">
        <v>970</v>
      </c>
      <c r="G397" s="108">
        <v>80.08</v>
      </c>
      <c r="H397" s="109">
        <v>-14.012688273284169</v>
      </c>
      <c r="I397" s="83">
        <v>-174983.61979625587</v>
      </c>
      <c r="J397" s="83">
        <v>1612749.125</v>
      </c>
      <c r="K397" s="84">
        <v>-0.10850021065505515</v>
      </c>
      <c r="L397" s="112">
        <v>0.10850021065505515</v>
      </c>
      <c r="M397" s="82"/>
    </row>
    <row r="398" spans="1:13">
      <c r="A398" s="111" t="s">
        <v>1229</v>
      </c>
      <c r="B398" s="107" t="s">
        <v>2415</v>
      </c>
      <c r="C398" s="27" t="s">
        <v>748</v>
      </c>
      <c r="D398" s="27" t="s">
        <v>1164</v>
      </c>
      <c r="E398" s="27" t="s">
        <v>966</v>
      </c>
      <c r="F398" s="27" t="s">
        <v>970</v>
      </c>
      <c r="G398" s="108">
        <v>129.06</v>
      </c>
      <c r="H398" s="109">
        <v>-13.969214733279301</v>
      </c>
      <c r="I398" s="83">
        <v>-108238.14298217341</v>
      </c>
      <c r="J398" s="83">
        <v>1728944.375</v>
      </c>
      <c r="K398" s="84">
        <v>-6.2603600524842457E-2</v>
      </c>
      <c r="L398" s="112">
        <v>6.2603600524842457E-2</v>
      </c>
      <c r="M398" s="82"/>
    </row>
    <row r="399" spans="1:13">
      <c r="A399" s="111" t="s">
        <v>1277</v>
      </c>
      <c r="B399" s="107" t="s">
        <v>2418</v>
      </c>
      <c r="C399" s="27" t="s">
        <v>791</v>
      </c>
      <c r="D399" s="27" t="s">
        <v>1151</v>
      </c>
      <c r="E399" s="27" t="s">
        <v>966</v>
      </c>
      <c r="F399" s="27" t="s">
        <v>970</v>
      </c>
      <c r="G399" s="108">
        <v>88.53</v>
      </c>
      <c r="H399" s="109">
        <v>-14.023847210313509</v>
      </c>
      <c r="I399" s="83">
        <v>-158407.85282179495</v>
      </c>
      <c r="J399" s="83">
        <v>1145211.5</v>
      </c>
      <c r="K399" s="84">
        <v>-0.13832191941994554</v>
      </c>
      <c r="L399" s="112">
        <v>0.13832191941994554</v>
      </c>
      <c r="M399" s="82"/>
    </row>
    <row r="400" spans="1:13">
      <c r="A400" s="111" t="s">
        <v>251</v>
      </c>
      <c r="B400" s="107" t="s">
        <v>2420</v>
      </c>
      <c r="C400" s="27" t="s">
        <v>1378</v>
      </c>
      <c r="D400" s="27" t="s">
        <v>1166</v>
      </c>
      <c r="E400" s="27" t="s">
        <v>966</v>
      </c>
      <c r="F400" s="27" t="s">
        <v>970</v>
      </c>
      <c r="G400" s="108">
        <v>20.86</v>
      </c>
      <c r="H400" s="109">
        <v>-14.369910149956283</v>
      </c>
      <c r="I400" s="83">
        <v>-688873.92856933281</v>
      </c>
      <c r="J400" s="83">
        <v>5679814.5</v>
      </c>
      <c r="K400" s="84">
        <v>-0.12128458219354396</v>
      </c>
      <c r="L400" s="112">
        <v>0.12128458219354396</v>
      </c>
      <c r="M400" s="82"/>
    </row>
    <row r="401" spans="1:13">
      <c r="A401" s="111" t="s">
        <v>330</v>
      </c>
      <c r="B401" s="107" t="s">
        <v>2422</v>
      </c>
      <c r="C401" s="27" t="s">
        <v>1383</v>
      </c>
      <c r="D401" s="27" t="s">
        <v>1155</v>
      </c>
      <c r="E401" s="27" t="s">
        <v>966</v>
      </c>
      <c r="F401" s="27" t="s">
        <v>970</v>
      </c>
      <c r="G401" s="108">
        <v>39.61</v>
      </c>
      <c r="H401" s="109">
        <v>-14.799051548508112</v>
      </c>
      <c r="I401" s="83">
        <v>-373619.07469093951</v>
      </c>
      <c r="J401" s="83">
        <v>2604647</v>
      </c>
      <c r="K401" s="84">
        <v>-0.14344326685763542</v>
      </c>
      <c r="L401" s="112">
        <v>0.14344326685763542</v>
      </c>
      <c r="M401" s="82"/>
    </row>
    <row r="402" spans="1:13">
      <c r="A402" s="111" t="s">
        <v>1301</v>
      </c>
      <c r="B402" s="107" t="s">
        <v>2423</v>
      </c>
      <c r="C402" s="27" t="s">
        <v>9</v>
      </c>
      <c r="D402" s="27" t="s">
        <v>1170</v>
      </c>
      <c r="E402" s="27" t="s">
        <v>966</v>
      </c>
      <c r="F402" s="27" t="s">
        <v>970</v>
      </c>
      <c r="G402" s="108">
        <v>58.66</v>
      </c>
      <c r="H402" s="109">
        <v>-15.938168995758559</v>
      </c>
      <c r="I402" s="83">
        <v>-271704.21063345647</v>
      </c>
      <c r="J402" s="83">
        <v>2357819.75</v>
      </c>
      <c r="K402" s="84">
        <v>-0.115235361241442</v>
      </c>
      <c r="L402" s="112">
        <v>0.115235361241442</v>
      </c>
      <c r="M402" s="82"/>
    </row>
    <row r="403" spans="1:13">
      <c r="A403" s="111" t="s">
        <v>1191</v>
      </c>
      <c r="B403" s="107" t="s">
        <v>2427</v>
      </c>
      <c r="C403" s="27" t="s">
        <v>716</v>
      </c>
      <c r="D403" s="27" t="s">
        <v>1159</v>
      </c>
      <c r="E403" s="27" t="s">
        <v>966</v>
      </c>
      <c r="F403" s="27" t="s">
        <v>968</v>
      </c>
      <c r="G403" s="108">
        <v>60.44</v>
      </c>
      <c r="H403" s="109">
        <v>-16.734631132424973</v>
      </c>
      <c r="I403" s="83">
        <v>-276880.06506328552</v>
      </c>
      <c r="J403" s="83">
        <v>913350.3125</v>
      </c>
      <c r="K403" s="84">
        <v>-0.30314772029301246</v>
      </c>
      <c r="L403" s="112">
        <v>0.30314772029301246</v>
      </c>
      <c r="M403" s="82"/>
    </row>
    <row r="404" spans="1:13">
      <c r="A404" s="111" t="s">
        <v>1353</v>
      </c>
      <c r="B404" s="107" t="s">
        <v>2429</v>
      </c>
      <c r="C404" s="27" t="s">
        <v>57</v>
      </c>
      <c r="D404" s="27" t="s">
        <v>1160</v>
      </c>
      <c r="E404" s="27" t="s">
        <v>966</v>
      </c>
      <c r="F404" s="27" t="s">
        <v>970</v>
      </c>
      <c r="G404" s="108">
        <v>34.1</v>
      </c>
      <c r="H404" s="109">
        <v>-17.015728901357402</v>
      </c>
      <c r="I404" s="83">
        <v>-498994.98244449863</v>
      </c>
      <c r="J404" s="83">
        <v>3025622.25</v>
      </c>
      <c r="K404" s="84">
        <v>-0.16492309390060131</v>
      </c>
      <c r="L404" s="112">
        <v>0.16492309390060131</v>
      </c>
      <c r="M404" s="82"/>
    </row>
    <row r="405" spans="1:13">
      <c r="A405" s="111" t="s">
        <v>284</v>
      </c>
      <c r="B405" s="107" t="s">
        <v>2425</v>
      </c>
      <c r="C405" s="27" t="s">
        <v>111</v>
      </c>
      <c r="D405" s="27" t="s">
        <v>1156</v>
      </c>
      <c r="E405" s="27" t="s">
        <v>966</v>
      </c>
      <c r="F405" s="27" t="s">
        <v>970</v>
      </c>
      <c r="G405" s="108">
        <v>192.02</v>
      </c>
      <c r="H405" s="109">
        <v>-16.569777897325459</v>
      </c>
      <c r="I405" s="83">
        <v>-86291.937805048728</v>
      </c>
      <c r="J405" s="83">
        <v>1148677.375</v>
      </c>
      <c r="K405" s="84">
        <v>-7.5122867119280318E-2</v>
      </c>
      <c r="L405" s="112">
        <v>7.5122867119280318E-2</v>
      </c>
      <c r="M405" s="82"/>
    </row>
    <row r="406" spans="1:13">
      <c r="A406" s="111" t="s">
        <v>1218</v>
      </c>
      <c r="B406" s="107" t="s">
        <v>2431</v>
      </c>
      <c r="C406" s="27" t="s">
        <v>739</v>
      </c>
      <c r="D406" s="27" t="s">
        <v>1153</v>
      </c>
      <c r="E406" s="27" t="s">
        <v>966</v>
      </c>
      <c r="F406" s="27" t="s">
        <v>970</v>
      </c>
      <c r="G406" s="108">
        <v>52.82</v>
      </c>
      <c r="H406" s="109">
        <v>-17.295046991394564</v>
      </c>
      <c r="I406" s="83">
        <v>-327433.68026116182</v>
      </c>
      <c r="J406" s="83">
        <v>3830867.75</v>
      </c>
      <c r="K406" s="84">
        <v>-8.5472457320188572E-2</v>
      </c>
      <c r="L406" s="112">
        <v>8.5472457320188572E-2</v>
      </c>
      <c r="M406" s="82"/>
    </row>
    <row r="407" spans="1:13">
      <c r="A407" s="111" t="s">
        <v>1273</v>
      </c>
      <c r="B407" s="107" t="s">
        <v>2432</v>
      </c>
      <c r="C407" s="27" t="s">
        <v>788</v>
      </c>
      <c r="D407" s="27" t="s">
        <v>1164</v>
      </c>
      <c r="E407" s="27" t="s">
        <v>966</v>
      </c>
      <c r="F407" s="27" t="s">
        <v>970</v>
      </c>
      <c r="G407" s="108">
        <v>40.46</v>
      </c>
      <c r="H407" s="109">
        <v>-18.46352937029695</v>
      </c>
      <c r="I407" s="83">
        <v>-456340.32057085889</v>
      </c>
      <c r="J407" s="83">
        <v>2312479.25</v>
      </c>
      <c r="K407" s="84">
        <v>-0.1973381255511196</v>
      </c>
      <c r="L407" s="112">
        <v>0.1973381255511196</v>
      </c>
      <c r="M407" s="82"/>
    </row>
    <row r="408" spans="1:13">
      <c r="A408" s="111" t="s">
        <v>282</v>
      </c>
      <c r="B408" s="107" t="s">
        <v>2436</v>
      </c>
      <c r="C408" s="27" t="s">
        <v>109</v>
      </c>
      <c r="D408" s="27" t="s">
        <v>1147</v>
      </c>
      <c r="E408" s="27" t="s">
        <v>966</v>
      </c>
      <c r="F408" s="27" t="s">
        <v>970</v>
      </c>
      <c r="G408" s="108">
        <v>59.2</v>
      </c>
      <c r="H408" s="109">
        <v>-18.836338002529192</v>
      </c>
      <c r="I408" s="83">
        <v>-318181.38517785794</v>
      </c>
      <c r="J408" s="83">
        <v>4300010</v>
      </c>
      <c r="K408" s="84">
        <v>-7.3995498889039307E-2</v>
      </c>
      <c r="L408" s="112">
        <v>7.3995498889039307E-2</v>
      </c>
      <c r="M408" s="82"/>
    </row>
    <row r="409" spans="1:13">
      <c r="A409" s="111" t="s">
        <v>290</v>
      </c>
      <c r="B409" s="107" t="s">
        <v>2434</v>
      </c>
      <c r="C409" s="27" t="s">
        <v>117</v>
      </c>
      <c r="D409" s="27" t="s">
        <v>1157</v>
      </c>
      <c r="E409" s="27" t="s">
        <v>966</v>
      </c>
      <c r="F409" s="27" t="s">
        <v>970</v>
      </c>
      <c r="G409" s="108">
        <v>77.209999999999994</v>
      </c>
      <c r="H409" s="109">
        <v>-18.725118167454308</v>
      </c>
      <c r="I409" s="83">
        <v>-242521.92938031739</v>
      </c>
      <c r="J409" s="83">
        <v>2269939</v>
      </c>
      <c r="K409" s="84">
        <v>-0.10684072540289294</v>
      </c>
      <c r="L409" s="112">
        <v>0.10684072540289294</v>
      </c>
      <c r="M409" s="82"/>
    </row>
    <row r="410" spans="1:13">
      <c r="A410" s="111" t="s">
        <v>994</v>
      </c>
      <c r="B410" s="107" t="s">
        <v>2438</v>
      </c>
      <c r="C410" s="27" t="s">
        <v>881</v>
      </c>
      <c r="D410" s="27" t="s">
        <v>1157</v>
      </c>
      <c r="E410" s="27" t="s">
        <v>966</v>
      </c>
      <c r="F410" s="27" t="s">
        <v>970</v>
      </c>
      <c r="G410" s="108">
        <v>80.62</v>
      </c>
      <c r="H410" s="109">
        <v>-19.043168181184026</v>
      </c>
      <c r="I410" s="83">
        <v>-236208.98264926847</v>
      </c>
      <c r="J410" s="83">
        <v>4114794.5</v>
      </c>
      <c r="K410" s="84">
        <v>-5.7404806643264555E-2</v>
      </c>
      <c r="L410" s="112">
        <v>5.7404806643264555E-2</v>
      </c>
      <c r="M410" s="82"/>
    </row>
    <row r="411" spans="1:13">
      <c r="A411" s="111" t="s">
        <v>1258</v>
      </c>
      <c r="B411" s="107" t="s">
        <v>2442</v>
      </c>
      <c r="C411" s="27" t="s">
        <v>774</v>
      </c>
      <c r="D411" s="27" t="s">
        <v>1148</v>
      </c>
      <c r="E411" s="27" t="s">
        <v>966</v>
      </c>
      <c r="F411" s="27" t="s">
        <v>970</v>
      </c>
      <c r="G411" s="108">
        <v>115.04</v>
      </c>
      <c r="H411" s="109">
        <v>-19.275300258092354</v>
      </c>
      <c r="I411" s="83">
        <v>-167553.0272782715</v>
      </c>
      <c r="J411" s="83">
        <v>1095142.5</v>
      </c>
      <c r="K411" s="84">
        <v>-0.15299655275753749</v>
      </c>
      <c r="L411" s="112">
        <v>0.15299655275753749</v>
      </c>
      <c r="M411" s="82"/>
    </row>
    <row r="412" spans="1:13">
      <c r="A412" s="111" t="s">
        <v>1176</v>
      </c>
      <c r="B412" s="107" t="s">
        <v>2440</v>
      </c>
      <c r="C412" s="27" t="s">
        <v>702</v>
      </c>
      <c r="D412" s="27" t="s">
        <v>1151</v>
      </c>
      <c r="E412" s="27" t="s">
        <v>966</v>
      </c>
      <c r="F412" s="27" t="s">
        <v>970</v>
      </c>
      <c r="G412" s="108">
        <v>81.55</v>
      </c>
      <c r="H412" s="109">
        <v>-19.246252318080419</v>
      </c>
      <c r="I412" s="83">
        <v>-236005.5465123289</v>
      </c>
      <c r="J412" s="83">
        <v>2041676.125</v>
      </c>
      <c r="K412" s="84">
        <v>-0.11559401788681292</v>
      </c>
      <c r="L412" s="112">
        <v>0.11559401788681292</v>
      </c>
      <c r="M412" s="82"/>
    </row>
    <row r="413" spans="1:13">
      <c r="A413" s="111" t="s">
        <v>1300</v>
      </c>
      <c r="B413" s="107" t="s">
        <v>2444</v>
      </c>
      <c r="C413" s="27" t="s">
        <v>8</v>
      </c>
      <c r="D413" s="27" t="s">
        <v>1155</v>
      </c>
      <c r="E413" s="27" t="s">
        <v>966</v>
      </c>
      <c r="F413" s="27" t="s">
        <v>970</v>
      </c>
      <c r="G413" s="108">
        <v>47.48</v>
      </c>
      <c r="H413" s="109">
        <v>-19.699709428505738</v>
      </c>
      <c r="I413" s="83">
        <v>-414905.42183036514</v>
      </c>
      <c r="J413" s="83">
        <v>3759725</v>
      </c>
      <c r="K413" s="84">
        <v>-0.11035525785273262</v>
      </c>
      <c r="L413" s="112">
        <v>0.11035525785273262</v>
      </c>
      <c r="M413" s="82"/>
    </row>
    <row r="414" spans="1:13">
      <c r="A414" s="111" t="s">
        <v>1313</v>
      </c>
      <c r="B414" s="107" t="s">
        <v>2446</v>
      </c>
      <c r="C414" s="27" t="s">
        <v>19</v>
      </c>
      <c r="D414" s="27" t="s">
        <v>1148</v>
      </c>
      <c r="E414" s="27" t="s">
        <v>966</v>
      </c>
      <c r="F414" s="27" t="s">
        <v>970</v>
      </c>
      <c r="G414" s="108">
        <v>47.15</v>
      </c>
      <c r="H414" s="109">
        <v>-19.730466317619836</v>
      </c>
      <c r="I414" s="83">
        <v>-418461.63982226583</v>
      </c>
      <c r="J414" s="83">
        <v>3044293</v>
      </c>
      <c r="K414" s="84">
        <v>-0.13745774136138206</v>
      </c>
      <c r="L414" s="112">
        <v>0.13745774136138206</v>
      </c>
      <c r="M414" s="82"/>
    </row>
    <row r="415" spans="1:13">
      <c r="A415" s="111" t="s">
        <v>1440</v>
      </c>
      <c r="B415" s="107" t="s">
        <v>2448</v>
      </c>
      <c r="C415" s="27" t="s">
        <v>1436</v>
      </c>
      <c r="D415" s="27" t="s">
        <v>1147</v>
      </c>
      <c r="E415" s="27" t="s">
        <v>966</v>
      </c>
      <c r="F415" s="27" t="s">
        <v>970</v>
      </c>
      <c r="G415" s="108">
        <v>62.58</v>
      </c>
      <c r="H415" s="109">
        <v>-19.974750949319457</v>
      </c>
      <c r="I415" s="83">
        <v>-319187.4552463959</v>
      </c>
      <c r="J415" s="83">
        <v>2580101.75</v>
      </c>
      <c r="K415" s="84">
        <v>-0.12371118900500568</v>
      </c>
      <c r="L415" s="112">
        <v>0.12371118900500568</v>
      </c>
      <c r="M415" s="82"/>
    </row>
    <row r="416" spans="1:13">
      <c r="A416" s="111" t="s">
        <v>1384</v>
      </c>
      <c r="B416" s="107" t="s">
        <v>2451</v>
      </c>
      <c r="C416" s="27" t="s">
        <v>1368</v>
      </c>
      <c r="D416" s="27" t="s">
        <v>1155</v>
      </c>
      <c r="E416" s="27" t="s">
        <v>966</v>
      </c>
      <c r="F416" s="27" t="s">
        <v>970</v>
      </c>
      <c r="G416" s="108">
        <v>109.13</v>
      </c>
      <c r="H416" s="109">
        <v>-20.456368007559888</v>
      </c>
      <c r="I416" s="83">
        <v>-187449.53731842656</v>
      </c>
      <c r="J416" s="83">
        <v>2432477.25</v>
      </c>
      <c r="K416" s="84">
        <v>-7.706116771222693E-2</v>
      </c>
      <c r="L416" s="112">
        <v>7.706116771222693E-2</v>
      </c>
      <c r="M416" s="82"/>
    </row>
    <row r="417" spans="1:13">
      <c r="A417" s="111" t="s">
        <v>841</v>
      </c>
      <c r="B417" s="107" t="s">
        <v>2449</v>
      </c>
      <c r="C417" s="27" t="s">
        <v>1047</v>
      </c>
      <c r="D417" s="27" t="s">
        <v>1153</v>
      </c>
      <c r="E417" s="27" t="s">
        <v>966</v>
      </c>
      <c r="F417" s="27" t="s">
        <v>970</v>
      </c>
      <c r="G417" s="108">
        <v>98.38</v>
      </c>
      <c r="H417" s="109">
        <v>-20.141083882727767</v>
      </c>
      <c r="I417" s="83">
        <v>-204727.42308119297</v>
      </c>
      <c r="J417" s="83">
        <v>4048493</v>
      </c>
      <c r="K417" s="84">
        <v>-5.0568797594856399E-2</v>
      </c>
      <c r="L417" s="112">
        <v>5.0568797594856399E-2</v>
      </c>
      <c r="M417" s="82"/>
    </row>
    <row r="418" spans="1:13">
      <c r="A418" s="111" t="s">
        <v>325</v>
      </c>
      <c r="B418" s="107" t="s">
        <v>2452</v>
      </c>
      <c r="C418" s="27" t="s">
        <v>151</v>
      </c>
      <c r="D418" s="27" t="s">
        <v>1163</v>
      </c>
      <c r="E418" s="27" t="s">
        <v>966</v>
      </c>
      <c r="F418" s="27" t="s">
        <v>970</v>
      </c>
      <c r="G418" s="108">
        <v>51.85</v>
      </c>
      <c r="H418" s="109">
        <v>-22.010436110514274</v>
      </c>
      <c r="I418" s="83">
        <v>-424502.14292216534</v>
      </c>
      <c r="J418" s="83">
        <v>2391335.75</v>
      </c>
      <c r="K418" s="84">
        <v>-0.17751674683162552</v>
      </c>
      <c r="L418" s="112">
        <v>0.17751674683162552</v>
      </c>
      <c r="M418" s="82"/>
    </row>
    <row r="419" spans="1:13">
      <c r="A419" s="111" t="s">
        <v>277</v>
      </c>
      <c r="B419" s="107" t="s">
        <v>2456</v>
      </c>
      <c r="C419" s="27" t="s">
        <v>105</v>
      </c>
      <c r="D419" s="27" t="s">
        <v>1148</v>
      </c>
      <c r="E419" s="27" t="s">
        <v>966</v>
      </c>
      <c r="F419" s="27" t="s">
        <v>970</v>
      </c>
      <c r="G419" s="108">
        <v>54.04</v>
      </c>
      <c r="H419" s="109">
        <v>-22.422223327430043</v>
      </c>
      <c r="I419" s="83">
        <v>-414919.01050018589</v>
      </c>
      <c r="J419" s="83">
        <v>2257083.5</v>
      </c>
      <c r="K419" s="84">
        <v>-0.1838297123257451</v>
      </c>
      <c r="L419" s="112">
        <v>0.1838297123257451</v>
      </c>
      <c r="M419" s="82"/>
    </row>
    <row r="420" spans="1:13">
      <c r="A420" s="111" t="s">
        <v>1038</v>
      </c>
      <c r="B420" s="107" t="s">
        <v>2454</v>
      </c>
      <c r="C420" s="27" t="s">
        <v>921</v>
      </c>
      <c r="D420" s="27" t="s">
        <v>1167</v>
      </c>
      <c r="E420" s="27" t="s">
        <v>966</v>
      </c>
      <c r="F420" s="27" t="s">
        <v>970</v>
      </c>
      <c r="G420" s="108">
        <v>81.34</v>
      </c>
      <c r="H420" s="109">
        <v>-22.392786317501194</v>
      </c>
      <c r="I420" s="83">
        <v>-275298.57779076946</v>
      </c>
      <c r="J420" s="83">
        <v>2273312</v>
      </c>
      <c r="K420" s="84">
        <v>-0.12110021756396371</v>
      </c>
      <c r="L420" s="112">
        <v>0.12110021756396371</v>
      </c>
      <c r="M420" s="82"/>
    </row>
    <row r="421" spans="1:13">
      <c r="A421" s="111" t="s">
        <v>1213</v>
      </c>
      <c r="B421" s="107" t="s">
        <v>2458</v>
      </c>
      <c r="C421" s="27" t="s">
        <v>735</v>
      </c>
      <c r="D421" s="27" t="s">
        <v>1149</v>
      </c>
      <c r="E421" s="27" t="s">
        <v>966</v>
      </c>
      <c r="F421" s="27" t="s">
        <v>970</v>
      </c>
      <c r="G421" s="108">
        <v>85.05</v>
      </c>
      <c r="H421" s="109">
        <v>-22.570560719650324</v>
      </c>
      <c r="I421" s="83">
        <v>-265379.90264139127</v>
      </c>
      <c r="J421" s="83">
        <v>2503413</v>
      </c>
      <c r="K421" s="84">
        <v>-0.10600723997254599</v>
      </c>
      <c r="L421" s="112">
        <v>0.10600723997254599</v>
      </c>
      <c r="M421" s="82"/>
    </row>
    <row r="422" spans="1:13">
      <c r="A422" s="111" t="s">
        <v>1334</v>
      </c>
      <c r="B422" s="107" t="s">
        <v>2460</v>
      </c>
      <c r="C422" s="27" t="s">
        <v>39</v>
      </c>
      <c r="D422" s="27" t="s">
        <v>1164</v>
      </c>
      <c r="E422" s="27" t="s">
        <v>966</v>
      </c>
      <c r="F422" s="27" t="s">
        <v>970</v>
      </c>
      <c r="G422" s="108">
        <v>115.54</v>
      </c>
      <c r="H422" s="109">
        <v>-23.207804925816621</v>
      </c>
      <c r="I422" s="83">
        <v>-200863.81275589945</v>
      </c>
      <c r="J422" s="83">
        <v>773569.1875</v>
      </c>
      <c r="K422" s="84">
        <v>-0.2596584972638914</v>
      </c>
      <c r="L422" s="112">
        <v>0.2596584972638914</v>
      </c>
      <c r="M422" s="82"/>
    </row>
    <row r="423" spans="1:13">
      <c r="A423" s="111" t="s">
        <v>1612</v>
      </c>
      <c r="B423" s="107" t="s">
        <v>2462</v>
      </c>
      <c r="C423" s="27" t="s">
        <v>1641</v>
      </c>
      <c r="D423" s="27" t="s">
        <v>1166</v>
      </c>
      <c r="E423" s="27" t="s">
        <v>966</v>
      </c>
      <c r="F423" s="27" t="s">
        <v>970</v>
      </c>
      <c r="G423" s="108">
        <v>44.44</v>
      </c>
      <c r="H423" s="109">
        <v>-23.613496835576896</v>
      </c>
      <c r="I423" s="83">
        <v>-531356.81448192836</v>
      </c>
      <c r="J423" s="83">
        <v>4989544</v>
      </c>
      <c r="K423" s="84">
        <v>-0.10649406328151999</v>
      </c>
      <c r="L423" s="112">
        <v>0.10649406328151999</v>
      </c>
      <c r="M423" s="82"/>
    </row>
    <row r="424" spans="1:13">
      <c r="A424" s="111" t="s">
        <v>1332</v>
      </c>
      <c r="B424" s="107" t="s">
        <v>2466</v>
      </c>
      <c r="C424" s="27" t="s">
        <v>1373</v>
      </c>
      <c r="D424" s="27" t="s">
        <v>1166</v>
      </c>
      <c r="E424" s="27" t="s">
        <v>966</v>
      </c>
      <c r="F424" s="27" t="s">
        <v>970</v>
      </c>
      <c r="G424" s="108">
        <v>51.73</v>
      </c>
      <c r="H424" s="109">
        <v>-23.780631018813644</v>
      </c>
      <c r="I424" s="83">
        <v>-459706.76626355387</v>
      </c>
      <c r="J424" s="83">
        <v>2311442</v>
      </c>
      <c r="K424" s="84">
        <v>-0.19888310684998969</v>
      </c>
      <c r="L424" s="112">
        <v>0.19888310684998969</v>
      </c>
      <c r="M424" s="82"/>
    </row>
    <row r="425" spans="1:13">
      <c r="A425" s="111" t="s">
        <v>1310</v>
      </c>
      <c r="B425" s="107" t="s">
        <v>2463</v>
      </c>
      <c r="C425" s="27" t="s">
        <v>1639</v>
      </c>
      <c r="D425" s="27" t="s">
        <v>1157</v>
      </c>
      <c r="E425" s="27" t="s">
        <v>966</v>
      </c>
      <c r="F425" s="27" t="s">
        <v>970</v>
      </c>
      <c r="G425" s="108">
        <v>236.18</v>
      </c>
      <c r="H425" s="109">
        <v>-23.73333393693763</v>
      </c>
      <c r="I425" s="83">
        <v>-100488.33066702358</v>
      </c>
      <c r="J425" s="83">
        <v>460453.5625</v>
      </c>
      <c r="K425" s="84">
        <v>-0.21823770918706611</v>
      </c>
      <c r="L425" s="112">
        <v>0.21823770918706611</v>
      </c>
      <c r="M425" s="82"/>
    </row>
    <row r="426" spans="1:13">
      <c r="A426" s="111" t="s">
        <v>1309</v>
      </c>
      <c r="B426" s="107" t="s">
        <v>2464</v>
      </c>
      <c r="C426" s="27" t="s">
        <v>16</v>
      </c>
      <c r="D426" s="27" t="s">
        <v>1149</v>
      </c>
      <c r="E426" s="27" t="s">
        <v>966</v>
      </c>
      <c r="F426" s="27" t="s">
        <v>970</v>
      </c>
      <c r="G426" s="108">
        <v>186.09</v>
      </c>
      <c r="H426" s="109">
        <v>-23.744440176438392</v>
      </c>
      <c r="I426" s="83">
        <v>-127596.54025707126</v>
      </c>
      <c r="J426" s="83">
        <v>1222060.125</v>
      </c>
      <c r="K426" s="84">
        <v>-0.10441101681234485</v>
      </c>
      <c r="L426" s="112">
        <v>0.10441101681234485</v>
      </c>
      <c r="M426" s="82"/>
    </row>
    <row r="427" spans="1:13">
      <c r="A427" s="111" t="s">
        <v>1613</v>
      </c>
      <c r="B427" s="107" t="s">
        <v>2470</v>
      </c>
      <c r="C427" s="27" t="s">
        <v>1642</v>
      </c>
      <c r="D427" s="27" t="s">
        <v>1157</v>
      </c>
      <c r="E427" s="27" t="s">
        <v>966</v>
      </c>
      <c r="F427" s="27" t="s">
        <v>970</v>
      </c>
      <c r="G427" s="108">
        <v>15.31</v>
      </c>
      <c r="H427" s="109">
        <v>-24.223583233320866</v>
      </c>
      <c r="I427" s="83">
        <v>-1582206.6122351969</v>
      </c>
      <c r="J427" s="83">
        <v>2782540.75</v>
      </c>
      <c r="K427" s="84">
        <v>-0.568619385802417</v>
      </c>
      <c r="L427" s="112">
        <v>0.568619385802417</v>
      </c>
      <c r="M427" s="82"/>
    </row>
    <row r="428" spans="1:13">
      <c r="A428" s="111" t="s">
        <v>1328</v>
      </c>
      <c r="B428" s="107" t="s">
        <v>2468</v>
      </c>
      <c r="C428" s="27" t="s">
        <v>34</v>
      </c>
      <c r="D428" s="27" t="s">
        <v>1169</v>
      </c>
      <c r="E428" s="27" t="s">
        <v>966</v>
      </c>
      <c r="F428" s="27" t="s">
        <v>970</v>
      </c>
      <c r="G428" s="108">
        <v>37.799999999999997</v>
      </c>
      <c r="H428" s="109">
        <v>-23.990720596851393</v>
      </c>
      <c r="I428" s="83">
        <v>-634675.14806485164</v>
      </c>
      <c r="J428" s="83">
        <v>5846324.5</v>
      </c>
      <c r="K428" s="84">
        <v>-0.1085596853313311</v>
      </c>
      <c r="L428" s="112">
        <v>0.1085596853313311</v>
      </c>
      <c r="M428" s="82"/>
    </row>
    <row r="429" spans="1:13">
      <c r="A429" s="111" t="s">
        <v>1251</v>
      </c>
      <c r="B429" s="107" t="s">
        <v>2473</v>
      </c>
      <c r="C429" s="27" t="s">
        <v>768</v>
      </c>
      <c r="D429" s="27" t="s">
        <v>1164</v>
      </c>
      <c r="E429" s="27" t="s">
        <v>966</v>
      </c>
      <c r="F429" s="27" t="s">
        <v>970</v>
      </c>
      <c r="G429" s="108">
        <v>64.650000000000006</v>
      </c>
      <c r="H429" s="109">
        <v>-25.052902202047186</v>
      </c>
      <c r="I429" s="83">
        <v>-387515.88866275613</v>
      </c>
      <c r="J429" s="83">
        <v>1689258.375</v>
      </c>
      <c r="K429" s="84">
        <v>-0.22940001032272883</v>
      </c>
      <c r="L429" s="112">
        <v>0.22940001032272883</v>
      </c>
      <c r="M429" s="82"/>
    </row>
    <row r="430" spans="1:13">
      <c r="A430" s="111" t="s">
        <v>1330</v>
      </c>
      <c r="B430" s="107" t="s">
        <v>2475</v>
      </c>
      <c r="C430" s="27" t="s">
        <v>36</v>
      </c>
      <c r="D430" s="27" t="s">
        <v>1155</v>
      </c>
      <c r="E430" s="27" t="s">
        <v>966</v>
      </c>
      <c r="F430" s="27" t="s">
        <v>970</v>
      </c>
      <c r="G430" s="108">
        <v>38.799999999999997</v>
      </c>
      <c r="H430" s="109">
        <v>-25.060859865231063</v>
      </c>
      <c r="I430" s="83">
        <v>-645898.45013482112</v>
      </c>
      <c r="J430" s="83">
        <v>1741353.625</v>
      </c>
      <c r="K430" s="84">
        <v>-0.37091745229796225</v>
      </c>
      <c r="L430" s="112">
        <v>0.37091745229796225</v>
      </c>
      <c r="M430" s="82"/>
    </row>
    <row r="431" spans="1:13">
      <c r="A431" s="111" t="s">
        <v>1473</v>
      </c>
      <c r="B431" s="107" t="s">
        <v>2471</v>
      </c>
      <c r="C431" s="27" t="s">
        <v>1478</v>
      </c>
      <c r="D431" s="27" t="s">
        <v>1156</v>
      </c>
      <c r="E431" s="27" t="s">
        <v>966</v>
      </c>
      <c r="F431" s="27" t="s">
        <v>970</v>
      </c>
      <c r="G431" s="108">
        <v>84.95</v>
      </c>
      <c r="H431" s="109">
        <v>-24.825698803434747</v>
      </c>
      <c r="I431" s="83">
        <v>-292238.95001100347</v>
      </c>
      <c r="J431" s="83">
        <v>1998396.625</v>
      </c>
      <c r="K431" s="84">
        <v>-0.14623671114887091</v>
      </c>
      <c r="L431" s="112">
        <v>0.14623671114887091</v>
      </c>
      <c r="M431" s="82"/>
    </row>
    <row r="432" spans="1:13">
      <c r="A432" s="111" t="s">
        <v>1475</v>
      </c>
      <c r="B432" s="107" t="s">
        <v>2477</v>
      </c>
      <c r="C432" s="27" t="s">
        <v>1481</v>
      </c>
      <c r="D432" s="27" t="s">
        <v>1160</v>
      </c>
      <c r="E432" s="27" t="s">
        <v>966</v>
      </c>
      <c r="F432" s="27" t="s">
        <v>970</v>
      </c>
      <c r="G432" s="108">
        <v>84.32</v>
      </c>
      <c r="H432" s="109">
        <v>-26.631622182548199</v>
      </c>
      <c r="I432" s="83">
        <v>-315839.92151978414</v>
      </c>
      <c r="J432" s="83">
        <v>3871681.75</v>
      </c>
      <c r="K432" s="84">
        <v>-8.1576932690757484E-2</v>
      </c>
      <c r="L432" s="112">
        <v>8.1576932690757484E-2</v>
      </c>
      <c r="M432" s="82"/>
    </row>
    <row r="433" spans="1:13">
      <c r="A433" s="111" t="s">
        <v>255</v>
      </c>
      <c r="B433" s="107" t="s">
        <v>2478</v>
      </c>
      <c r="C433" s="27" t="s">
        <v>85</v>
      </c>
      <c r="D433" s="27" t="s">
        <v>1165</v>
      </c>
      <c r="E433" s="27" t="s">
        <v>966</v>
      </c>
      <c r="F433" s="27" t="s">
        <v>970</v>
      </c>
      <c r="G433" s="108">
        <v>96.07</v>
      </c>
      <c r="H433" s="109">
        <v>-27.449920798505751</v>
      </c>
      <c r="I433" s="83">
        <v>-285728.33140944887</v>
      </c>
      <c r="J433" s="83">
        <v>1808959.5</v>
      </c>
      <c r="K433" s="84">
        <v>-0.15795175702355352</v>
      </c>
      <c r="L433" s="112">
        <v>0.15795175702355352</v>
      </c>
      <c r="M433" s="82"/>
    </row>
    <row r="434" spans="1:13">
      <c r="A434" s="111" t="s">
        <v>1223</v>
      </c>
      <c r="B434" s="107" t="s">
        <v>2484</v>
      </c>
      <c r="C434" s="27" t="s">
        <v>744</v>
      </c>
      <c r="D434" s="27" t="s">
        <v>1167</v>
      </c>
      <c r="E434" s="27" t="s">
        <v>966</v>
      </c>
      <c r="F434" s="27" t="s">
        <v>970</v>
      </c>
      <c r="G434" s="108">
        <v>69.099999999999994</v>
      </c>
      <c r="H434" s="109">
        <v>-28.253143544466074</v>
      </c>
      <c r="I434" s="83">
        <v>-408873.27850167983</v>
      </c>
      <c r="J434" s="83">
        <v>1538744.875</v>
      </c>
      <c r="K434" s="84">
        <v>-0.26571869394637615</v>
      </c>
      <c r="L434" s="112">
        <v>0.26571869394637615</v>
      </c>
      <c r="M434" s="82"/>
    </row>
    <row r="435" spans="1:13">
      <c r="A435" s="111" t="s">
        <v>1215</v>
      </c>
      <c r="B435" s="107" t="s">
        <v>2486</v>
      </c>
      <c r="C435" s="27" t="s">
        <v>737</v>
      </c>
      <c r="D435" s="27" t="s">
        <v>1155</v>
      </c>
      <c r="E435" s="27" t="s">
        <v>966</v>
      </c>
      <c r="F435" s="27" t="s">
        <v>970</v>
      </c>
      <c r="G435" s="108">
        <v>124.89</v>
      </c>
      <c r="H435" s="109">
        <v>-28.268699308374913</v>
      </c>
      <c r="I435" s="83">
        <v>-226348.7813946266</v>
      </c>
      <c r="J435" s="83">
        <v>1811669</v>
      </c>
      <c r="K435" s="84">
        <v>-0.1249393688331735</v>
      </c>
      <c r="L435" s="112">
        <v>0.1249393688331735</v>
      </c>
      <c r="M435" s="82"/>
    </row>
    <row r="436" spans="1:13">
      <c r="A436" s="111" t="s">
        <v>275</v>
      </c>
      <c r="B436" s="107" t="s">
        <v>2480</v>
      </c>
      <c r="C436" s="27" t="s">
        <v>1530</v>
      </c>
      <c r="D436" s="27" t="s">
        <v>1157</v>
      </c>
      <c r="E436" s="27" t="s">
        <v>966</v>
      </c>
      <c r="F436" s="27" t="s">
        <v>968</v>
      </c>
      <c r="G436" s="108">
        <v>33.85</v>
      </c>
      <c r="H436" s="109">
        <v>-28.155952993898858</v>
      </c>
      <c r="I436" s="83">
        <v>-831785.90823925729</v>
      </c>
      <c r="J436" s="83">
        <v>7907727.5</v>
      </c>
      <c r="K436" s="84">
        <v>-0.10518646580060546</v>
      </c>
      <c r="L436" s="112">
        <v>0.10518646580060546</v>
      </c>
      <c r="M436" s="82"/>
    </row>
    <row r="437" spans="1:13">
      <c r="A437" s="111" t="s">
        <v>1340</v>
      </c>
      <c r="B437" s="107" t="s">
        <v>2488</v>
      </c>
      <c r="C437" s="27" t="s">
        <v>44</v>
      </c>
      <c r="D437" s="27" t="s">
        <v>1167</v>
      </c>
      <c r="E437" s="27" t="s">
        <v>966</v>
      </c>
      <c r="F437" s="27" t="s">
        <v>970</v>
      </c>
      <c r="G437" s="108">
        <v>38.68</v>
      </c>
      <c r="H437" s="109">
        <v>-29.453441203871584</v>
      </c>
      <c r="I437" s="83">
        <v>-761464.35377124045</v>
      </c>
      <c r="J437" s="83">
        <v>8303560</v>
      </c>
      <c r="K437" s="84">
        <v>-9.1703360217935501E-2</v>
      </c>
      <c r="L437" s="112">
        <v>9.1703360217935501E-2</v>
      </c>
      <c r="M437" s="82"/>
    </row>
    <row r="438" spans="1:13">
      <c r="A438" s="111" t="s">
        <v>1538</v>
      </c>
      <c r="B438" s="107" t="s">
        <v>2492</v>
      </c>
      <c r="C438" s="27" t="s">
        <v>1543</v>
      </c>
      <c r="D438" s="27" t="s">
        <v>1170</v>
      </c>
      <c r="E438" s="27" t="s">
        <v>966</v>
      </c>
      <c r="F438" s="27" t="s">
        <v>970</v>
      </c>
      <c r="G438" s="108">
        <v>76.33</v>
      </c>
      <c r="H438" s="109">
        <v>-29.684589513269117</v>
      </c>
      <c r="I438" s="83">
        <v>-388898.06777504407</v>
      </c>
      <c r="J438" s="83">
        <v>2681434.25</v>
      </c>
      <c r="K438" s="84">
        <v>-0.14503360198932497</v>
      </c>
      <c r="L438" s="112">
        <v>0.14503360198932497</v>
      </c>
      <c r="M438" s="82"/>
    </row>
    <row r="439" spans="1:13">
      <c r="A439" s="111" t="s">
        <v>1019</v>
      </c>
      <c r="B439" s="107" t="s">
        <v>2482</v>
      </c>
      <c r="C439" s="27" t="s">
        <v>903</v>
      </c>
      <c r="D439" s="27" t="s">
        <v>1151</v>
      </c>
      <c r="E439" s="27" t="s">
        <v>966</v>
      </c>
      <c r="F439" s="27" t="s">
        <v>970</v>
      </c>
      <c r="G439" s="108">
        <v>156.16</v>
      </c>
      <c r="H439" s="109">
        <v>-28.227950270605746</v>
      </c>
      <c r="I439" s="83">
        <v>-180763.00122057981</v>
      </c>
      <c r="J439" s="83">
        <v>4597264.5</v>
      </c>
      <c r="K439" s="84">
        <v>-3.9319687005300613E-2</v>
      </c>
      <c r="L439" s="112">
        <v>3.9319687005300613E-2</v>
      </c>
      <c r="M439" s="82"/>
    </row>
    <row r="440" spans="1:13">
      <c r="A440" s="111" t="s">
        <v>1290</v>
      </c>
      <c r="B440" s="107" t="s">
        <v>2493</v>
      </c>
      <c r="C440" s="27" t="s">
        <v>688</v>
      </c>
      <c r="D440" s="27" t="s">
        <v>1159</v>
      </c>
      <c r="E440" s="27" t="s">
        <v>966</v>
      </c>
      <c r="F440" s="27" t="s">
        <v>968</v>
      </c>
      <c r="G440" s="108">
        <v>35.1</v>
      </c>
      <c r="H440" s="109">
        <v>-30.18138003796734</v>
      </c>
      <c r="I440" s="83">
        <v>-859868.37715006655</v>
      </c>
      <c r="J440" s="83">
        <v>4309324</v>
      </c>
      <c r="K440" s="84">
        <v>-0.19953672017932894</v>
      </c>
      <c r="L440" s="112">
        <v>0.19953672017932894</v>
      </c>
      <c r="M440" s="82"/>
    </row>
    <row r="441" spans="1:13">
      <c r="A441" s="111" t="s">
        <v>308</v>
      </c>
      <c r="B441" s="107" t="s">
        <v>2495</v>
      </c>
      <c r="C441" s="27" t="s">
        <v>134</v>
      </c>
      <c r="D441" s="27" t="s">
        <v>1160</v>
      </c>
      <c r="E441" s="27" t="s">
        <v>966</v>
      </c>
      <c r="F441" s="27" t="s">
        <v>970</v>
      </c>
      <c r="G441" s="108">
        <v>109.38</v>
      </c>
      <c r="H441" s="109">
        <v>-30.20358627408357</v>
      </c>
      <c r="I441" s="83">
        <v>-276134.45121670846</v>
      </c>
      <c r="J441" s="83">
        <v>2298157</v>
      </c>
      <c r="K441" s="84">
        <v>-0.12015473756436504</v>
      </c>
      <c r="L441" s="112">
        <v>0.12015473756436504</v>
      </c>
      <c r="M441" s="82"/>
    </row>
    <row r="442" spans="1:13">
      <c r="A442" s="111" t="s">
        <v>855</v>
      </c>
      <c r="B442" s="107" t="s">
        <v>2490</v>
      </c>
      <c r="C442" s="27" t="s">
        <v>1061</v>
      </c>
      <c r="D442" s="27" t="s">
        <v>1165</v>
      </c>
      <c r="E442" s="27" t="s">
        <v>966</v>
      </c>
      <c r="F442" s="27" t="s">
        <v>970</v>
      </c>
      <c r="G442" s="108">
        <v>44.89</v>
      </c>
      <c r="H442" s="109">
        <v>-29.57081774823078</v>
      </c>
      <c r="I442" s="83">
        <v>-658739.53549188632</v>
      </c>
      <c r="J442" s="83">
        <v>6146559.5</v>
      </c>
      <c r="K442" s="84">
        <v>-0.10717207496191752</v>
      </c>
      <c r="L442" s="112">
        <v>0.10717207496191752</v>
      </c>
      <c r="M442" s="82"/>
    </row>
    <row r="443" spans="1:13">
      <c r="A443" s="111" t="s">
        <v>1172</v>
      </c>
      <c r="B443" s="107" t="s">
        <v>2497</v>
      </c>
      <c r="C443" s="27" t="s">
        <v>698</v>
      </c>
      <c r="D443" s="27" t="s">
        <v>1149</v>
      </c>
      <c r="E443" s="27" t="s">
        <v>966</v>
      </c>
      <c r="F443" s="27" t="s">
        <v>970</v>
      </c>
      <c r="G443" s="108">
        <v>104.38</v>
      </c>
      <c r="H443" s="109">
        <v>-31.108226551548498</v>
      </c>
      <c r="I443" s="83">
        <v>-298028.61229688156</v>
      </c>
      <c r="J443" s="83">
        <v>2222702.5</v>
      </c>
      <c r="K443" s="84">
        <v>-0.13408389665143292</v>
      </c>
      <c r="L443" s="112">
        <v>0.13408389665143292</v>
      </c>
      <c r="M443" s="82"/>
    </row>
    <row r="444" spans="1:13">
      <c r="A444" s="111" t="s">
        <v>1239</v>
      </c>
      <c r="B444" s="107" t="s">
        <v>2501</v>
      </c>
      <c r="C444" s="27" t="s">
        <v>758</v>
      </c>
      <c r="D444" s="27" t="s">
        <v>1163</v>
      </c>
      <c r="E444" s="27" t="s">
        <v>966</v>
      </c>
      <c r="F444" s="27" t="s">
        <v>970</v>
      </c>
      <c r="G444" s="108">
        <v>87.85</v>
      </c>
      <c r="H444" s="109">
        <v>-32.024924584682637</v>
      </c>
      <c r="I444" s="83">
        <v>-364540.97421380354</v>
      </c>
      <c r="J444" s="83">
        <v>572070.375</v>
      </c>
      <c r="K444" s="84">
        <v>-0.63723099489954105</v>
      </c>
      <c r="L444" s="112">
        <v>0.63723099489954105</v>
      </c>
      <c r="M444" s="82"/>
    </row>
    <row r="445" spans="1:13">
      <c r="A445" s="111" t="s">
        <v>1005</v>
      </c>
      <c r="B445" s="107" t="s">
        <v>2499</v>
      </c>
      <c r="C445" s="27" t="s">
        <v>890</v>
      </c>
      <c r="D445" s="27" t="s">
        <v>1147</v>
      </c>
      <c r="E445" s="27" t="s">
        <v>966</v>
      </c>
      <c r="F445" s="27" t="s">
        <v>970</v>
      </c>
      <c r="G445" s="108">
        <v>26.38</v>
      </c>
      <c r="H445" s="109">
        <v>-31.789926330707022</v>
      </c>
      <c r="I445" s="83">
        <v>-1205076.8131427986</v>
      </c>
      <c r="J445" s="83">
        <v>17398936</v>
      </c>
      <c r="K445" s="84">
        <v>-6.926152341400639E-2</v>
      </c>
      <c r="L445" s="112">
        <v>6.926152341400639E-2</v>
      </c>
      <c r="M445" s="82"/>
    </row>
    <row r="446" spans="1:13">
      <c r="A446" s="111" t="s">
        <v>1034</v>
      </c>
      <c r="B446" s="107" t="s">
        <v>2505</v>
      </c>
      <c r="C446" s="27" t="s">
        <v>917</v>
      </c>
      <c r="D446" s="27" t="s">
        <v>1157</v>
      </c>
      <c r="E446" s="27" t="s">
        <v>966</v>
      </c>
      <c r="F446" s="27" t="s">
        <v>970</v>
      </c>
      <c r="G446" s="108">
        <v>37.57</v>
      </c>
      <c r="H446" s="109">
        <v>-32.559597332617308</v>
      </c>
      <c r="I446" s="83">
        <v>-866638.20422191394</v>
      </c>
      <c r="J446" s="83">
        <v>9000244</v>
      </c>
      <c r="K446" s="84">
        <v>-9.6290523259359856E-2</v>
      </c>
      <c r="L446" s="112">
        <v>9.6290523259359856E-2</v>
      </c>
      <c r="M446" s="82"/>
    </row>
    <row r="447" spans="1:13">
      <c r="A447" s="111" t="s">
        <v>1002</v>
      </c>
      <c r="B447" s="107" t="s">
        <v>2503</v>
      </c>
      <c r="C447" s="27" t="s">
        <v>887</v>
      </c>
      <c r="D447" s="27" t="s">
        <v>1168</v>
      </c>
      <c r="E447" s="27" t="s">
        <v>966</v>
      </c>
      <c r="F447" s="27" t="s">
        <v>970</v>
      </c>
      <c r="G447" s="108">
        <v>106.99</v>
      </c>
      <c r="H447" s="109">
        <v>-32.173821104403089</v>
      </c>
      <c r="I447" s="83">
        <v>-300718.02135155705</v>
      </c>
      <c r="J447" s="83">
        <v>13033972</v>
      </c>
      <c r="K447" s="84">
        <v>-2.3071863385279411E-2</v>
      </c>
      <c r="L447" s="112">
        <v>2.3071863385279411E-2</v>
      </c>
      <c r="M447" s="82"/>
    </row>
    <row r="448" spans="1:13">
      <c r="A448" s="111" t="s">
        <v>1419</v>
      </c>
      <c r="B448" s="113" t="s">
        <v>2507</v>
      </c>
      <c r="C448" s="27" t="s">
        <v>1421</v>
      </c>
      <c r="D448" s="27" t="s">
        <v>1160</v>
      </c>
      <c r="E448" s="27" t="s">
        <v>966</v>
      </c>
      <c r="F448" s="27" t="s">
        <v>970</v>
      </c>
      <c r="G448" s="108">
        <v>57.8</v>
      </c>
      <c r="H448" s="109">
        <v>-34.646233695062165</v>
      </c>
      <c r="I448" s="83">
        <v>-599415.80787304789</v>
      </c>
      <c r="J448" s="83">
        <v>5997126</v>
      </c>
      <c r="K448" s="84">
        <v>-9.9950510940248358E-2</v>
      </c>
      <c r="L448" s="112">
        <v>9.9950510940248358E-2</v>
      </c>
      <c r="M448" s="82"/>
    </row>
    <row r="449" spans="1:13">
      <c r="A449" s="111" t="s">
        <v>1671</v>
      </c>
      <c r="B449" s="107" t="s">
        <v>2508</v>
      </c>
      <c r="C449" s="27" t="s">
        <v>1687</v>
      </c>
      <c r="D449" s="27" t="s">
        <v>1149</v>
      </c>
      <c r="E449" s="27" t="s">
        <v>966</v>
      </c>
      <c r="F449" s="27" t="s">
        <v>970</v>
      </c>
      <c r="G449" s="108">
        <v>149.47</v>
      </c>
      <c r="H449" s="109">
        <v>-34.674475763052577</v>
      </c>
      <c r="I449" s="83">
        <v>-231982.84447081407</v>
      </c>
      <c r="J449" s="83">
        <v>2147234.25</v>
      </c>
      <c r="K449" s="84">
        <v>-0.10803797697936966</v>
      </c>
      <c r="L449" s="112">
        <v>0.10803797697936966</v>
      </c>
      <c r="M449" s="82"/>
    </row>
    <row r="450" spans="1:13">
      <c r="A450" s="111" t="s">
        <v>238</v>
      </c>
      <c r="B450" s="107" t="s">
        <v>2510</v>
      </c>
      <c r="C450" s="27" t="s">
        <v>70</v>
      </c>
      <c r="D450" s="27" t="s">
        <v>1159</v>
      </c>
      <c r="E450" s="27" t="s">
        <v>966</v>
      </c>
      <c r="F450" s="27" t="s">
        <v>970</v>
      </c>
      <c r="G450" s="108">
        <v>247.24</v>
      </c>
      <c r="H450" s="109">
        <v>-35.23132025972771</v>
      </c>
      <c r="I450" s="83">
        <v>-142498.46408238029</v>
      </c>
      <c r="J450" s="83">
        <v>601867.3125</v>
      </c>
      <c r="K450" s="84">
        <v>-0.23676059676754799</v>
      </c>
      <c r="L450" s="112">
        <v>0.23676059676754799</v>
      </c>
      <c r="M450" s="82"/>
    </row>
    <row r="451" spans="1:13">
      <c r="A451" s="111" t="s">
        <v>1189</v>
      </c>
      <c r="B451" s="107" t="s">
        <v>2511</v>
      </c>
      <c r="C451" s="27" t="s">
        <v>714</v>
      </c>
      <c r="D451" s="27" t="s">
        <v>1157</v>
      </c>
      <c r="E451" s="27" t="s">
        <v>966</v>
      </c>
      <c r="F451" s="27" t="s">
        <v>970</v>
      </c>
      <c r="G451" s="108">
        <v>121.85</v>
      </c>
      <c r="H451" s="109">
        <v>-35.567819589361036</v>
      </c>
      <c r="I451" s="83">
        <v>-291898.39630169095</v>
      </c>
      <c r="J451" s="83">
        <v>1158088</v>
      </c>
      <c r="K451" s="84">
        <v>-0.25205199976313625</v>
      </c>
      <c r="L451" s="112">
        <v>0.25205199976313625</v>
      </c>
      <c r="M451" s="82"/>
    </row>
    <row r="452" spans="1:13">
      <c r="A452" s="111" t="s">
        <v>1245</v>
      </c>
      <c r="B452" s="107" t="s">
        <v>2512</v>
      </c>
      <c r="C452" s="27" t="s">
        <v>763</v>
      </c>
      <c r="D452" s="27" t="s">
        <v>1157</v>
      </c>
      <c r="E452" s="27" t="s">
        <v>966</v>
      </c>
      <c r="F452" s="27" t="s">
        <v>970</v>
      </c>
      <c r="G452" s="108">
        <v>55.5</v>
      </c>
      <c r="H452" s="109">
        <v>-36.200016989391301</v>
      </c>
      <c r="I452" s="83">
        <v>-652252.55836741079</v>
      </c>
      <c r="J452" s="83">
        <v>3831547.75</v>
      </c>
      <c r="K452" s="84">
        <v>-0.17023213618241109</v>
      </c>
      <c r="L452" s="112">
        <v>0.17023213618241109</v>
      </c>
      <c r="M452" s="82"/>
    </row>
    <row r="453" spans="1:13">
      <c r="A453" s="111" t="s">
        <v>319</v>
      </c>
      <c r="B453" s="107" t="s">
        <v>2513</v>
      </c>
      <c r="C453" s="27" t="s">
        <v>145</v>
      </c>
      <c r="D453" s="27" t="s">
        <v>1151</v>
      </c>
      <c r="E453" s="27" t="s">
        <v>966</v>
      </c>
      <c r="F453" s="27" t="s">
        <v>968</v>
      </c>
      <c r="G453" s="108">
        <v>70.72</v>
      </c>
      <c r="H453" s="109">
        <v>-37.381607431393121</v>
      </c>
      <c r="I453" s="83">
        <v>-528586.07793259493</v>
      </c>
      <c r="J453" s="83">
        <v>1088930.875</v>
      </c>
      <c r="K453" s="84">
        <v>-0.48541747696573939</v>
      </c>
      <c r="L453" s="112">
        <v>0.48541747696573939</v>
      </c>
      <c r="M453" s="82"/>
    </row>
    <row r="454" spans="1:13">
      <c r="A454" s="111" t="s">
        <v>863</v>
      </c>
      <c r="B454" s="107" t="s">
        <v>2515</v>
      </c>
      <c r="C454" s="27" t="s">
        <v>1068</v>
      </c>
      <c r="D454" s="27" t="s">
        <v>1151</v>
      </c>
      <c r="E454" s="27" t="s">
        <v>966</v>
      </c>
      <c r="F454" s="27" t="s">
        <v>970</v>
      </c>
      <c r="G454" s="108">
        <v>11.01</v>
      </c>
      <c r="H454" s="109">
        <v>-37.425085208772096</v>
      </c>
      <c r="I454" s="83">
        <v>-3399190.3005242595</v>
      </c>
      <c r="J454" s="83">
        <v>14234499</v>
      </c>
      <c r="K454" s="84">
        <v>-0.23879943372255388</v>
      </c>
      <c r="L454" s="112">
        <v>0.23879943372255388</v>
      </c>
      <c r="M454" s="82"/>
    </row>
    <row r="455" spans="1:13">
      <c r="A455" s="111" t="s">
        <v>230</v>
      </c>
      <c r="B455" s="107" t="s">
        <v>2517</v>
      </c>
      <c r="C455" s="27" t="s">
        <v>63</v>
      </c>
      <c r="D455" s="27" t="s">
        <v>1147</v>
      </c>
      <c r="E455" s="27" t="s">
        <v>966</v>
      </c>
      <c r="F455" s="27" t="s">
        <v>970</v>
      </c>
      <c r="G455" s="108">
        <v>30.99</v>
      </c>
      <c r="H455" s="109">
        <v>-38.119759620119034</v>
      </c>
      <c r="I455" s="83">
        <v>-1230066.4607976456</v>
      </c>
      <c r="J455" s="83">
        <v>3113197</v>
      </c>
      <c r="K455" s="84">
        <v>-0.39511359570166799</v>
      </c>
      <c r="L455" s="112">
        <v>0.39511359570166799</v>
      </c>
      <c r="M455" s="82"/>
    </row>
    <row r="456" spans="1:13">
      <c r="A456" s="111" t="s">
        <v>1347</v>
      </c>
      <c r="B456" s="107" t="s">
        <v>2519</v>
      </c>
      <c r="C456" s="27" t="s">
        <v>51</v>
      </c>
      <c r="D456" s="27" t="s">
        <v>1157</v>
      </c>
      <c r="E456" s="27" t="s">
        <v>966</v>
      </c>
      <c r="F456" s="27" t="s">
        <v>968</v>
      </c>
      <c r="G456" s="108">
        <v>109.43</v>
      </c>
      <c r="H456" s="109">
        <v>-38.306355951843905</v>
      </c>
      <c r="I456" s="83">
        <v>-350053.51322163851</v>
      </c>
      <c r="J456" s="83">
        <v>740957</v>
      </c>
      <c r="K456" s="84">
        <v>-0.47243431565075777</v>
      </c>
      <c r="L456" s="112">
        <v>0.47243431565075777</v>
      </c>
      <c r="M456" s="82"/>
    </row>
    <row r="457" spans="1:13">
      <c r="A457" s="111" t="s">
        <v>1217</v>
      </c>
      <c r="B457" s="107" t="s">
        <v>2521</v>
      </c>
      <c r="C457" s="27" t="s">
        <v>738</v>
      </c>
      <c r="D457" s="27" t="s">
        <v>1168</v>
      </c>
      <c r="E457" s="27" t="s">
        <v>966</v>
      </c>
      <c r="F457" s="27" t="s">
        <v>970</v>
      </c>
      <c r="G457" s="108">
        <v>50.17</v>
      </c>
      <c r="H457" s="109">
        <v>-39.26960579660728</v>
      </c>
      <c r="I457" s="83">
        <v>-782730.83110638382</v>
      </c>
      <c r="J457" s="83">
        <v>5433313.5</v>
      </c>
      <c r="K457" s="84">
        <v>-0.1440614150290396</v>
      </c>
      <c r="L457" s="112">
        <v>0.1440614150290396</v>
      </c>
      <c r="M457" s="82"/>
    </row>
    <row r="458" spans="1:13">
      <c r="A458" s="111" t="s">
        <v>262</v>
      </c>
      <c r="B458" s="107" t="s">
        <v>2524</v>
      </c>
      <c r="C458" s="27" t="s">
        <v>92</v>
      </c>
      <c r="D458" s="27" t="s">
        <v>1164</v>
      </c>
      <c r="E458" s="27" t="s">
        <v>966</v>
      </c>
      <c r="F458" s="27" t="s">
        <v>970</v>
      </c>
      <c r="G458" s="108">
        <v>24.94</v>
      </c>
      <c r="H458" s="109">
        <v>-41.228171392015248</v>
      </c>
      <c r="I458" s="83">
        <v>-1653094.2819573076</v>
      </c>
      <c r="J458" s="83">
        <v>3198556.25</v>
      </c>
      <c r="K458" s="84">
        <v>-0.51682514007915525</v>
      </c>
      <c r="L458" s="112">
        <v>0.51682514007915525</v>
      </c>
      <c r="M458" s="82"/>
    </row>
    <row r="459" spans="1:13">
      <c r="A459" s="111" t="s">
        <v>1204</v>
      </c>
      <c r="B459" s="107" t="s">
        <v>2522</v>
      </c>
      <c r="C459" s="27" t="s">
        <v>727</v>
      </c>
      <c r="D459" s="27" t="s">
        <v>1157</v>
      </c>
      <c r="E459" s="27" t="s">
        <v>966</v>
      </c>
      <c r="F459" s="27" t="s">
        <v>968</v>
      </c>
      <c r="G459" s="108">
        <v>43.98</v>
      </c>
      <c r="H459" s="109">
        <v>-41.214515249327839</v>
      </c>
      <c r="I459" s="83">
        <v>-937119.49179917795</v>
      </c>
      <c r="J459" s="83">
        <v>2835781.25</v>
      </c>
      <c r="K459" s="84">
        <v>-0.33046254600885661</v>
      </c>
      <c r="L459" s="112">
        <v>0.33046254600885661</v>
      </c>
      <c r="M459" s="82"/>
    </row>
    <row r="460" spans="1:13">
      <c r="A460" s="111" t="s">
        <v>1349</v>
      </c>
      <c r="B460" s="107" t="s">
        <v>2526</v>
      </c>
      <c r="C460" s="27" t="s">
        <v>53</v>
      </c>
      <c r="D460" s="27" t="s">
        <v>1155</v>
      </c>
      <c r="E460" s="27" t="s">
        <v>966</v>
      </c>
      <c r="F460" s="27" t="s">
        <v>970</v>
      </c>
      <c r="G460" s="108">
        <v>57.76</v>
      </c>
      <c r="H460" s="109">
        <v>-43.521558626603742</v>
      </c>
      <c r="I460" s="83">
        <v>-753489.58841072966</v>
      </c>
      <c r="J460" s="83">
        <v>1554145</v>
      </c>
      <c r="K460" s="84">
        <v>-0.48482579708504009</v>
      </c>
      <c r="L460" s="112">
        <v>0.48482579708504009</v>
      </c>
      <c r="M460" s="82"/>
    </row>
    <row r="461" spans="1:13">
      <c r="A461" s="111" t="s">
        <v>1356</v>
      </c>
      <c r="B461" s="107" t="s">
        <v>2528</v>
      </c>
      <c r="C461" s="27" t="s">
        <v>1640</v>
      </c>
      <c r="D461" s="27" t="s">
        <v>1153</v>
      </c>
      <c r="E461" s="27" t="s">
        <v>966</v>
      </c>
      <c r="F461" s="27" t="s">
        <v>968</v>
      </c>
      <c r="G461" s="108">
        <v>52.89</v>
      </c>
      <c r="H461" s="109">
        <v>-44.463405939847028</v>
      </c>
      <c r="I461" s="83">
        <v>-840676.98884187988</v>
      </c>
      <c r="J461" s="83">
        <v>2931684</v>
      </c>
      <c r="K461" s="84">
        <v>-0.28675566290291854</v>
      </c>
      <c r="L461" s="112">
        <v>0.28675566290291854</v>
      </c>
      <c r="M461" s="82"/>
    </row>
    <row r="462" spans="1:13">
      <c r="A462" s="111" t="s">
        <v>305</v>
      </c>
      <c r="B462" s="107" t="s">
        <v>2529</v>
      </c>
      <c r="C462" s="27" t="s">
        <v>131</v>
      </c>
      <c r="D462" s="27" t="s">
        <v>1157</v>
      </c>
      <c r="E462" s="27" t="s">
        <v>966</v>
      </c>
      <c r="F462" s="27" t="s">
        <v>970</v>
      </c>
      <c r="G462" s="108">
        <v>75.47</v>
      </c>
      <c r="H462" s="109">
        <v>-49.028617794459016</v>
      </c>
      <c r="I462" s="83">
        <v>-649643.80276214401</v>
      </c>
      <c r="J462" s="83">
        <v>1354360</v>
      </c>
      <c r="K462" s="84">
        <v>-0.47966848013980329</v>
      </c>
      <c r="L462" s="112">
        <v>0.47966848013980329</v>
      </c>
      <c r="M462" s="82"/>
    </row>
    <row r="463" spans="1:13">
      <c r="A463" s="111" t="s">
        <v>1490</v>
      </c>
      <c r="B463" s="107" t="s">
        <v>2531</v>
      </c>
      <c r="C463" s="27" t="s">
        <v>1517</v>
      </c>
      <c r="D463" s="27" t="s">
        <v>1148</v>
      </c>
      <c r="E463" s="27" t="s">
        <v>966</v>
      </c>
      <c r="F463" s="27" t="s">
        <v>970</v>
      </c>
      <c r="G463" s="108">
        <v>89.38</v>
      </c>
      <c r="H463" s="109">
        <v>-49.281294345040422</v>
      </c>
      <c r="I463" s="83">
        <v>-551368.25179056183</v>
      </c>
      <c r="J463" s="83">
        <v>4094914.75</v>
      </c>
      <c r="K463" s="84">
        <v>-0.13464706482364788</v>
      </c>
      <c r="L463" s="112">
        <v>0.13464706482364788</v>
      </c>
      <c r="M463" s="82"/>
    </row>
    <row r="464" spans="1:13">
      <c r="A464" s="111" t="s">
        <v>1264</v>
      </c>
      <c r="B464" s="107" t="s">
        <v>2532</v>
      </c>
      <c r="C464" s="27" t="s">
        <v>780</v>
      </c>
      <c r="D464" s="27" t="s">
        <v>1164</v>
      </c>
      <c r="E464" s="27" t="s">
        <v>966</v>
      </c>
      <c r="F464" s="27" t="s">
        <v>970</v>
      </c>
      <c r="G464" s="108">
        <v>49.08</v>
      </c>
      <c r="H464" s="109">
        <v>-49.898624201509477</v>
      </c>
      <c r="I464" s="83">
        <v>-1016679.3847088321</v>
      </c>
      <c r="J464" s="83">
        <v>5031475.5</v>
      </c>
      <c r="K464" s="84">
        <v>-0.2020638647070491</v>
      </c>
      <c r="L464" s="112">
        <v>0.2020638647070491</v>
      </c>
      <c r="M464" s="82"/>
    </row>
    <row r="465" spans="1:13">
      <c r="A465" s="111" t="s">
        <v>1175</v>
      </c>
      <c r="B465" s="107" t="s">
        <v>2534</v>
      </c>
      <c r="C465" s="27" t="s">
        <v>701</v>
      </c>
      <c r="D465" s="27" t="s">
        <v>1153</v>
      </c>
      <c r="E465" s="27" t="s">
        <v>966</v>
      </c>
      <c r="F465" s="27" t="s">
        <v>970</v>
      </c>
      <c r="G465" s="108">
        <v>46.89</v>
      </c>
      <c r="H465" s="109">
        <v>-50.065762567000284</v>
      </c>
      <c r="I465" s="83">
        <v>-1067727.928492222</v>
      </c>
      <c r="J465" s="83">
        <v>3739602.5</v>
      </c>
      <c r="K465" s="84">
        <v>-0.28551909688054333</v>
      </c>
      <c r="L465" s="112">
        <v>0.28551909688054333</v>
      </c>
      <c r="M465" s="82"/>
    </row>
    <row r="466" spans="1:13">
      <c r="A466" s="111" t="s">
        <v>1342</v>
      </c>
      <c r="B466" s="107" t="s">
        <v>2536</v>
      </c>
      <c r="C466" s="27" t="s">
        <v>46</v>
      </c>
      <c r="D466" s="27" t="s">
        <v>1161</v>
      </c>
      <c r="E466" s="27" t="s">
        <v>966</v>
      </c>
      <c r="F466" s="27" t="s">
        <v>970</v>
      </c>
      <c r="G466" s="108">
        <v>72.27</v>
      </c>
      <c r="H466" s="109">
        <v>-50.952589207117526</v>
      </c>
      <c r="I466" s="83">
        <v>-705030.98390919506</v>
      </c>
      <c r="J466" s="83">
        <v>2714716</v>
      </c>
      <c r="K466" s="84">
        <v>-0.25970708682204513</v>
      </c>
      <c r="L466" s="112">
        <v>0.25970708682204513</v>
      </c>
      <c r="M466" s="82"/>
    </row>
    <row r="467" spans="1:13">
      <c r="A467" s="111" t="s">
        <v>1321</v>
      </c>
      <c r="B467" s="107" t="s">
        <v>2539</v>
      </c>
      <c r="C467" s="27" t="s">
        <v>27</v>
      </c>
      <c r="D467" s="27" t="s">
        <v>1147</v>
      </c>
      <c r="E467" s="27" t="s">
        <v>966</v>
      </c>
      <c r="F467" s="27" t="s">
        <v>968</v>
      </c>
      <c r="G467" s="108">
        <v>28.15</v>
      </c>
      <c r="H467" s="109">
        <v>-51.212533130275851</v>
      </c>
      <c r="I467" s="83">
        <v>-1819272.9353561581</v>
      </c>
      <c r="J467" s="83">
        <v>7507436</v>
      </c>
      <c r="K467" s="84">
        <v>-0.24232946312911066</v>
      </c>
      <c r="L467" s="112">
        <v>0.24232946312911066</v>
      </c>
      <c r="M467" s="82"/>
    </row>
    <row r="468" spans="1:13">
      <c r="A468" s="111" t="s">
        <v>1609</v>
      </c>
      <c r="B468" s="107" t="s">
        <v>2543</v>
      </c>
      <c r="C468" s="27" t="s">
        <v>1636</v>
      </c>
      <c r="D468" s="27" t="s">
        <v>1156</v>
      </c>
      <c r="E468" s="27" t="s">
        <v>966</v>
      </c>
      <c r="F468" s="27" t="s">
        <v>968</v>
      </c>
      <c r="G468" s="108">
        <v>27.93</v>
      </c>
      <c r="H468" s="109">
        <v>-51.544274853432995</v>
      </c>
      <c r="I468" s="83">
        <v>-1845480.6607029357</v>
      </c>
      <c r="J468" s="83">
        <v>3725516.25</v>
      </c>
      <c r="K468" s="84">
        <v>-0.49536239727928599</v>
      </c>
      <c r="L468" s="112">
        <v>0.49536239727928599</v>
      </c>
      <c r="M468" s="82"/>
    </row>
    <row r="469" spans="1:13">
      <c r="A469" s="111" t="s">
        <v>1491</v>
      </c>
      <c r="B469" s="107" t="s">
        <v>2538</v>
      </c>
      <c r="C469" s="27" t="s">
        <v>1518</v>
      </c>
      <c r="D469" s="27" t="s">
        <v>1153</v>
      </c>
      <c r="E469" s="27" t="s">
        <v>966</v>
      </c>
      <c r="F469" s="27" t="s">
        <v>970</v>
      </c>
      <c r="G469" s="108">
        <v>46.53</v>
      </c>
      <c r="H469" s="109">
        <v>-51.18103747572745</v>
      </c>
      <c r="I469" s="83">
        <v>-1099957.8223882969</v>
      </c>
      <c r="J469" s="83">
        <v>9575939</v>
      </c>
      <c r="K469" s="84">
        <v>-0.1148668368071577</v>
      </c>
      <c r="L469" s="112">
        <v>0.1148668368071577</v>
      </c>
      <c r="M469" s="82"/>
    </row>
    <row r="470" spans="1:13">
      <c r="A470" s="111" t="s">
        <v>313</v>
      </c>
      <c r="B470" s="107" t="s">
        <v>2541</v>
      </c>
      <c r="C470" s="27" t="s">
        <v>139</v>
      </c>
      <c r="D470" s="27" t="s">
        <v>1167</v>
      </c>
      <c r="E470" s="27" t="s">
        <v>966</v>
      </c>
      <c r="F470" s="27" t="s">
        <v>970</v>
      </c>
      <c r="G470" s="108">
        <v>92.82</v>
      </c>
      <c r="H470" s="109">
        <v>-51.371445206999603</v>
      </c>
      <c r="I470" s="83">
        <v>-553452.32931479858</v>
      </c>
      <c r="J470" s="83">
        <v>5509280</v>
      </c>
      <c r="K470" s="84">
        <v>-0.10045819586494036</v>
      </c>
      <c r="L470" s="112">
        <v>0.10045819586494036</v>
      </c>
      <c r="M470" s="82"/>
    </row>
    <row r="471" spans="1:13">
      <c r="A471" s="111" t="s">
        <v>981</v>
      </c>
      <c r="B471" s="107" t="s">
        <v>2546</v>
      </c>
      <c r="C471" s="27" t="s">
        <v>868</v>
      </c>
      <c r="D471" s="27" t="s">
        <v>1155</v>
      </c>
      <c r="E471" s="27" t="s">
        <v>966</v>
      </c>
      <c r="F471" s="27" t="s">
        <v>970</v>
      </c>
      <c r="G471" s="108">
        <v>63.61</v>
      </c>
      <c r="H471" s="109">
        <v>-52.859648732128875</v>
      </c>
      <c r="I471" s="83">
        <v>-830995.89266041305</v>
      </c>
      <c r="J471" s="83">
        <v>3195540</v>
      </c>
      <c r="K471" s="84">
        <v>-0.26004865927524395</v>
      </c>
      <c r="L471" s="112">
        <v>0.26004865927524395</v>
      </c>
      <c r="M471" s="82"/>
    </row>
    <row r="472" spans="1:13">
      <c r="A472" s="111" t="s">
        <v>1028</v>
      </c>
      <c r="B472" s="107" t="s">
        <v>2544</v>
      </c>
      <c r="C472" s="27" t="s">
        <v>1699</v>
      </c>
      <c r="D472" s="27" t="s">
        <v>1149</v>
      </c>
      <c r="E472" s="27" t="s">
        <v>966</v>
      </c>
      <c r="F472" s="27" t="s">
        <v>970</v>
      </c>
      <c r="G472" s="108">
        <v>77.39</v>
      </c>
      <c r="H472" s="109">
        <v>-51.883708517655293</v>
      </c>
      <c r="I472" s="83">
        <v>-670418.7688028852</v>
      </c>
      <c r="J472" s="83">
        <v>4166113.25</v>
      </c>
      <c r="K472" s="84">
        <v>-0.16092187815654921</v>
      </c>
      <c r="L472" s="112">
        <v>0.16092187815654921</v>
      </c>
      <c r="M472" s="82"/>
    </row>
    <row r="473" spans="1:13">
      <c r="A473" s="111" t="s">
        <v>272</v>
      </c>
      <c r="B473" s="107" t="s">
        <v>2549</v>
      </c>
      <c r="C473" s="27" t="s">
        <v>101</v>
      </c>
      <c r="D473" s="27" t="s">
        <v>1163</v>
      </c>
      <c r="E473" s="27" t="s">
        <v>966</v>
      </c>
      <c r="F473" s="27" t="s">
        <v>968</v>
      </c>
      <c r="G473" s="108">
        <v>42.87</v>
      </c>
      <c r="H473" s="109">
        <v>-56.150166358831164</v>
      </c>
      <c r="I473" s="83">
        <v>-1309777.6150882009</v>
      </c>
      <c r="J473" s="83">
        <v>1594307.5</v>
      </c>
      <c r="K473" s="84">
        <v>-0.82153387291234647</v>
      </c>
      <c r="L473" s="112">
        <v>0.82153387291234647</v>
      </c>
      <c r="M473" s="82"/>
    </row>
    <row r="474" spans="1:13">
      <c r="A474" s="111" t="s">
        <v>989</v>
      </c>
      <c r="B474" s="107" t="s">
        <v>2548</v>
      </c>
      <c r="C474" s="27" t="s">
        <v>876</v>
      </c>
      <c r="D474" s="27" t="s">
        <v>1157</v>
      </c>
      <c r="E474" s="27" t="s">
        <v>966</v>
      </c>
      <c r="F474" s="27" t="s">
        <v>970</v>
      </c>
      <c r="G474" s="108">
        <v>43.9</v>
      </c>
      <c r="H474" s="109">
        <v>-55.856744801383854</v>
      </c>
      <c r="I474" s="83">
        <v>-1272363.2073208168</v>
      </c>
      <c r="J474" s="83">
        <v>5564480.5</v>
      </c>
      <c r="K474" s="84">
        <v>-0.22865804046232471</v>
      </c>
      <c r="L474" s="112">
        <v>0.22865804046232471</v>
      </c>
      <c r="M474" s="82"/>
    </row>
    <row r="475" spans="1:13">
      <c r="A475" s="111" t="s">
        <v>851</v>
      </c>
      <c r="B475" s="107" t="s">
        <v>2551</v>
      </c>
      <c r="C475" s="27" t="s">
        <v>1057</v>
      </c>
      <c r="D475" s="27" t="s">
        <v>1168</v>
      </c>
      <c r="E475" s="27" t="s">
        <v>966</v>
      </c>
      <c r="F475" s="27" t="s">
        <v>970</v>
      </c>
      <c r="G475" s="108">
        <v>79.91</v>
      </c>
      <c r="H475" s="109">
        <v>-56.360889155514144</v>
      </c>
      <c r="I475" s="83">
        <v>-705304.58209878788</v>
      </c>
      <c r="J475" s="83">
        <v>5878918.5</v>
      </c>
      <c r="K475" s="84">
        <v>-0.11997182510674163</v>
      </c>
      <c r="L475" s="112">
        <v>0.11997182510674163</v>
      </c>
      <c r="M475" s="82"/>
    </row>
    <row r="476" spans="1:13">
      <c r="A476" s="111" t="s">
        <v>336</v>
      </c>
      <c r="B476" s="107" t="s">
        <v>2552</v>
      </c>
      <c r="C476" s="27" t="s">
        <v>223</v>
      </c>
      <c r="D476" s="27" t="s">
        <v>1150</v>
      </c>
      <c r="E476" s="27" t="s">
        <v>966</v>
      </c>
      <c r="F476" s="27" t="s">
        <v>970</v>
      </c>
      <c r="G476" s="108">
        <v>579.25</v>
      </c>
      <c r="H476" s="109">
        <v>-57.571658985978921</v>
      </c>
      <c r="I476" s="83">
        <v>-99390.002565349889</v>
      </c>
      <c r="J476" s="83">
        <v>750474.4375</v>
      </c>
      <c r="K476" s="84">
        <v>-0.1324362264708715</v>
      </c>
      <c r="L476" s="112">
        <v>0.1324362264708715</v>
      </c>
      <c r="M476" s="82"/>
    </row>
    <row r="477" spans="1:13">
      <c r="A477" s="111" t="s">
        <v>1286</v>
      </c>
      <c r="B477" s="107" t="s">
        <v>2554</v>
      </c>
      <c r="C477" s="27" t="s">
        <v>684</v>
      </c>
      <c r="D477" s="27" t="s">
        <v>1147</v>
      </c>
      <c r="E477" s="27" t="s">
        <v>966</v>
      </c>
      <c r="F477" s="27" t="s">
        <v>970</v>
      </c>
      <c r="G477" s="108">
        <v>17.940000000000001</v>
      </c>
      <c r="H477" s="109">
        <v>-58.552310093924582</v>
      </c>
      <c r="I477" s="83">
        <v>-3263785.40099914</v>
      </c>
      <c r="J477" s="83">
        <v>10932304</v>
      </c>
      <c r="K477" s="84">
        <v>-0.29854506433402694</v>
      </c>
      <c r="L477" s="112">
        <v>0.29854506433402694</v>
      </c>
      <c r="M477" s="82"/>
    </row>
    <row r="478" spans="1:13">
      <c r="A478" s="111" t="s">
        <v>852</v>
      </c>
      <c r="B478" s="107" t="s">
        <v>2556</v>
      </c>
      <c r="C478" s="27" t="s">
        <v>1058</v>
      </c>
      <c r="D478" s="27" t="s">
        <v>1152</v>
      </c>
      <c r="E478" s="27" t="s">
        <v>966</v>
      </c>
      <c r="F478" s="27" t="s">
        <v>970</v>
      </c>
      <c r="G478" s="108">
        <v>51.11</v>
      </c>
      <c r="H478" s="109">
        <v>-60.855502097639402</v>
      </c>
      <c r="I478" s="83">
        <v>-1190677.0122801685</v>
      </c>
      <c r="J478" s="83">
        <v>8313168</v>
      </c>
      <c r="K478" s="84">
        <v>-0.14322782990553884</v>
      </c>
      <c r="L478" s="112">
        <v>0.14322782990553884</v>
      </c>
      <c r="M478" s="82"/>
    </row>
    <row r="479" spans="1:13">
      <c r="A479" s="111" t="s">
        <v>1198</v>
      </c>
      <c r="B479" s="107" t="s">
        <v>2558</v>
      </c>
      <c r="C479" s="27" t="s">
        <v>723</v>
      </c>
      <c r="D479" s="27" t="s">
        <v>1159</v>
      </c>
      <c r="E479" s="27" t="s">
        <v>966</v>
      </c>
      <c r="F479" s="27" t="s">
        <v>970</v>
      </c>
      <c r="G479" s="108">
        <v>721.14</v>
      </c>
      <c r="H479" s="109">
        <v>-61.841312940596296</v>
      </c>
      <c r="I479" s="83">
        <v>-85754.933772355304</v>
      </c>
      <c r="J479" s="83">
        <v>171026.65625</v>
      </c>
      <c r="K479" s="84">
        <v>-0.50141267830788983</v>
      </c>
      <c r="L479" s="112">
        <v>0.50141267830788983</v>
      </c>
      <c r="M479" s="82"/>
    </row>
    <row r="480" spans="1:13">
      <c r="A480" s="111" t="s">
        <v>1024</v>
      </c>
      <c r="B480" s="107" t="s">
        <v>2560</v>
      </c>
      <c r="C480" s="27" t="s">
        <v>908</v>
      </c>
      <c r="D480" s="27" t="s">
        <v>1164</v>
      </c>
      <c r="E480" s="27" t="s">
        <v>966</v>
      </c>
      <c r="F480" s="27" t="s">
        <v>970</v>
      </c>
      <c r="G480" s="108">
        <v>208.78</v>
      </c>
      <c r="H480" s="109">
        <v>-63.887178678269088</v>
      </c>
      <c r="I480" s="83">
        <v>-306002.38853467326</v>
      </c>
      <c r="J480" s="83">
        <v>1244421.75</v>
      </c>
      <c r="K480" s="84">
        <v>-0.24589926086929392</v>
      </c>
      <c r="L480" s="112">
        <v>0.24589926086929392</v>
      </c>
      <c r="M480" s="82"/>
    </row>
    <row r="481" spans="1:13">
      <c r="A481" s="111" t="s">
        <v>273</v>
      </c>
      <c r="B481" s="107" t="s">
        <v>2562</v>
      </c>
      <c r="C481" s="27" t="s">
        <v>102</v>
      </c>
      <c r="D481" s="27" t="s">
        <v>1161</v>
      </c>
      <c r="E481" s="27" t="s">
        <v>966</v>
      </c>
      <c r="F481" s="27" t="s">
        <v>970</v>
      </c>
      <c r="G481" s="108">
        <v>56.38</v>
      </c>
      <c r="H481" s="109">
        <v>-71.538825235818223</v>
      </c>
      <c r="I481" s="83">
        <v>-1268868.8406494895</v>
      </c>
      <c r="J481" s="83">
        <v>8889682</v>
      </c>
      <c r="K481" s="84">
        <v>-0.14273500904188582</v>
      </c>
      <c r="L481" s="112">
        <v>0.14273500904188582</v>
      </c>
      <c r="M481" s="82"/>
    </row>
    <row r="482" spans="1:13">
      <c r="A482" s="111" t="s">
        <v>306</v>
      </c>
      <c r="B482" s="107" t="s">
        <v>2564</v>
      </c>
      <c r="C482" s="27" t="s">
        <v>132</v>
      </c>
      <c r="D482" s="27" t="s">
        <v>1155</v>
      </c>
      <c r="E482" s="27" t="s">
        <v>966</v>
      </c>
      <c r="F482" s="27" t="s">
        <v>970</v>
      </c>
      <c r="G482" s="108">
        <v>105.43</v>
      </c>
      <c r="H482" s="109">
        <v>-77.612790830696682</v>
      </c>
      <c r="I482" s="83">
        <v>-736154.70767994586</v>
      </c>
      <c r="J482" s="83">
        <v>1866896.75</v>
      </c>
      <c r="K482" s="84">
        <v>-0.39431998994049661</v>
      </c>
      <c r="L482" s="112">
        <v>0.39431998994049661</v>
      </c>
      <c r="M482" s="82"/>
    </row>
    <row r="483" spans="1:13">
      <c r="A483" s="111" t="s">
        <v>316</v>
      </c>
      <c r="B483" s="107" t="s">
        <v>2568</v>
      </c>
      <c r="C483" s="27" t="s">
        <v>142</v>
      </c>
      <c r="D483" s="27" t="s">
        <v>1160</v>
      </c>
      <c r="E483" s="27" t="s">
        <v>966</v>
      </c>
      <c r="F483" s="27" t="s">
        <v>970</v>
      </c>
      <c r="G483" s="108">
        <v>70.19</v>
      </c>
      <c r="H483" s="109">
        <v>-78.816625446949914</v>
      </c>
      <c r="I483" s="83">
        <v>-1122903.9100576993</v>
      </c>
      <c r="J483" s="83">
        <v>6343410</v>
      </c>
      <c r="K483" s="84">
        <v>-0.1770189708780765</v>
      </c>
      <c r="L483" s="112">
        <v>0.1770189708780765</v>
      </c>
      <c r="M483" s="82"/>
    </row>
    <row r="484" spans="1:13">
      <c r="A484" s="111" t="s">
        <v>1032</v>
      </c>
      <c r="B484" s="107" t="s">
        <v>2566</v>
      </c>
      <c r="C484" s="27" t="s">
        <v>915</v>
      </c>
      <c r="D484" s="27" t="s">
        <v>1148</v>
      </c>
      <c r="E484" s="27" t="s">
        <v>966</v>
      </c>
      <c r="F484" s="27" t="s">
        <v>970</v>
      </c>
      <c r="G484" s="108">
        <v>103.25</v>
      </c>
      <c r="H484" s="109">
        <v>-78.733458342912712</v>
      </c>
      <c r="I484" s="83">
        <v>-762551.65465290751</v>
      </c>
      <c r="J484" s="83">
        <v>2405591.25</v>
      </c>
      <c r="K484" s="84">
        <v>-0.31699136528406791</v>
      </c>
      <c r="L484" s="112">
        <v>0.31699136528406791</v>
      </c>
      <c r="M484" s="82"/>
    </row>
    <row r="485" spans="1:13">
      <c r="A485" s="111" t="s">
        <v>1414</v>
      </c>
      <c r="B485" s="107" t="s">
        <v>2570</v>
      </c>
      <c r="C485" s="27" t="s">
        <v>1415</v>
      </c>
      <c r="D485" s="27" t="s">
        <v>1157</v>
      </c>
      <c r="E485" s="27" t="s">
        <v>966</v>
      </c>
      <c r="F485" s="27" t="s">
        <v>970</v>
      </c>
      <c r="G485" s="108">
        <v>327.13</v>
      </c>
      <c r="H485" s="109">
        <v>-82.332294600126176</v>
      </c>
      <c r="I485" s="83">
        <v>-251680.66089972237</v>
      </c>
      <c r="J485" s="83">
        <v>627430.3125</v>
      </c>
      <c r="K485" s="84">
        <v>-0.40112926628759649</v>
      </c>
      <c r="L485" s="112">
        <v>0.40112926628759649</v>
      </c>
      <c r="M485" s="82"/>
    </row>
    <row r="486" spans="1:13">
      <c r="A486" s="111" t="s">
        <v>1492</v>
      </c>
      <c r="B486" s="107" t="s">
        <v>2572</v>
      </c>
      <c r="C486" s="27" t="s">
        <v>1519</v>
      </c>
      <c r="D486" s="27" t="s">
        <v>1147</v>
      </c>
      <c r="E486" s="27" t="s">
        <v>966</v>
      </c>
      <c r="F486" s="27" t="s">
        <v>970</v>
      </c>
      <c r="G486" s="108">
        <v>51.62</v>
      </c>
      <c r="H486" s="109">
        <v>-85.382873282969086</v>
      </c>
      <c r="I486" s="83">
        <v>-1654065.735818851</v>
      </c>
      <c r="J486" s="83">
        <v>5377582</v>
      </c>
      <c r="K486" s="84">
        <v>-0.30758540470770152</v>
      </c>
      <c r="L486" s="112">
        <v>0.30758540470770152</v>
      </c>
      <c r="M486" s="82"/>
    </row>
    <row r="487" spans="1:13">
      <c r="A487" s="111" t="s">
        <v>990</v>
      </c>
      <c r="B487" s="107" t="s">
        <v>2573</v>
      </c>
      <c r="C487" s="27" t="s">
        <v>878</v>
      </c>
      <c r="D487" s="27" t="s">
        <v>1165</v>
      </c>
      <c r="E487" s="27" t="s">
        <v>966</v>
      </c>
      <c r="F487" s="27" t="s">
        <v>970</v>
      </c>
      <c r="G487" s="108">
        <v>56.91</v>
      </c>
      <c r="H487" s="109">
        <v>-88.571150181041858</v>
      </c>
      <c r="I487" s="83">
        <v>-1556337.2022674726</v>
      </c>
      <c r="J487" s="83">
        <v>18561434</v>
      </c>
      <c r="K487" s="84">
        <v>-8.3847896787902956E-2</v>
      </c>
      <c r="L487" s="112">
        <v>8.3847896787902956E-2</v>
      </c>
      <c r="M487" s="82"/>
    </row>
    <row r="488" spans="1:13">
      <c r="A488" s="111" t="s">
        <v>1670</v>
      </c>
      <c r="B488" s="107" t="s">
        <v>2575</v>
      </c>
      <c r="C488" s="27" t="s">
        <v>1685</v>
      </c>
      <c r="D488" s="27" t="s">
        <v>1167</v>
      </c>
      <c r="E488" s="27" t="s">
        <v>966</v>
      </c>
      <c r="F488" s="27" t="s">
        <v>970</v>
      </c>
      <c r="G488" s="108">
        <v>42.52</v>
      </c>
      <c r="H488" s="109">
        <v>-91.421119479436058</v>
      </c>
      <c r="I488" s="83">
        <v>-2150073.3649914409</v>
      </c>
      <c r="J488" s="83">
        <v>9627718</v>
      </c>
      <c r="K488" s="84">
        <v>-0.22332118213178251</v>
      </c>
      <c r="L488" s="112">
        <v>0.22332118213178251</v>
      </c>
      <c r="M488" s="82"/>
    </row>
    <row r="489" spans="1:13">
      <c r="A489" s="111" t="s">
        <v>1008</v>
      </c>
      <c r="B489" s="107" t="s">
        <v>2577</v>
      </c>
      <c r="C489" s="27" t="s">
        <v>893</v>
      </c>
      <c r="D489" s="27" t="s">
        <v>1170</v>
      </c>
      <c r="E489" s="27" t="s">
        <v>966</v>
      </c>
      <c r="F489" s="27" t="s">
        <v>970</v>
      </c>
      <c r="G489" s="108">
        <v>14.68</v>
      </c>
      <c r="H489" s="109">
        <v>-109.12590439125844</v>
      </c>
      <c r="I489" s="83">
        <v>-7433644.7133009844</v>
      </c>
      <c r="J489" s="83">
        <v>29542526</v>
      </c>
      <c r="K489" s="84">
        <v>-0.2516252236962061</v>
      </c>
      <c r="L489" s="112">
        <v>0.2516252236962061</v>
      </c>
      <c r="M489" s="82"/>
    </row>
    <row r="490" spans="1:13">
      <c r="A490" s="111" t="s">
        <v>1348</v>
      </c>
      <c r="B490" s="107" t="s">
        <v>2579</v>
      </c>
      <c r="C490" s="27" t="s">
        <v>52</v>
      </c>
      <c r="D490" s="27" t="s">
        <v>1153</v>
      </c>
      <c r="E490" s="27" t="s">
        <v>966</v>
      </c>
      <c r="F490" s="27" t="s">
        <v>970</v>
      </c>
      <c r="G490" s="108">
        <v>84.67</v>
      </c>
      <c r="H490" s="109">
        <v>-111.77545693353609</v>
      </c>
      <c r="I490" s="83">
        <v>-1320130.5885619</v>
      </c>
      <c r="J490" s="83">
        <v>671121.875</v>
      </c>
      <c r="K490" s="84">
        <v>-1.9670504534841753</v>
      </c>
      <c r="L490" s="112">
        <v>1.9670504534841753</v>
      </c>
      <c r="M490" s="82"/>
    </row>
    <row r="491" spans="1:13">
      <c r="A491" s="111" t="s">
        <v>229</v>
      </c>
      <c r="B491" s="107" t="s">
        <v>2581</v>
      </c>
      <c r="C491" s="27" t="s">
        <v>62</v>
      </c>
      <c r="D491" s="27" t="s">
        <v>1164</v>
      </c>
      <c r="E491" s="27" t="s">
        <v>966</v>
      </c>
      <c r="F491" s="27" t="s">
        <v>970</v>
      </c>
      <c r="G491" s="108">
        <v>171.56</v>
      </c>
      <c r="H491" s="109">
        <v>-113.52768842480153</v>
      </c>
      <c r="I491" s="83">
        <v>-661737.51704827195</v>
      </c>
      <c r="J491" s="83">
        <v>1179848.5</v>
      </c>
      <c r="K491" s="84">
        <v>-0.56086651552997857</v>
      </c>
      <c r="L491" s="112">
        <v>0.56086651552997857</v>
      </c>
      <c r="M491" s="82"/>
    </row>
    <row r="492" spans="1:13">
      <c r="A492" s="111" t="s">
        <v>1606</v>
      </c>
      <c r="B492" s="107" t="s">
        <v>2585</v>
      </c>
      <c r="C492" s="27" t="s">
        <v>1633</v>
      </c>
      <c r="D492" s="27" t="s">
        <v>1167</v>
      </c>
      <c r="E492" s="27" t="s">
        <v>966</v>
      </c>
      <c r="F492" s="27" t="s">
        <v>970</v>
      </c>
      <c r="G492" s="108">
        <v>46.6</v>
      </c>
      <c r="H492" s="109">
        <v>-124.57787579690857</v>
      </c>
      <c r="I492" s="83">
        <v>-2673344.9741825871</v>
      </c>
      <c r="J492" s="83">
        <v>8600583</v>
      </c>
      <c r="K492" s="84">
        <v>-0.31083299517981366</v>
      </c>
      <c r="L492" s="112">
        <v>0.31083299517981366</v>
      </c>
      <c r="M492" s="82"/>
    </row>
    <row r="493" spans="1:13">
      <c r="A493" s="111" t="s">
        <v>999</v>
      </c>
      <c r="B493" s="107" t="s">
        <v>2583</v>
      </c>
      <c r="C493" s="27" t="s">
        <v>1691</v>
      </c>
      <c r="D493" s="27" t="s">
        <v>1169</v>
      </c>
      <c r="E493" s="27" t="s">
        <v>966</v>
      </c>
      <c r="F493" s="27" t="s">
        <v>970</v>
      </c>
      <c r="G493" s="108">
        <v>108.32</v>
      </c>
      <c r="H493" s="109">
        <v>-123.47719866951327</v>
      </c>
      <c r="I493" s="83">
        <v>-1139929.8252355361</v>
      </c>
      <c r="J493" s="83">
        <v>4100123</v>
      </c>
      <c r="K493" s="84">
        <v>-0.2780233239918744</v>
      </c>
      <c r="L493" s="112">
        <v>0.2780233239918744</v>
      </c>
      <c r="M493" s="82"/>
    </row>
    <row r="494" spans="1:13">
      <c r="A494" s="111" t="s">
        <v>1030</v>
      </c>
      <c r="B494" s="107" t="s">
        <v>2586</v>
      </c>
      <c r="C494" s="27" t="s">
        <v>913</v>
      </c>
      <c r="D494" s="27" t="s">
        <v>1164</v>
      </c>
      <c r="E494" s="27" t="s">
        <v>966</v>
      </c>
      <c r="F494" s="27" t="s">
        <v>970</v>
      </c>
      <c r="G494" s="108">
        <v>148.52000000000001</v>
      </c>
      <c r="H494" s="109">
        <v>-126.36801593594818</v>
      </c>
      <c r="I494" s="83">
        <v>-850848.47788815084</v>
      </c>
      <c r="J494" s="83">
        <v>2417008.25</v>
      </c>
      <c r="K494" s="84">
        <v>-0.35202547524947458</v>
      </c>
      <c r="L494" s="112">
        <v>0.35202547524947458</v>
      </c>
      <c r="M494" s="82"/>
    </row>
    <row r="495" spans="1:13">
      <c r="A495" s="111" t="s">
        <v>1010</v>
      </c>
      <c r="B495" s="107" t="s">
        <v>2588</v>
      </c>
      <c r="C495" s="27" t="s">
        <v>895</v>
      </c>
      <c r="D495" s="27" t="s">
        <v>1164</v>
      </c>
      <c r="E495" s="27" t="s">
        <v>966</v>
      </c>
      <c r="F495" s="27" t="s">
        <v>968</v>
      </c>
      <c r="G495" s="108">
        <v>150.38999999999999</v>
      </c>
      <c r="H495" s="109">
        <v>-136.57798563585899</v>
      </c>
      <c r="I495" s="83">
        <v>-908158.69164079393</v>
      </c>
      <c r="J495" s="83">
        <v>1408773.875</v>
      </c>
      <c r="K495" s="84">
        <v>-0.64464475651977426</v>
      </c>
      <c r="L495" s="112">
        <v>0.64464475651977426</v>
      </c>
      <c r="M495" s="82"/>
    </row>
    <row r="496" spans="1:13">
      <c r="A496" s="111" t="s">
        <v>827</v>
      </c>
      <c r="B496" s="107" t="s">
        <v>2590</v>
      </c>
      <c r="C496" s="27" t="s">
        <v>1646</v>
      </c>
      <c r="D496" s="27" t="s">
        <v>1159</v>
      </c>
      <c r="E496" s="27" t="s">
        <v>966</v>
      </c>
      <c r="F496" s="27" t="s">
        <v>970</v>
      </c>
      <c r="G496" s="108">
        <v>1294.71</v>
      </c>
      <c r="H496" s="109">
        <v>-143.07012016211672</v>
      </c>
      <c r="I496" s="83">
        <v>-110503.60324869408</v>
      </c>
      <c r="J496" s="83">
        <v>729798.125</v>
      </c>
      <c r="K496" s="84">
        <v>-0.15141667190319799</v>
      </c>
      <c r="L496" s="112">
        <v>0.15141667190319799</v>
      </c>
      <c r="M496" s="82"/>
    </row>
    <row r="497" spans="1:13">
      <c r="A497" s="111" t="s">
        <v>985</v>
      </c>
      <c r="B497" s="107" t="s">
        <v>2592</v>
      </c>
      <c r="C497" s="27" t="s">
        <v>872</v>
      </c>
      <c r="D497" s="27" t="s">
        <v>1164</v>
      </c>
      <c r="E497" s="27" t="s">
        <v>966</v>
      </c>
      <c r="F497" s="27" t="s">
        <v>970</v>
      </c>
      <c r="G497" s="108">
        <v>142.43</v>
      </c>
      <c r="H497" s="109">
        <v>-146.81593576251672</v>
      </c>
      <c r="I497" s="83">
        <v>-1030793.623271198</v>
      </c>
      <c r="J497" s="83">
        <v>3335283.5</v>
      </c>
      <c r="K497" s="84">
        <v>-0.30905727302377684</v>
      </c>
      <c r="L497" s="112">
        <v>0.30905727302377684</v>
      </c>
      <c r="M497" s="82"/>
    </row>
    <row r="498" spans="1:13">
      <c r="A498" s="111" t="s">
        <v>1027</v>
      </c>
      <c r="B498" s="107" t="s">
        <v>2594</v>
      </c>
      <c r="C498" s="27" t="s">
        <v>911</v>
      </c>
      <c r="D498" s="27" t="s">
        <v>1161</v>
      </c>
      <c r="E498" s="27" t="s">
        <v>966</v>
      </c>
      <c r="F498" s="27" t="s">
        <v>970</v>
      </c>
      <c r="G498" s="108">
        <v>98.28</v>
      </c>
      <c r="H498" s="109">
        <v>-151.47172484151486</v>
      </c>
      <c r="I498" s="83">
        <v>-1541226.3414887548</v>
      </c>
      <c r="J498" s="83">
        <v>5356794</v>
      </c>
      <c r="K498" s="84">
        <v>-0.28771431970106648</v>
      </c>
      <c r="L498" s="112">
        <v>0.28771431970106648</v>
      </c>
      <c r="M498" s="82"/>
    </row>
    <row r="499" spans="1:13">
      <c r="A499" s="111" t="s">
        <v>1605</v>
      </c>
      <c r="B499" s="107" t="s">
        <v>2596</v>
      </c>
      <c r="C499" s="27" t="s">
        <v>1632</v>
      </c>
      <c r="D499" s="27" t="s">
        <v>1152</v>
      </c>
      <c r="E499" s="27" t="s">
        <v>966</v>
      </c>
      <c r="F499" s="27" t="s">
        <v>970</v>
      </c>
      <c r="G499" s="108">
        <v>125.73</v>
      </c>
      <c r="H499" s="109">
        <v>-177.68092713989299</v>
      </c>
      <c r="I499" s="83">
        <v>-1413194.3620448022</v>
      </c>
      <c r="J499" s="83">
        <v>3403713.5</v>
      </c>
      <c r="K499" s="84">
        <v>-0.4151919255380343</v>
      </c>
      <c r="L499" s="112">
        <v>0.4151919255380343</v>
      </c>
      <c r="M499" s="82"/>
    </row>
    <row r="500" spans="1:13">
      <c r="A500" s="111" t="s">
        <v>1023</v>
      </c>
      <c r="B500" s="107" t="s">
        <v>2597</v>
      </c>
      <c r="C500" s="27" t="s">
        <v>907</v>
      </c>
      <c r="D500" s="27" t="s">
        <v>1153</v>
      </c>
      <c r="E500" s="27" t="s">
        <v>966</v>
      </c>
      <c r="F500" s="27" t="s">
        <v>968</v>
      </c>
      <c r="G500" s="108">
        <v>41.26</v>
      </c>
      <c r="H500" s="109">
        <v>-178.60119052724036</v>
      </c>
      <c r="I500" s="83">
        <v>-4328676.4548531352</v>
      </c>
      <c r="J500" s="83">
        <v>11948153</v>
      </c>
      <c r="K500" s="84">
        <v>-0.3622883348458239</v>
      </c>
      <c r="L500" s="112">
        <v>0.3622883348458239</v>
      </c>
      <c r="M500" s="82"/>
    </row>
    <row r="501" spans="1:13">
      <c r="A501" s="111" t="s">
        <v>984</v>
      </c>
      <c r="B501" s="107" t="s">
        <v>2599</v>
      </c>
      <c r="C501" s="27" t="s">
        <v>871</v>
      </c>
      <c r="D501" s="27" t="s">
        <v>1157</v>
      </c>
      <c r="E501" s="27" t="s">
        <v>966</v>
      </c>
      <c r="F501" s="27" t="s">
        <v>968</v>
      </c>
      <c r="G501" s="108">
        <v>81</v>
      </c>
      <c r="H501" s="109">
        <v>-182.23409738874696</v>
      </c>
      <c r="I501" s="83">
        <v>-2249803.6714660116</v>
      </c>
      <c r="J501" s="83">
        <v>7113259</v>
      </c>
      <c r="K501" s="84">
        <v>-0.3162831089752266</v>
      </c>
      <c r="L501" s="112">
        <v>0.3162831089752266</v>
      </c>
      <c r="M501" s="82"/>
    </row>
    <row r="502" spans="1:13">
      <c r="A502" s="111" t="s">
        <v>235</v>
      </c>
      <c r="B502" s="107" t="s">
        <v>2601</v>
      </c>
      <c r="C502" s="27" t="s">
        <v>1376</v>
      </c>
      <c r="D502" s="27" t="s">
        <v>1168</v>
      </c>
      <c r="E502" s="27" t="s">
        <v>966</v>
      </c>
      <c r="F502" s="27" t="s">
        <v>970</v>
      </c>
      <c r="G502" s="108">
        <v>14.12</v>
      </c>
      <c r="H502" s="109">
        <v>-193.03486995726891</v>
      </c>
      <c r="I502" s="83">
        <v>-13671024.78450913</v>
      </c>
      <c r="J502" s="83">
        <v>2968332.25</v>
      </c>
      <c r="K502" s="84">
        <v>-4.6056248536561668</v>
      </c>
      <c r="L502" s="112">
        <v>4.6056248536561668</v>
      </c>
      <c r="M502" s="82"/>
    </row>
    <row r="503" spans="1:13">
      <c r="A503" s="111" t="s">
        <v>1248</v>
      </c>
      <c r="B503" s="107" t="s">
        <v>2602</v>
      </c>
      <c r="C503" s="27" t="s">
        <v>765</v>
      </c>
      <c r="D503" s="27" t="s">
        <v>1164</v>
      </c>
      <c r="E503" s="27" t="s">
        <v>966</v>
      </c>
      <c r="F503" s="27" t="s">
        <v>970</v>
      </c>
      <c r="G503" s="108">
        <v>90.29</v>
      </c>
      <c r="H503" s="109">
        <v>-199.00040553214114</v>
      </c>
      <c r="I503" s="83">
        <v>-2204013.7947961139</v>
      </c>
      <c r="J503" s="83">
        <v>3318999.25</v>
      </c>
      <c r="K503" s="84">
        <v>-0.66405974475472207</v>
      </c>
      <c r="L503" s="112">
        <v>0.66405974475472207</v>
      </c>
      <c r="M503" s="82"/>
    </row>
    <row r="504" spans="1:13">
      <c r="A504" s="111" t="s">
        <v>1036</v>
      </c>
      <c r="B504" s="107" t="s">
        <v>2604</v>
      </c>
      <c r="C504" s="27" t="s">
        <v>919</v>
      </c>
      <c r="D504" s="27" t="s">
        <v>1166</v>
      </c>
      <c r="E504" s="27" t="s">
        <v>966</v>
      </c>
      <c r="F504" s="27" t="s">
        <v>970</v>
      </c>
      <c r="G504" s="108">
        <v>113.06</v>
      </c>
      <c r="H504" s="109">
        <v>-210.17478244141464</v>
      </c>
      <c r="I504" s="83">
        <v>-1858966.7649161031</v>
      </c>
      <c r="J504" s="83">
        <v>2882984.5</v>
      </c>
      <c r="K504" s="84">
        <v>-0.6448063681633055</v>
      </c>
      <c r="L504" s="112">
        <v>0.6448063681633055</v>
      </c>
      <c r="M504" s="82"/>
    </row>
    <row r="505" spans="1:13">
      <c r="A505" s="111" t="s">
        <v>839</v>
      </c>
      <c r="B505" s="107" t="s">
        <v>2606</v>
      </c>
      <c r="C505" s="27" t="s">
        <v>922</v>
      </c>
      <c r="D505" s="27" t="s">
        <v>1151</v>
      </c>
      <c r="E505" s="27" t="s">
        <v>966</v>
      </c>
      <c r="F505" s="27" t="s">
        <v>968</v>
      </c>
      <c r="G505" s="108">
        <v>39.28</v>
      </c>
      <c r="H505" s="109">
        <v>-249.06089117303176</v>
      </c>
      <c r="I505" s="83">
        <v>-6340654.0522665931</v>
      </c>
      <c r="J505" s="83">
        <v>13279284</v>
      </c>
      <c r="K505" s="84">
        <v>-0.4774846333783202</v>
      </c>
      <c r="L505" s="112">
        <v>0.4774846333783202</v>
      </c>
      <c r="M505" s="82"/>
    </row>
    <row r="506" spans="1:13">
      <c r="A506" s="111" t="s">
        <v>1014</v>
      </c>
      <c r="B506" s="107" t="s">
        <v>2608</v>
      </c>
      <c r="C506" s="27" t="s">
        <v>898</v>
      </c>
      <c r="D506" s="27" t="s">
        <v>1157</v>
      </c>
      <c r="E506" s="27" t="s">
        <v>966</v>
      </c>
      <c r="F506" s="27" t="s">
        <v>968</v>
      </c>
      <c r="G506" s="108">
        <v>201.13</v>
      </c>
      <c r="H506" s="109">
        <v>-250.66767268606239</v>
      </c>
      <c r="I506" s="83">
        <v>-1246296.7865861005</v>
      </c>
      <c r="J506" s="83">
        <v>2174448.75</v>
      </c>
      <c r="K506" s="84">
        <v>-0.57315528203922972</v>
      </c>
      <c r="L506" s="112">
        <v>0.57315528203922972</v>
      </c>
      <c r="M506" s="82"/>
    </row>
    <row r="507" spans="1:13">
      <c r="A507" s="111" t="s">
        <v>1183</v>
      </c>
      <c r="B507" s="107" t="s">
        <v>2610</v>
      </c>
      <c r="C507" s="27" t="s">
        <v>708</v>
      </c>
      <c r="D507" s="27" t="s">
        <v>1155</v>
      </c>
      <c r="E507" s="27" t="s">
        <v>966</v>
      </c>
      <c r="F507" s="27" t="s">
        <v>970</v>
      </c>
      <c r="G507" s="108">
        <v>63.26</v>
      </c>
      <c r="H507" s="109">
        <v>-254.68043503896774</v>
      </c>
      <c r="I507" s="83">
        <v>-4025931.6319786245</v>
      </c>
      <c r="J507" s="83">
        <v>7840042</v>
      </c>
      <c r="K507" s="84">
        <v>-0.51350893681164267</v>
      </c>
      <c r="L507" s="112">
        <v>0.51350893681164267</v>
      </c>
      <c r="M507" s="82"/>
    </row>
    <row r="508" spans="1:13">
      <c r="A508" s="111" t="s">
        <v>1441</v>
      </c>
      <c r="B508" s="107" t="s">
        <v>2612</v>
      </c>
      <c r="C508" s="27" t="s">
        <v>1381</v>
      </c>
      <c r="D508" s="27" t="s">
        <v>1168</v>
      </c>
      <c r="E508" s="27" t="s">
        <v>966</v>
      </c>
      <c r="F508" s="27" t="s">
        <v>968</v>
      </c>
      <c r="G508" s="108">
        <v>46.05</v>
      </c>
      <c r="H508" s="109">
        <v>-268.67777247798523</v>
      </c>
      <c r="I508" s="83">
        <v>-5834479.3154828502</v>
      </c>
      <c r="J508" s="83">
        <v>5622417.5</v>
      </c>
      <c r="K508" s="84">
        <v>-1.0377171946912249</v>
      </c>
      <c r="L508" s="112">
        <v>1.0377171946912249</v>
      </c>
      <c r="M508" s="82"/>
    </row>
    <row r="509" spans="1:13">
      <c r="A509" s="111" t="s">
        <v>858</v>
      </c>
      <c r="B509" s="107" t="s">
        <v>2613</v>
      </c>
      <c r="C509" s="27" t="s">
        <v>1064</v>
      </c>
      <c r="D509" s="27" t="s">
        <v>1165</v>
      </c>
      <c r="E509" s="27" t="s">
        <v>966</v>
      </c>
      <c r="F509" s="27" t="s">
        <v>968</v>
      </c>
      <c r="G509" s="108">
        <v>56.72</v>
      </c>
      <c r="H509" s="109">
        <v>-322.38698195331745</v>
      </c>
      <c r="I509" s="83">
        <v>-5683832.5450161742</v>
      </c>
      <c r="J509" s="83">
        <v>13591722</v>
      </c>
      <c r="K509" s="84">
        <v>-0.4181834020013192</v>
      </c>
      <c r="L509" s="112">
        <v>0.4181834020013192</v>
      </c>
      <c r="M509" s="82"/>
    </row>
    <row r="510" spans="1:13">
      <c r="A510" s="111" t="s">
        <v>1035</v>
      </c>
      <c r="B510" s="107" t="s">
        <v>2615</v>
      </c>
      <c r="C510" s="27" t="s">
        <v>918</v>
      </c>
      <c r="D510" s="27" t="s">
        <v>1151</v>
      </c>
      <c r="E510" s="27" t="s">
        <v>966</v>
      </c>
      <c r="F510" s="27" t="s">
        <v>970</v>
      </c>
      <c r="G510" s="108">
        <v>46.74</v>
      </c>
      <c r="H510" s="109">
        <v>-340.27006513261881</v>
      </c>
      <c r="I510" s="83">
        <v>-7280061.2993713906</v>
      </c>
      <c r="J510" s="83">
        <v>32703208</v>
      </c>
      <c r="K510" s="84">
        <v>-0.22261000509098039</v>
      </c>
      <c r="L510" s="112">
        <v>0.22261000509098039</v>
      </c>
      <c r="M510" s="82"/>
    </row>
    <row r="511" spans="1:13">
      <c r="A511" s="111" t="s">
        <v>845</v>
      </c>
      <c r="B511" s="107" t="s">
        <v>2617</v>
      </c>
      <c r="C511" s="27" t="s">
        <v>1051</v>
      </c>
      <c r="D511" s="27" t="s">
        <v>1147</v>
      </c>
      <c r="E511" s="27" t="s">
        <v>966</v>
      </c>
      <c r="F511" s="27" t="s">
        <v>970</v>
      </c>
      <c r="G511" s="108">
        <v>62.58</v>
      </c>
      <c r="H511" s="109">
        <v>-382.58146721686433</v>
      </c>
      <c r="I511" s="83">
        <v>-6113478.2233439488</v>
      </c>
      <c r="J511" s="83">
        <v>14683989</v>
      </c>
      <c r="K511" s="84">
        <v>-0.4163363390795205</v>
      </c>
      <c r="L511" s="112">
        <v>0.4163363390795205</v>
      </c>
      <c r="M511" s="82"/>
    </row>
    <row r="512" spans="1:13">
      <c r="A512" s="111" t="s">
        <v>1537</v>
      </c>
      <c r="B512" s="107" t="s">
        <v>2619</v>
      </c>
      <c r="C512" s="27" t="s">
        <v>1541</v>
      </c>
      <c r="D512" s="27" t="s">
        <v>1150</v>
      </c>
      <c r="E512" s="27" t="s">
        <v>966</v>
      </c>
      <c r="F512" s="27" t="s">
        <v>970</v>
      </c>
      <c r="G512" s="108">
        <v>68.75</v>
      </c>
      <c r="H512" s="109">
        <v>-465.08038235452597</v>
      </c>
      <c r="I512" s="83">
        <v>-6764805.5615203772</v>
      </c>
      <c r="J512" s="83">
        <v>7860702</v>
      </c>
      <c r="K512" s="84">
        <v>-0.86058542373446767</v>
      </c>
      <c r="L512" s="112">
        <v>0.86058542373446767</v>
      </c>
      <c r="M512" s="82"/>
    </row>
    <row r="513" spans="1:13">
      <c r="A513" s="111" t="s">
        <v>978</v>
      </c>
      <c r="B513" s="107" t="s">
        <v>2620</v>
      </c>
      <c r="C513" s="27" t="s">
        <v>865</v>
      </c>
      <c r="D513" s="27" t="s">
        <v>1147</v>
      </c>
      <c r="E513" s="27" t="s">
        <v>966</v>
      </c>
      <c r="F513" s="27" t="s">
        <v>970</v>
      </c>
      <c r="G513" s="108">
        <v>115.24</v>
      </c>
      <c r="H513" s="109">
        <v>-504.61148230238001</v>
      </c>
      <c r="I513" s="83">
        <v>-4378787.5937381126</v>
      </c>
      <c r="J513" s="83">
        <v>62848768</v>
      </c>
      <c r="K513" s="84">
        <v>-6.9671812719353743E-2</v>
      </c>
      <c r="L513" s="112">
        <v>6.9671812719353743E-2</v>
      </c>
      <c r="M513" s="82"/>
    </row>
    <row r="514" spans="1:13">
      <c r="A514" s="111" t="s">
        <v>1205</v>
      </c>
      <c r="B514" s="107" t="s">
        <v>2622</v>
      </c>
      <c r="C514" s="27" t="s">
        <v>728</v>
      </c>
      <c r="D514" s="27" t="s">
        <v>1153</v>
      </c>
      <c r="E514" s="27" t="s">
        <v>966</v>
      </c>
      <c r="F514" s="27" t="s">
        <v>970</v>
      </c>
      <c r="G514" s="108">
        <v>108.76</v>
      </c>
      <c r="H514" s="109">
        <v>-616.71332938288901</v>
      </c>
      <c r="I514" s="83">
        <v>-5670405.7501185099</v>
      </c>
      <c r="J514" s="83">
        <v>428529.3125</v>
      </c>
      <c r="K514" s="84">
        <v>-13.232247094225345</v>
      </c>
      <c r="L514" s="112">
        <v>13.232247094225345</v>
      </c>
      <c r="M514" s="82"/>
    </row>
    <row r="515" spans="1:13">
      <c r="A515" s="111" t="s">
        <v>1555</v>
      </c>
      <c r="B515" s="107" t="s">
        <v>2624</v>
      </c>
      <c r="C515" s="27" t="s">
        <v>1695</v>
      </c>
      <c r="D515" s="27" t="s">
        <v>1168</v>
      </c>
      <c r="E515" s="27" t="s">
        <v>966</v>
      </c>
      <c r="F515" s="27" t="s">
        <v>970</v>
      </c>
      <c r="G515" s="108">
        <v>30.08</v>
      </c>
      <c r="H515" s="109">
        <v>-1894.9289728928065</v>
      </c>
      <c r="I515" s="83">
        <v>-62996308.939255543</v>
      </c>
      <c r="J515" s="83">
        <v>20297480</v>
      </c>
      <c r="K515" s="84">
        <v>-3.1036517311141849</v>
      </c>
      <c r="L515" s="112">
        <v>3.1036517311141849</v>
      </c>
      <c r="M515" s="82"/>
    </row>
    <row r="516" spans="1:13">
      <c r="A516" s="114" t="s">
        <v>993</v>
      </c>
      <c r="B516" s="102" t="s">
        <v>2625</v>
      </c>
      <c r="C516" s="101" t="s">
        <v>1371</v>
      </c>
      <c r="D516" s="101" t="s">
        <v>1168</v>
      </c>
      <c r="E516" s="27" t="s">
        <v>966</v>
      </c>
      <c r="F516" s="101" t="s">
        <v>970</v>
      </c>
      <c r="G516" s="103">
        <v>59.41</v>
      </c>
      <c r="H516" s="104">
        <v>-2691.736220359875</v>
      </c>
      <c r="I516" s="105">
        <v>-45307797.009928882</v>
      </c>
      <c r="J516" s="105">
        <v>13728485</v>
      </c>
      <c r="K516" s="106">
        <v>-3.3002765425266429</v>
      </c>
      <c r="L516" s="115">
        <v>3.3002765425266429</v>
      </c>
      <c r="M516" s="82"/>
    </row>
    <row r="519" spans="1:13">
      <c r="A519" s="46" t="s">
        <v>1651</v>
      </c>
    </row>
    <row r="520" spans="1:13">
      <c r="A520" s="46" t="s">
        <v>1486</v>
      </c>
    </row>
  </sheetData>
  <sortState ref="A12:L1511">
    <sortCondition descending="1" ref="E12:E1511"/>
  </sortState>
  <phoneticPr fontId="5"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cols>
    <col min="1" max="1" width="9.140625" style="46"/>
    <col min="2" max="2" width="23.7109375" style="46" customWidth="1"/>
    <col min="3" max="6" width="11" style="46" customWidth="1"/>
    <col min="7" max="7" width="23.7109375" style="46" customWidth="1"/>
    <col min="8" max="11" width="11" style="46" customWidth="1"/>
    <col min="12" max="12" width="23.7109375" style="46" customWidth="1"/>
    <col min="13" max="14" width="11" style="46" customWidth="1"/>
    <col min="15" max="16384" width="9.140625" style="46"/>
  </cols>
  <sheetData>
    <row r="1" spans="1:15" s="5" customFormat="1">
      <c r="J1" s="27"/>
      <c r="K1" s="27"/>
    </row>
    <row r="2" spans="1:15" s="5" customFormat="1">
      <c r="J2" s="27"/>
      <c r="K2" s="27"/>
      <c r="L2" s="23"/>
    </row>
    <row r="3" spans="1:15" s="5" customFormat="1">
      <c r="J3" s="27"/>
      <c r="K3" s="27"/>
    </row>
    <row r="4" spans="1:15" s="5" customFormat="1">
      <c r="J4" s="27"/>
      <c r="K4" s="27"/>
      <c r="L4" s="23"/>
    </row>
    <row r="5" spans="1:15" s="5" customFormat="1">
      <c r="J5" s="27"/>
      <c r="K5" s="27"/>
      <c r="L5" s="23"/>
    </row>
    <row r="6" spans="1:15" s="5" customFormat="1">
      <c r="J6" s="27"/>
      <c r="K6" s="27"/>
      <c r="L6" s="23"/>
    </row>
    <row r="7" spans="1:15" s="5" customFormat="1">
      <c r="J7" s="27"/>
      <c r="K7" s="27"/>
      <c r="L7" s="23"/>
    </row>
    <row r="8" spans="1:15" s="78" customFormat="1" ht="15.75">
      <c r="A8" s="3"/>
      <c r="B8" s="4" t="s">
        <v>1649</v>
      </c>
      <c r="J8" s="79"/>
      <c r="K8" s="79"/>
    </row>
    <row r="9" spans="1:15" s="78" customFormat="1" ht="15.75">
      <c r="A9" s="3"/>
      <c r="B9" s="4" t="s">
        <v>1650</v>
      </c>
      <c r="J9" s="79"/>
      <c r="K9" s="79"/>
    </row>
    <row r="11" spans="1:15" ht="15.75">
      <c r="B11" s="4" t="s">
        <v>207</v>
      </c>
    </row>
    <row r="12" spans="1:15" ht="25.5">
      <c r="B12" s="95"/>
      <c r="C12" s="96" t="s">
        <v>199</v>
      </c>
      <c r="D12" s="96" t="s">
        <v>200</v>
      </c>
      <c r="E12" s="97" t="s">
        <v>201</v>
      </c>
      <c r="G12" s="126"/>
      <c r="H12" s="126"/>
      <c r="I12" s="126"/>
      <c r="J12" s="126"/>
      <c r="K12" s="127"/>
      <c r="L12" s="126"/>
      <c r="M12" s="126"/>
      <c r="N12" s="126"/>
      <c r="O12" s="126"/>
    </row>
    <row r="13" spans="1:15" hidden="1">
      <c r="B13" s="61" t="s">
        <v>942</v>
      </c>
      <c r="C13" s="62">
        <v>18413542.764325488</v>
      </c>
      <c r="D13" s="62">
        <v>9842215.7179872785</v>
      </c>
      <c r="E13" s="63">
        <v>8571327.0463382155</v>
      </c>
      <c r="G13" s="127"/>
      <c r="H13" s="119"/>
      <c r="I13" s="119"/>
      <c r="J13" s="119"/>
      <c r="K13" s="127"/>
      <c r="L13" s="127"/>
      <c r="M13" s="119"/>
      <c r="N13" s="119"/>
      <c r="O13" s="119"/>
    </row>
    <row r="14" spans="1:15" hidden="1">
      <c r="B14" s="61" t="s">
        <v>943</v>
      </c>
      <c r="C14" s="64">
        <v>0.114</v>
      </c>
      <c r="D14" s="64">
        <v>2E-3</v>
      </c>
      <c r="E14" s="65">
        <v>1.5E-3</v>
      </c>
      <c r="G14" s="127"/>
      <c r="H14" s="120"/>
      <c r="I14" s="120"/>
      <c r="J14" s="120"/>
      <c r="K14" s="127"/>
      <c r="L14" s="127"/>
      <c r="M14" s="120"/>
      <c r="N14" s="120"/>
      <c r="O14" s="120"/>
    </row>
    <row r="15" spans="1:15">
      <c r="B15" s="61" t="s">
        <v>944</v>
      </c>
      <c r="C15" s="66">
        <v>2099143.8751331056</v>
      </c>
      <c r="D15" s="66">
        <v>19684.431435974559</v>
      </c>
      <c r="E15" s="67">
        <v>12856.990569507323</v>
      </c>
      <c r="G15" s="127"/>
      <c r="H15" s="121"/>
      <c r="I15" s="121"/>
      <c r="J15" s="121"/>
      <c r="K15" s="127"/>
      <c r="L15" s="127"/>
      <c r="M15" s="121"/>
      <c r="N15" s="121"/>
      <c r="O15" s="121"/>
    </row>
    <row r="16" spans="1:15">
      <c r="B16" s="61" t="s">
        <v>973</v>
      </c>
      <c r="C16" s="66">
        <v>14311.890698066392</v>
      </c>
      <c r="D16" s="66">
        <v>154.20323578368794</v>
      </c>
      <c r="E16" s="67">
        <v>72.317699363322632</v>
      </c>
      <c r="G16" s="127"/>
      <c r="H16" s="121"/>
      <c r="I16" s="121"/>
      <c r="J16" s="121"/>
      <c r="K16" s="127"/>
      <c r="L16" s="127"/>
      <c r="M16" s="121"/>
      <c r="N16" s="121"/>
      <c r="O16" s="121"/>
    </row>
    <row r="17" spans="2:15">
      <c r="B17" s="61" t="s">
        <v>974</v>
      </c>
      <c r="C17" s="66">
        <v>-14311.890698067436</v>
      </c>
      <c r="D17" s="66">
        <v>-154.20323578370244</v>
      </c>
      <c r="E17" s="67">
        <v>-72.317699363334185</v>
      </c>
      <c r="G17" s="127"/>
      <c r="H17" s="121"/>
      <c r="I17" s="121"/>
      <c r="J17" s="121"/>
      <c r="K17" s="127"/>
      <c r="L17" s="127"/>
      <c r="M17" s="121"/>
      <c r="N17" s="121"/>
      <c r="O17" s="121"/>
    </row>
    <row r="18" spans="2:15">
      <c r="B18" s="85" t="s">
        <v>975</v>
      </c>
      <c r="C18" s="86">
        <v>28623.781396133829</v>
      </c>
      <c r="D18" s="86">
        <v>308.40647156739038</v>
      </c>
      <c r="E18" s="87">
        <v>144.63539872665683</v>
      </c>
      <c r="G18" s="128"/>
      <c r="H18" s="122"/>
      <c r="I18" s="122"/>
      <c r="J18" s="122"/>
      <c r="K18" s="127"/>
      <c r="L18" s="128"/>
      <c r="M18" s="122"/>
      <c r="N18" s="122"/>
      <c r="O18" s="122"/>
    </row>
    <row r="19" spans="2:15">
      <c r="B19" s="85" t="s">
        <v>976</v>
      </c>
      <c r="C19" s="88">
        <v>1.3635931169472036E-2</v>
      </c>
      <c r="D19" s="88">
        <v>1.5667532616855665E-2</v>
      </c>
      <c r="E19" s="89">
        <v>1.1249553147350502E-2</v>
      </c>
      <c r="G19" s="128"/>
      <c r="H19" s="123"/>
      <c r="I19" s="123"/>
      <c r="J19" s="123"/>
      <c r="K19" s="127"/>
      <c r="L19" s="128"/>
      <c r="M19" s="123"/>
      <c r="N19" s="123"/>
      <c r="O19" s="123"/>
    </row>
    <row r="20" spans="2:15">
      <c r="B20" s="61" t="s">
        <v>927</v>
      </c>
      <c r="C20" s="68">
        <v>304</v>
      </c>
      <c r="D20" s="69" t="s">
        <v>838</v>
      </c>
      <c r="E20" s="70" t="s">
        <v>838</v>
      </c>
      <c r="G20" s="127"/>
      <c r="H20" s="124"/>
      <c r="I20" s="125"/>
      <c r="J20" s="124"/>
      <c r="K20" s="127"/>
      <c r="L20" s="127"/>
      <c r="M20" s="124"/>
      <c r="N20" s="125"/>
      <c r="O20" s="124"/>
    </row>
    <row r="21" spans="2:15">
      <c r="B21" s="71" t="s">
        <v>928</v>
      </c>
      <c r="C21" s="72">
        <v>201</v>
      </c>
      <c r="D21" s="72" t="s">
        <v>838</v>
      </c>
      <c r="E21" s="73" t="s">
        <v>838</v>
      </c>
      <c r="G21" s="127"/>
      <c r="H21" s="124"/>
      <c r="I21" s="124"/>
      <c r="J21" s="124"/>
      <c r="K21" s="127"/>
      <c r="L21" s="127"/>
      <c r="M21" s="124"/>
      <c r="N21" s="124"/>
      <c r="O21" s="124"/>
    </row>
    <row r="23" spans="2:15" ht="38.25">
      <c r="B23" s="95" t="s">
        <v>933</v>
      </c>
      <c r="C23" s="97" t="s">
        <v>1146</v>
      </c>
    </row>
    <row r="24" spans="2:15">
      <c r="B24" s="74" t="s">
        <v>1151</v>
      </c>
      <c r="C24" s="67">
        <v>2282.3097514804654</v>
      </c>
    </row>
    <row r="25" spans="2:15">
      <c r="B25" s="74" t="s">
        <v>1160</v>
      </c>
      <c r="C25" s="67">
        <v>596.95029955196765</v>
      </c>
    </row>
    <row r="26" spans="2:15">
      <c r="B26" s="74" t="s">
        <v>1149</v>
      </c>
      <c r="C26" s="67">
        <v>449.34065036417564</v>
      </c>
    </row>
    <row r="27" spans="2:15">
      <c r="B27" s="74" t="s">
        <v>1154</v>
      </c>
      <c r="C27" s="67">
        <v>402.23382356076695</v>
      </c>
    </row>
    <row r="28" spans="2:15">
      <c r="B28" s="74" t="s">
        <v>1169</v>
      </c>
      <c r="C28" s="67">
        <v>257.75024461058615</v>
      </c>
    </row>
    <row r="29" spans="2:15">
      <c r="B29" s="74" t="s">
        <v>1170</v>
      </c>
      <c r="C29" s="67">
        <v>204.73302761980784</v>
      </c>
    </row>
    <row r="30" spans="2:15">
      <c r="B30" s="74" t="s">
        <v>1162</v>
      </c>
      <c r="C30" s="67">
        <v>186.65264318357396</v>
      </c>
    </row>
    <row r="31" spans="2:15">
      <c r="B31" s="74" t="s">
        <v>1150</v>
      </c>
      <c r="C31" s="67">
        <v>181.99366217387268</v>
      </c>
    </row>
    <row r="32" spans="2:15">
      <c r="B32" s="74" t="s">
        <v>1158</v>
      </c>
      <c r="C32" s="67">
        <v>151.71740444278248</v>
      </c>
    </row>
    <row r="33" spans="2:3">
      <c r="B33" s="74" t="s">
        <v>1156</v>
      </c>
      <c r="C33" s="67">
        <v>132.72147973295759</v>
      </c>
    </row>
    <row r="34" spans="2:3">
      <c r="B34" s="74" t="s">
        <v>1159</v>
      </c>
      <c r="C34" s="67">
        <v>114.28670891676715</v>
      </c>
    </row>
    <row r="35" spans="2:3">
      <c r="B35" s="74" t="s">
        <v>1148</v>
      </c>
      <c r="C35" s="67">
        <v>113.04221095964249</v>
      </c>
    </row>
    <row r="36" spans="2:3">
      <c r="B36" s="74" t="s">
        <v>1152</v>
      </c>
      <c r="C36" s="67">
        <v>33.220685887067788</v>
      </c>
    </row>
    <row r="37" spans="2:3">
      <c r="B37" s="74" t="s">
        <v>1163</v>
      </c>
      <c r="C37" s="67">
        <v>-107.36977769385396</v>
      </c>
    </row>
    <row r="38" spans="2:3">
      <c r="B38" s="74" t="s">
        <v>1161</v>
      </c>
      <c r="C38" s="67">
        <v>-118.22024972251739</v>
      </c>
    </row>
    <row r="39" spans="2:3">
      <c r="B39" s="74" t="s">
        <v>1166</v>
      </c>
      <c r="C39" s="67">
        <v>-182.26690951020569</v>
      </c>
    </row>
    <row r="40" spans="2:3">
      <c r="B40" s="74" t="s">
        <v>1167</v>
      </c>
      <c r="C40" s="67">
        <v>-243.33234262766277</v>
      </c>
    </row>
    <row r="41" spans="2:3">
      <c r="B41" s="74" t="s">
        <v>1157</v>
      </c>
      <c r="C41" s="67">
        <v>-353.98881098660195</v>
      </c>
    </row>
    <row r="42" spans="2:3">
      <c r="B42" s="74" t="s">
        <v>1155</v>
      </c>
      <c r="C42" s="67">
        <v>-372.81848803221317</v>
      </c>
    </row>
    <row r="43" spans="2:3">
      <c r="B43" s="74" t="s">
        <v>1165</v>
      </c>
      <c r="C43" s="67">
        <v>-427.11949152280266</v>
      </c>
    </row>
    <row r="44" spans="2:3">
      <c r="B44" s="74" t="s">
        <v>1164</v>
      </c>
      <c r="C44" s="67">
        <v>-609.02097011140074</v>
      </c>
    </row>
    <row r="45" spans="2:3">
      <c r="B45" s="74" t="s">
        <v>1153</v>
      </c>
      <c r="C45" s="67">
        <v>-677.59584272083225</v>
      </c>
    </row>
    <row r="46" spans="2:3">
      <c r="B46" s="74" t="s">
        <v>1168</v>
      </c>
      <c r="C46" s="67">
        <v>-945.05427532823137</v>
      </c>
    </row>
    <row r="47" spans="2:3">
      <c r="B47" s="75" t="s">
        <v>1147</v>
      </c>
      <c r="C47" s="76">
        <v>-1070.1654342291879</v>
      </c>
    </row>
    <row r="50" spans="2:2">
      <c r="B50" s="46" t="s">
        <v>1651</v>
      </c>
    </row>
    <row r="51" spans="2:2">
      <c r="B51" s="46" t="s">
        <v>1486</v>
      </c>
    </row>
    <row r="147" spans="13:13">
      <c r="M147" s="77"/>
    </row>
  </sheetData>
  <sortState ref="B24:C47">
    <sortCondition descending="1" ref="C24:C47"/>
  </sortState>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40"/>
  <sheetViews>
    <sheetView zoomScale="85" zoomScaleNormal="85" workbookViewId="0"/>
  </sheetViews>
  <sheetFormatPr defaultRowHeight="12.75"/>
  <cols>
    <col min="1" max="1" width="9.140625" style="50"/>
    <col min="2" max="2" width="7.5703125" style="50" customWidth="1"/>
    <col min="3" max="3" width="17.28515625" style="50" customWidth="1"/>
    <col min="4" max="4" width="12" style="50" customWidth="1"/>
    <col min="5" max="5" width="8.7109375" style="50" customWidth="1"/>
    <col min="6" max="6" width="2.85546875" style="50" customWidth="1"/>
    <col min="7" max="7" width="7.5703125" style="50" customWidth="1"/>
    <col min="8" max="8" width="17.28515625" style="50" customWidth="1"/>
    <col min="9" max="9" width="12" style="50" customWidth="1"/>
    <col min="10" max="10" width="11.5703125" style="50" bestFit="1" customWidth="1"/>
    <col min="11" max="11" width="6.7109375" style="50" bestFit="1" customWidth="1"/>
    <col min="12" max="12" width="7.5703125" style="50" customWidth="1"/>
    <col min="13" max="13" width="17.28515625" style="50" customWidth="1"/>
    <col min="14" max="14" width="12" style="50" customWidth="1"/>
    <col min="15" max="15" width="8.7109375" style="50" customWidth="1"/>
    <col min="16" max="16" width="2.85546875" style="50" customWidth="1"/>
    <col min="17" max="17" width="7.5703125" style="50" customWidth="1"/>
    <col min="18" max="18" width="17.28515625" style="50" customWidth="1"/>
    <col min="19" max="19" width="12" style="50" customWidth="1"/>
    <col min="20" max="20" width="8.7109375" style="50" customWidth="1"/>
    <col min="21" max="16384" width="9.140625" style="50"/>
  </cols>
  <sheetData>
    <row r="1" spans="1:20" s="27" customFormat="1"/>
    <row r="2" spans="1:20" s="27" customFormat="1"/>
    <row r="3" spans="1:20" s="27" customFormat="1"/>
    <row r="4" spans="1:20" s="27" customFormat="1"/>
    <row r="5" spans="1:20" s="27" customFormat="1"/>
    <row r="6" spans="1:20" s="27" customFormat="1"/>
    <row r="7" spans="1:20" s="27" customFormat="1"/>
    <row r="8" spans="1:20" s="27" customFormat="1" ht="15.75">
      <c r="A8" s="90"/>
      <c r="B8" s="91" t="s">
        <v>1649</v>
      </c>
      <c r="G8" s="90"/>
      <c r="L8" s="90"/>
      <c r="Q8" s="90"/>
    </row>
    <row r="9" spans="1:20" s="27" customFormat="1" ht="15.75">
      <c r="A9" s="90"/>
      <c r="B9" s="91" t="s">
        <v>1650</v>
      </c>
      <c r="G9" s="90"/>
      <c r="L9" s="90"/>
      <c r="Q9" s="90"/>
    </row>
    <row r="11" spans="1:20" s="92" customFormat="1" ht="15.75">
      <c r="B11" s="91" t="s">
        <v>218</v>
      </c>
      <c r="G11" s="91" t="s">
        <v>219</v>
      </c>
      <c r="L11" s="91" t="s">
        <v>220</v>
      </c>
      <c r="Q11" s="91" t="s">
        <v>221</v>
      </c>
    </row>
    <row r="12" spans="1:20" ht="33.75">
      <c r="B12" s="129" t="s">
        <v>929</v>
      </c>
      <c r="C12" s="130" t="s">
        <v>932</v>
      </c>
      <c r="D12" s="130" t="s">
        <v>964</v>
      </c>
      <c r="E12" s="131" t="s">
        <v>960</v>
      </c>
      <c r="F12" s="93"/>
      <c r="G12" s="129" t="s">
        <v>929</v>
      </c>
      <c r="H12" s="130" t="s">
        <v>932</v>
      </c>
      <c r="I12" s="130" t="s">
        <v>964</v>
      </c>
      <c r="J12" s="131" t="s">
        <v>960</v>
      </c>
      <c r="K12" s="93"/>
      <c r="L12" s="129" t="s">
        <v>929</v>
      </c>
      <c r="M12" s="130" t="s">
        <v>932</v>
      </c>
      <c r="N12" s="130" t="s">
        <v>964</v>
      </c>
      <c r="O12" s="131" t="s">
        <v>960</v>
      </c>
      <c r="P12" s="98"/>
      <c r="Q12" s="129" t="s">
        <v>929</v>
      </c>
      <c r="R12" s="130" t="s">
        <v>932</v>
      </c>
      <c r="S12" s="130" t="s">
        <v>964</v>
      </c>
      <c r="T12" s="131" t="s">
        <v>960</v>
      </c>
    </row>
    <row r="13" spans="1:20">
      <c r="B13" s="49" t="s">
        <v>1713</v>
      </c>
      <c r="C13" s="50" t="s">
        <v>1376</v>
      </c>
      <c r="D13" s="51">
        <v>173.06538916570454</v>
      </c>
      <c r="E13" s="52">
        <v>13.227624234016327</v>
      </c>
      <c r="G13" s="49" t="s">
        <v>1205</v>
      </c>
      <c r="H13" s="50" t="s">
        <v>728</v>
      </c>
      <c r="I13" s="51">
        <v>-616.71332938288901</v>
      </c>
      <c r="J13" s="52">
        <v>-13.232247094225345</v>
      </c>
      <c r="L13" s="49" t="s">
        <v>1712</v>
      </c>
      <c r="M13" s="50" t="s">
        <v>1371</v>
      </c>
      <c r="N13" s="53">
        <v>2558.8167804703548</v>
      </c>
      <c r="O13" s="54">
        <v>13.220074355329022</v>
      </c>
      <c r="Q13" s="49" t="s">
        <v>993</v>
      </c>
      <c r="R13" s="50" t="s">
        <v>1371</v>
      </c>
      <c r="S13" s="53">
        <v>-2691.736220359875</v>
      </c>
      <c r="T13" s="54">
        <v>-3.3002765425266429</v>
      </c>
    </row>
    <row r="14" spans="1:20">
      <c r="B14" s="49" t="s">
        <v>1712</v>
      </c>
      <c r="C14" s="50" t="s">
        <v>1371</v>
      </c>
      <c r="D14" s="51">
        <v>2558.8167804703548</v>
      </c>
      <c r="E14" s="52">
        <v>13.220074355329022</v>
      </c>
      <c r="G14" s="49" t="s">
        <v>235</v>
      </c>
      <c r="H14" s="50" t="s">
        <v>1376</v>
      </c>
      <c r="I14" s="51">
        <v>-193.03486995726891</v>
      </c>
      <c r="J14" s="52">
        <v>-4.6056248536561668</v>
      </c>
      <c r="L14" s="49" t="s">
        <v>1608</v>
      </c>
      <c r="M14" s="50" t="s">
        <v>1634</v>
      </c>
      <c r="N14" s="53">
        <v>1766.8166423473688</v>
      </c>
      <c r="O14" s="54">
        <v>0.50123517384291305</v>
      </c>
      <c r="Q14" s="49" t="s">
        <v>1555</v>
      </c>
      <c r="R14" s="50" t="s">
        <v>1695</v>
      </c>
      <c r="S14" s="53">
        <v>-1894.9289728928065</v>
      </c>
      <c r="T14" s="54">
        <v>-3.1036517311141849</v>
      </c>
    </row>
    <row r="15" spans="1:20">
      <c r="B15" s="49" t="s">
        <v>1711</v>
      </c>
      <c r="C15" s="50" t="s">
        <v>1560</v>
      </c>
      <c r="D15" s="51">
        <v>1477.1374064411498</v>
      </c>
      <c r="E15" s="52">
        <v>11.830933999338278</v>
      </c>
      <c r="G15" s="49" t="s">
        <v>993</v>
      </c>
      <c r="H15" s="50" t="s">
        <v>1371</v>
      </c>
      <c r="I15" s="51">
        <v>-2691.736220359875</v>
      </c>
      <c r="J15" s="52">
        <v>-3.3002765425266429</v>
      </c>
      <c r="L15" s="49" t="s">
        <v>1711</v>
      </c>
      <c r="M15" s="50" t="s">
        <v>1560</v>
      </c>
      <c r="N15" s="53">
        <v>1477.1374064411498</v>
      </c>
      <c r="O15" s="54">
        <v>11.830933999338278</v>
      </c>
      <c r="Q15" s="49" t="s">
        <v>1205</v>
      </c>
      <c r="R15" s="50" t="s">
        <v>728</v>
      </c>
      <c r="S15" s="53">
        <v>-616.71332938288901</v>
      </c>
      <c r="T15" s="54">
        <v>-13.232247094225345</v>
      </c>
    </row>
    <row r="16" spans="1:20">
      <c r="B16" s="49" t="s">
        <v>249</v>
      </c>
      <c r="C16" s="50" t="s">
        <v>81</v>
      </c>
      <c r="D16" s="51">
        <v>192.91632622423879</v>
      </c>
      <c r="E16" s="52">
        <v>1.6365886430458307</v>
      </c>
      <c r="G16" s="49" t="s">
        <v>1555</v>
      </c>
      <c r="H16" s="50" t="s">
        <v>1695</v>
      </c>
      <c r="I16" s="51">
        <v>-1894.9289728928065</v>
      </c>
      <c r="J16" s="52">
        <v>-3.1036517311141849</v>
      </c>
      <c r="L16" s="49" t="s">
        <v>1013</v>
      </c>
      <c r="M16" s="50" t="s">
        <v>1638</v>
      </c>
      <c r="N16" s="53">
        <v>487.53398804672059</v>
      </c>
      <c r="O16" s="54">
        <v>0.23541176689177909</v>
      </c>
      <c r="Q16" s="49" t="s">
        <v>978</v>
      </c>
      <c r="R16" s="50" t="s">
        <v>865</v>
      </c>
      <c r="S16" s="53">
        <v>-504.61148230238001</v>
      </c>
      <c r="T16" s="54">
        <v>-6.9671812719353743E-2</v>
      </c>
    </row>
    <row r="17" spans="2:20">
      <c r="B17" s="49" t="s">
        <v>1385</v>
      </c>
      <c r="C17" s="50" t="s">
        <v>1369</v>
      </c>
      <c r="D17" s="51">
        <v>517.3062570729137</v>
      </c>
      <c r="E17" s="52">
        <v>1.2471854677628671</v>
      </c>
      <c r="G17" s="49" t="s">
        <v>1348</v>
      </c>
      <c r="H17" s="50" t="s">
        <v>52</v>
      </c>
      <c r="I17" s="51">
        <v>-111.77545693353609</v>
      </c>
      <c r="J17" s="52">
        <v>-1.9670504534841753</v>
      </c>
      <c r="L17" s="49" t="s">
        <v>1385</v>
      </c>
      <c r="M17" s="50" t="s">
        <v>1369</v>
      </c>
      <c r="N17" s="53">
        <v>517.3062570729137</v>
      </c>
      <c r="O17" s="54">
        <v>1.2471854677628671</v>
      </c>
      <c r="Q17" s="49" t="s">
        <v>1537</v>
      </c>
      <c r="R17" s="50" t="s">
        <v>1541</v>
      </c>
      <c r="S17" s="53">
        <v>-465.08038235452597</v>
      </c>
      <c r="T17" s="54">
        <v>-0.86058542373446767</v>
      </c>
    </row>
    <row r="18" spans="2:20">
      <c r="B18" s="49" t="s">
        <v>1675</v>
      </c>
      <c r="C18" s="50" t="s">
        <v>1696</v>
      </c>
      <c r="D18" s="51">
        <v>236.89030981602721</v>
      </c>
      <c r="E18" s="52">
        <v>1.1151143776025108</v>
      </c>
      <c r="G18" s="49" t="s">
        <v>1441</v>
      </c>
      <c r="H18" s="50" t="s">
        <v>1381</v>
      </c>
      <c r="I18" s="51">
        <v>-268.67777247798523</v>
      </c>
      <c r="J18" s="52">
        <v>-1.0377171946912249</v>
      </c>
      <c r="L18" s="49" t="s">
        <v>1610</v>
      </c>
      <c r="M18" s="50" t="s">
        <v>1637</v>
      </c>
      <c r="N18" s="53">
        <v>379.32656119068355</v>
      </c>
      <c r="O18" s="54">
        <v>0.16146567861286237</v>
      </c>
      <c r="Q18" s="49" t="s">
        <v>845</v>
      </c>
      <c r="R18" s="50" t="s">
        <v>1051</v>
      </c>
      <c r="S18" s="53">
        <v>-382.58146721686433</v>
      </c>
      <c r="T18" s="54">
        <v>-0.4163363390795205</v>
      </c>
    </row>
    <row r="19" spans="2:20">
      <c r="B19" s="49" t="s">
        <v>1439</v>
      </c>
      <c r="C19" s="50" t="s">
        <v>1435</v>
      </c>
      <c r="D19" s="51">
        <v>140.91748687328692</v>
      </c>
      <c r="E19" s="52">
        <v>0.81159343963887953</v>
      </c>
      <c r="G19" s="49" t="s">
        <v>1537</v>
      </c>
      <c r="H19" s="50" t="s">
        <v>1541</v>
      </c>
      <c r="I19" s="51">
        <v>-465.08038235452597</v>
      </c>
      <c r="J19" s="52">
        <v>-0.86058542373446767</v>
      </c>
      <c r="L19" s="49" t="s">
        <v>1474</v>
      </c>
      <c r="M19" s="50" t="s">
        <v>1480</v>
      </c>
      <c r="N19" s="53">
        <v>358.66663322813764</v>
      </c>
      <c r="O19" s="54">
        <v>0.63461821289607889</v>
      </c>
      <c r="Q19" s="49" t="s">
        <v>1035</v>
      </c>
      <c r="R19" s="50" t="s">
        <v>918</v>
      </c>
      <c r="S19" s="53">
        <v>-340.27006513261881</v>
      </c>
      <c r="T19" s="54">
        <v>-0.22261000509098039</v>
      </c>
    </row>
    <row r="20" spans="2:20">
      <c r="B20" s="49" t="s">
        <v>1262</v>
      </c>
      <c r="C20" s="50" t="s">
        <v>778</v>
      </c>
      <c r="D20" s="51">
        <v>86.695876515017204</v>
      </c>
      <c r="E20" s="52">
        <v>0.70428082795748825</v>
      </c>
      <c r="G20" s="49" t="s">
        <v>272</v>
      </c>
      <c r="H20" s="50" t="s">
        <v>101</v>
      </c>
      <c r="I20" s="51">
        <v>-56.150166358831164</v>
      </c>
      <c r="J20" s="52">
        <v>-0.82153387291234647</v>
      </c>
      <c r="L20" s="49" t="s">
        <v>1549</v>
      </c>
      <c r="M20" s="50" t="s">
        <v>1559</v>
      </c>
      <c r="N20" s="53">
        <v>344.29904016505424</v>
      </c>
      <c r="O20" s="54">
        <v>0.55793930003274261</v>
      </c>
      <c r="Q20" s="49" t="s">
        <v>858</v>
      </c>
      <c r="R20" s="50" t="s">
        <v>1064</v>
      </c>
      <c r="S20" s="53">
        <v>-322.38698195331745</v>
      </c>
      <c r="T20" s="54">
        <v>-0.4181834020013192</v>
      </c>
    </row>
    <row r="21" spans="2:20">
      <c r="B21" s="49" t="s">
        <v>860</v>
      </c>
      <c r="C21" s="50" t="s">
        <v>1065</v>
      </c>
      <c r="D21" s="51">
        <v>318.50612090915695</v>
      </c>
      <c r="E21" s="52">
        <v>0.68833769846414494</v>
      </c>
      <c r="G21" s="49" t="s">
        <v>1248</v>
      </c>
      <c r="H21" s="50" t="s">
        <v>765</v>
      </c>
      <c r="I21" s="51">
        <v>-199.00040553214114</v>
      </c>
      <c r="J21" s="52">
        <v>-0.66405974475472207</v>
      </c>
      <c r="L21" s="49" t="s">
        <v>860</v>
      </c>
      <c r="M21" s="50" t="s">
        <v>1065</v>
      </c>
      <c r="N21" s="53">
        <v>318.50612090915695</v>
      </c>
      <c r="O21" s="54">
        <v>0.68833769846414494</v>
      </c>
      <c r="Q21" s="49" t="s">
        <v>1441</v>
      </c>
      <c r="R21" s="50" t="s">
        <v>1381</v>
      </c>
      <c r="S21" s="53">
        <v>-268.67777247798523</v>
      </c>
      <c r="T21" s="54">
        <v>-1.0377171946912249</v>
      </c>
    </row>
    <row r="22" spans="2:20">
      <c r="B22" s="55" t="s">
        <v>1474</v>
      </c>
      <c r="C22" s="56" t="s">
        <v>1480</v>
      </c>
      <c r="D22" s="57">
        <v>358.66663322813764</v>
      </c>
      <c r="E22" s="58">
        <v>0.63461821289607889</v>
      </c>
      <c r="G22" s="55" t="s">
        <v>1036</v>
      </c>
      <c r="H22" s="56" t="s">
        <v>919</v>
      </c>
      <c r="I22" s="57">
        <v>-210.17478244141464</v>
      </c>
      <c r="J22" s="58">
        <v>-0.6448063681633055</v>
      </c>
      <c r="L22" s="55" t="s">
        <v>1675</v>
      </c>
      <c r="M22" s="56" t="s">
        <v>1696</v>
      </c>
      <c r="N22" s="59">
        <v>236.89030981602721</v>
      </c>
      <c r="O22" s="60">
        <v>1.1151143776025108</v>
      </c>
      <c r="Q22" s="55" t="s">
        <v>1183</v>
      </c>
      <c r="R22" s="56" t="s">
        <v>708</v>
      </c>
      <c r="S22" s="59">
        <v>-254.68043503896774</v>
      </c>
      <c r="T22" s="60">
        <v>-0.51350893681164267</v>
      </c>
    </row>
    <row r="24" spans="2:20">
      <c r="B24" s="94"/>
      <c r="G24" s="94"/>
      <c r="L24" s="94"/>
      <c r="Q24" s="94"/>
    </row>
    <row r="25" spans="2:20">
      <c r="B25" s="94"/>
      <c r="G25" s="94"/>
      <c r="L25" s="94"/>
      <c r="Q25" s="94"/>
    </row>
    <row r="26" spans="2:20" ht="15.75">
      <c r="B26" s="91" t="s">
        <v>2628</v>
      </c>
      <c r="G26" s="94"/>
      <c r="L26" s="94"/>
      <c r="Q26" s="94"/>
    </row>
    <row r="27" spans="2:20" ht="59.25" customHeight="1">
      <c r="B27" s="129" t="s">
        <v>929</v>
      </c>
      <c r="C27" s="143" t="s">
        <v>932</v>
      </c>
      <c r="D27" s="143"/>
      <c r="E27" s="143" t="s">
        <v>933</v>
      </c>
      <c r="F27" s="143"/>
      <c r="G27" s="143"/>
      <c r="H27" s="130" t="s">
        <v>953</v>
      </c>
      <c r="I27" s="130" t="s">
        <v>964</v>
      </c>
      <c r="J27" s="130" t="s">
        <v>958</v>
      </c>
      <c r="K27" s="131" t="s">
        <v>1410</v>
      </c>
    </row>
    <row r="28" spans="2:20">
      <c r="B28" s="132" t="s">
        <v>1013</v>
      </c>
      <c r="C28" s="133" t="s">
        <v>1638</v>
      </c>
      <c r="D28" s="133"/>
      <c r="E28" s="133" t="s">
        <v>1151</v>
      </c>
      <c r="F28" s="133"/>
      <c r="G28" s="133"/>
      <c r="H28" s="133" t="s">
        <v>967</v>
      </c>
      <c r="I28" s="134">
        <v>487.53398804672059</v>
      </c>
      <c r="J28" s="144">
        <v>739180.6477753662</v>
      </c>
      <c r="K28" s="135">
        <v>0.23541176689177909</v>
      </c>
      <c r="L28" s="94"/>
      <c r="Q28" s="94"/>
    </row>
    <row r="29" spans="2:20">
      <c r="B29" s="132" t="s">
        <v>1610</v>
      </c>
      <c r="C29" s="133" t="s">
        <v>1637</v>
      </c>
      <c r="D29" s="133"/>
      <c r="E29" s="133" t="s">
        <v>1151</v>
      </c>
      <c r="F29" s="133"/>
      <c r="G29" s="133"/>
      <c r="H29" s="133" t="s">
        <v>967</v>
      </c>
      <c r="I29" s="134">
        <v>379.32656119068355</v>
      </c>
      <c r="J29" s="144">
        <v>548579.92565213749</v>
      </c>
      <c r="K29" s="153">
        <v>0.16146567861286237</v>
      </c>
      <c r="L29" s="94"/>
      <c r="Q29" s="94"/>
    </row>
    <row r="30" spans="2:20">
      <c r="B30" s="136" t="s">
        <v>1386</v>
      </c>
      <c r="C30" s="137" t="s">
        <v>1692</v>
      </c>
      <c r="D30" s="137"/>
      <c r="E30" s="137" t="s">
        <v>1168</v>
      </c>
      <c r="F30" s="137"/>
      <c r="G30" s="137"/>
      <c r="H30" s="137" t="s">
        <v>969</v>
      </c>
      <c r="I30" s="138">
        <v>2.3111103297819766</v>
      </c>
      <c r="J30" s="145">
        <v>79886.288620185849</v>
      </c>
      <c r="K30" s="139">
        <v>1.843481381454206E-2</v>
      </c>
    </row>
    <row r="31" spans="2:20">
      <c r="B31" s="136" t="s">
        <v>1607</v>
      </c>
      <c r="C31" s="137" t="s">
        <v>1693</v>
      </c>
      <c r="D31" s="137"/>
      <c r="E31" s="137" t="s">
        <v>1168</v>
      </c>
      <c r="F31" s="137"/>
      <c r="G31" s="137"/>
      <c r="H31" s="137" t="s">
        <v>970</v>
      </c>
      <c r="I31" s="138">
        <v>-7.4600621660543505</v>
      </c>
      <c r="J31" s="145">
        <v>-271373.66919077304</v>
      </c>
      <c r="K31" s="148">
        <v>-0.11952255890774367</v>
      </c>
    </row>
    <row r="32" spans="2:20">
      <c r="B32" s="132" t="s">
        <v>1711</v>
      </c>
      <c r="C32" s="150" t="s">
        <v>2630</v>
      </c>
      <c r="D32" s="133"/>
      <c r="E32" s="133" t="s">
        <v>1168</v>
      </c>
      <c r="F32" s="133"/>
      <c r="G32" s="133"/>
      <c r="H32" s="133" t="s">
        <v>2629</v>
      </c>
      <c r="I32" s="134">
        <v>1477.1374064411498</v>
      </c>
      <c r="J32" s="144">
        <v>50106424.913200468</v>
      </c>
      <c r="K32" s="135">
        <v>11.830933999338278</v>
      </c>
    </row>
    <row r="33" spans="2:11">
      <c r="B33" s="132" t="s">
        <v>1555</v>
      </c>
      <c r="C33" s="150" t="s">
        <v>2631</v>
      </c>
      <c r="D33" s="133"/>
      <c r="E33" s="133" t="s">
        <v>1168</v>
      </c>
      <c r="F33" s="133"/>
      <c r="G33" s="133"/>
      <c r="H33" s="133" t="s">
        <v>970</v>
      </c>
      <c r="I33" s="134">
        <v>-1894.9289728928065</v>
      </c>
      <c r="J33" s="144">
        <v>-62996308.939255543</v>
      </c>
      <c r="K33" s="147">
        <v>-3.1036517311141849</v>
      </c>
    </row>
    <row r="34" spans="2:11">
      <c r="B34" s="136" t="s">
        <v>1712</v>
      </c>
      <c r="C34" s="151" t="s">
        <v>2632</v>
      </c>
      <c r="D34" s="137"/>
      <c r="E34" s="137" t="s">
        <v>1168</v>
      </c>
      <c r="F34" s="137"/>
      <c r="G34" s="137"/>
      <c r="H34" s="137" t="s">
        <v>2629</v>
      </c>
      <c r="I34" s="138">
        <v>2558.8167804703548</v>
      </c>
      <c r="J34" s="145">
        <v>42803893.952331118</v>
      </c>
      <c r="K34" s="139">
        <v>13.220074355329022</v>
      </c>
    </row>
    <row r="35" spans="2:11">
      <c r="B35" s="136" t="s">
        <v>993</v>
      </c>
      <c r="C35" s="151" t="s">
        <v>2633</v>
      </c>
      <c r="D35" s="137"/>
      <c r="E35" s="137" t="s">
        <v>1168</v>
      </c>
      <c r="F35" s="137"/>
      <c r="G35" s="137"/>
      <c r="H35" s="137" t="s">
        <v>970</v>
      </c>
      <c r="I35" s="138">
        <v>-2691.736220359875</v>
      </c>
      <c r="J35" s="145">
        <v>-45307797.009928882</v>
      </c>
      <c r="K35" s="148">
        <v>-3.3002765425266429</v>
      </c>
    </row>
    <row r="36" spans="2:11">
      <c r="B36" s="132" t="s">
        <v>1713</v>
      </c>
      <c r="C36" s="150" t="s">
        <v>2634</v>
      </c>
      <c r="D36" s="133"/>
      <c r="E36" s="133" t="s">
        <v>1168</v>
      </c>
      <c r="F36" s="133"/>
      <c r="G36" s="133"/>
      <c r="H36" s="133" t="s">
        <v>2629</v>
      </c>
      <c r="I36" s="134">
        <v>173.06538916570454</v>
      </c>
      <c r="J36" s="144">
        <v>12495695.968642928</v>
      </c>
      <c r="K36" s="135">
        <v>13.227624234016327</v>
      </c>
    </row>
    <row r="37" spans="2:11">
      <c r="B37" s="140" t="s">
        <v>235</v>
      </c>
      <c r="C37" s="152" t="s">
        <v>2635</v>
      </c>
      <c r="D37" s="141"/>
      <c r="E37" s="141" t="s">
        <v>1168</v>
      </c>
      <c r="F37" s="141"/>
      <c r="G37" s="141"/>
      <c r="H37" s="141" t="s">
        <v>970</v>
      </c>
      <c r="I37" s="142">
        <v>-193.03486995726891</v>
      </c>
      <c r="J37" s="146">
        <v>-13671024.78450913</v>
      </c>
      <c r="K37" s="149">
        <v>-4.6056248536561668</v>
      </c>
    </row>
    <row r="39" spans="2:11">
      <c r="B39" s="46" t="s">
        <v>1651</v>
      </c>
    </row>
    <row r="40" spans="2:11">
      <c r="B40" s="46" t="s">
        <v>1486</v>
      </c>
    </row>
  </sheetData>
  <sortState ref="G13:J22">
    <sortCondition ref="J13:J22"/>
  </sortState>
  <phoneticPr fontId="5"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5"/>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cols>
    <col min="1" max="1" width="9.140625" style="5"/>
    <col min="2" max="2" width="9.28515625" style="5" hidden="1" customWidth="1"/>
    <col min="3" max="4" width="9.140625" style="5" hidden="1" customWidth="1"/>
    <col min="5" max="6" width="16.42578125" style="5" customWidth="1"/>
    <col min="7" max="7" width="15.7109375" style="5" customWidth="1"/>
    <col min="8" max="8" width="9.85546875" style="5" customWidth="1"/>
    <col min="9" max="9" width="10.28515625" style="5" bestFit="1" customWidth="1"/>
    <col min="10" max="10" width="10.7109375" style="5" customWidth="1"/>
    <col min="11" max="11" width="9.140625" style="5"/>
    <col min="12" max="12" width="9.140625" style="5" customWidth="1"/>
    <col min="13" max="14" width="9.140625" style="6" hidden="1" customWidth="1"/>
    <col min="15" max="15" width="8.140625" style="6" hidden="1" customWidth="1"/>
    <col min="16" max="16" width="10.28515625" style="6" hidden="1" customWidth="1"/>
    <col min="17" max="18" width="9.28515625" style="5" hidden="1" customWidth="1"/>
    <col min="19" max="20" width="9.140625" style="5" hidden="1" customWidth="1"/>
    <col min="21" max="23" width="9.140625" style="5"/>
    <col min="24" max="24" width="10.28515625" style="5" customWidth="1"/>
    <col min="25" max="25" width="11.28515625" style="5" bestFit="1" customWidth="1"/>
    <col min="26" max="29" width="9.140625" style="5" hidden="1" customWidth="1"/>
    <col min="30" max="30" width="12" style="5" hidden="1" customWidth="1"/>
    <col min="31" max="34" width="9.140625" style="5" hidden="1" customWidth="1"/>
    <col min="35" max="35" width="9.28515625" style="5" hidden="1" customWidth="1"/>
    <col min="36" max="36" width="10.5703125" style="5" bestFit="1" customWidth="1"/>
    <col min="37" max="37" width="11.28515625" style="5" bestFit="1" customWidth="1"/>
    <col min="38" max="38" width="11.28515625" style="5" customWidth="1"/>
    <col min="39" max="39" width="12.28515625" style="27" customWidth="1"/>
    <col min="40" max="40" width="9.140625" style="5"/>
    <col min="41" max="42" width="10.28515625" style="5" bestFit="1" customWidth="1"/>
    <col min="43" max="16384" width="9.140625" style="5"/>
  </cols>
  <sheetData>
    <row r="1" spans="1:39">
      <c r="U1" s="7" t="s">
        <v>965</v>
      </c>
      <c r="V1" s="7"/>
      <c r="W1" s="7"/>
      <c r="X1" s="7"/>
      <c r="Y1" s="8" t="s">
        <v>199</v>
      </c>
      <c r="Z1" s="5" t="s">
        <v>965</v>
      </c>
      <c r="AD1" s="9" t="s">
        <v>200</v>
      </c>
      <c r="AE1" s="5" t="s">
        <v>965</v>
      </c>
      <c r="AI1" s="9" t="s">
        <v>201</v>
      </c>
      <c r="AK1" s="10" t="s">
        <v>204</v>
      </c>
      <c r="AL1" s="11"/>
      <c r="AM1" s="12"/>
    </row>
    <row r="2" spans="1:39">
      <c r="U2" s="7" t="s">
        <v>942</v>
      </c>
      <c r="V2" s="7"/>
      <c r="W2" s="7"/>
      <c r="X2" s="7"/>
      <c r="Y2" s="13">
        <v>18413542.764325488</v>
      </c>
      <c r="Z2" s="5" t="s">
        <v>942</v>
      </c>
      <c r="AD2" s="14">
        <v>9842215.7179872785</v>
      </c>
      <c r="AE2" s="5" t="s">
        <v>942</v>
      </c>
      <c r="AI2" s="14">
        <v>8571327.0463382155</v>
      </c>
      <c r="AK2" s="15" t="s">
        <v>205</v>
      </c>
      <c r="AL2" s="16"/>
      <c r="AM2" s="17"/>
    </row>
    <row r="3" spans="1:39">
      <c r="U3" s="7" t="s">
        <v>943</v>
      </c>
      <c r="V3" s="7"/>
      <c r="W3" s="7"/>
      <c r="X3" s="7"/>
      <c r="Y3" s="18">
        <v>0.114</v>
      </c>
      <c r="Z3" s="5" t="s">
        <v>943</v>
      </c>
      <c r="AD3" s="19">
        <v>2E-3</v>
      </c>
      <c r="AE3" s="5" t="s">
        <v>943</v>
      </c>
      <c r="AI3" s="19">
        <v>1.5E-3</v>
      </c>
      <c r="AK3" s="20" t="s">
        <v>206</v>
      </c>
      <c r="AL3" s="21"/>
      <c r="AM3" s="22"/>
    </row>
    <row r="4" spans="1:39">
      <c r="U4" s="7" t="s">
        <v>944</v>
      </c>
      <c r="V4" s="7"/>
      <c r="W4" s="7"/>
      <c r="X4" s="7"/>
      <c r="Y4" s="13">
        <v>2099143.8751331056</v>
      </c>
      <c r="Z4" s="5" t="s">
        <v>944</v>
      </c>
      <c r="AD4" s="14">
        <v>19684.431435974559</v>
      </c>
      <c r="AE4" s="5" t="s">
        <v>944</v>
      </c>
      <c r="AI4" s="14">
        <v>12856.990569507323</v>
      </c>
      <c r="AL4" s="99" t="s">
        <v>202</v>
      </c>
      <c r="AM4" s="23"/>
    </row>
    <row r="5" spans="1:39">
      <c r="U5" s="7" t="s">
        <v>973</v>
      </c>
      <c r="V5" s="7"/>
      <c r="W5" s="7"/>
      <c r="X5" s="7">
        <v>304</v>
      </c>
      <c r="Y5" s="13">
        <v>14311.890698066392</v>
      </c>
      <c r="Z5" s="5" t="s">
        <v>973</v>
      </c>
      <c r="AD5" s="14">
        <v>154.20323578368794</v>
      </c>
      <c r="AE5" s="5" t="s">
        <v>973</v>
      </c>
      <c r="AI5" s="14">
        <v>72.317699363322632</v>
      </c>
      <c r="AL5" s="100" t="s">
        <v>203</v>
      </c>
      <c r="AM5" s="23"/>
    </row>
    <row r="6" spans="1:39">
      <c r="U6" s="7" t="s">
        <v>974</v>
      </c>
      <c r="V6" s="7"/>
      <c r="W6" s="7"/>
      <c r="X6" s="7">
        <v>201</v>
      </c>
      <c r="Y6" s="13">
        <v>-14311.890698067436</v>
      </c>
      <c r="Z6" s="5" t="s">
        <v>974</v>
      </c>
      <c r="AD6" s="14">
        <v>-154.20323578370244</v>
      </c>
      <c r="AE6" s="5" t="s">
        <v>974</v>
      </c>
      <c r="AI6" s="14">
        <v>-72.317699363334185</v>
      </c>
      <c r="AL6" s="24">
        <v>500</v>
      </c>
      <c r="AM6" s="23"/>
    </row>
    <row r="7" spans="1:39">
      <c r="U7" s="7" t="s">
        <v>975</v>
      </c>
      <c r="V7" s="7"/>
      <c r="W7" s="7"/>
      <c r="X7" s="7"/>
      <c r="Y7" s="13">
        <v>28623.781396133829</v>
      </c>
      <c r="Z7" s="5" t="s">
        <v>975</v>
      </c>
      <c r="AD7" s="14">
        <v>308.40647156739038</v>
      </c>
      <c r="AE7" s="5" t="s">
        <v>975</v>
      </c>
      <c r="AI7" s="14">
        <v>144.63539872665683</v>
      </c>
      <c r="AM7" s="23"/>
    </row>
    <row r="8" spans="1:39" ht="15.75">
      <c r="A8" s="4" t="s">
        <v>1648</v>
      </c>
      <c r="U8" s="7" t="s">
        <v>976</v>
      </c>
      <c r="V8" s="7"/>
      <c r="W8" s="7"/>
      <c r="X8" s="7"/>
      <c r="Y8" s="25">
        <v>1.3635931169472036E-2</v>
      </c>
      <c r="Z8" s="5" t="s">
        <v>976</v>
      </c>
      <c r="AD8" s="26">
        <v>1.5667532616855665E-2</v>
      </c>
      <c r="AE8" s="5" t="s">
        <v>976</v>
      </c>
      <c r="AI8" s="26">
        <v>1.1249553147350502E-2</v>
      </c>
      <c r="AM8" s="26"/>
    </row>
    <row r="9" spans="1:39" ht="15.75">
      <c r="A9" s="4" t="s">
        <v>1650</v>
      </c>
      <c r="U9" s="7"/>
      <c r="V9" s="7"/>
      <c r="W9" s="7"/>
      <c r="X9" s="7"/>
      <c r="Y9" s="7"/>
    </row>
    <row r="10" spans="1:39" hidden="1">
      <c r="U10" s="5" t="s">
        <v>925</v>
      </c>
      <c r="X10" s="5">
        <v>0</v>
      </c>
      <c r="Y10" s="14">
        <v>0</v>
      </c>
    </row>
    <row r="11" spans="1:39" hidden="1">
      <c r="U11" s="5" t="s">
        <v>926</v>
      </c>
      <c r="X11" s="5">
        <v>0</v>
      </c>
      <c r="Y11" s="14">
        <v>0</v>
      </c>
    </row>
    <row r="12" spans="1:39" hidden="1">
      <c r="U12" s="5" t="s">
        <v>969</v>
      </c>
      <c r="X12" s="5">
        <v>186</v>
      </c>
      <c r="Y12" s="14">
        <v>3456.0492336300345</v>
      </c>
    </row>
    <row r="13" spans="1:39" hidden="1">
      <c r="U13" s="5" t="s">
        <v>970</v>
      </c>
      <c r="X13" s="5">
        <v>174</v>
      </c>
      <c r="Y13" s="14">
        <v>-12472.495544731226</v>
      </c>
    </row>
    <row r="14" spans="1:39" hidden="1">
      <c r="U14" s="5" t="s">
        <v>971</v>
      </c>
      <c r="X14" s="5">
        <v>76</v>
      </c>
      <c r="Y14" s="14">
        <v>847.15418044230353</v>
      </c>
    </row>
    <row r="15" spans="1:39" hidden="1">
      <c r="U15" s="5" t="s">
        <v>972</v>
      </c>
      <c r="X15" s="5">
        <v>0</v>
      </c>
      <c r="Y15" s="14">
        <v>0</v>
      </c>
    </row>
    <row r="16" spans="1:39" hidden="1">
      <c r="U16" s="5" t="s">
        <v>967</v>
      </c>
      <c r="X16" s="5">
        <v>39</v>
      </c>
      <c r="Y16" s="14">
        <v>6026.0391158345483</v>
      </c>
    </row>
    <row r="17" spans="1:44" hidden="1">
      <c r="U17" s="5" t="s">
        <v>968</v>
      </c>
      <c r="X17" s="5">
        <v>27</v>
      </c>
      <c r="Y17" s="14">
        <v>-2065.766561253944</v>
      </c>
    </row>
    <row r="18" spans="1:44" hidden="1">
      <c r="Y18" s="14"/>
    </row>
    <row r="19" spans="1:44" s="47" customFormat="1" ht="63.75">
      <c r="A19" s="95" t="s">
        <v>929</v>
      </c>
      <c r="B19" s="96" t="s">
        <v>1069</v>
      </c>
      <c r="C19" s="96" t="s">
        <v>930</v>
      </c>
      <c r="D19" s="96" t="s">
        <v>931</v>
      </c>
      <c r="E19" s="96" t="s">
        <v>932</v>
      </c>
      <c r="F19" s="96" t="s">
        <v>933</v>
      </c>
      <c r="G19" s="96" t="s">
        <v>953</v>
      </c>
      <c r="H19" s="96" t="s">
        <v>1652</v>
      </c>
      <c r="I19" s="96" t="s">
        <v>935</v>
      </c>
      <c r="J19" s="96" t="s">
        <v>934</v>
      </c>
      <c r="K19" s="96" t="s">
        <v>936</v>
      </c>
      <c r="L19" s="96" t="s">
        <v>937</v>
      </c>
      <c r="M19" s="116" t="s">
        <v>195</v>
      </c>
      <c r="N19" s="116" t="s">
        <v>197</v>
      </c>
      <c r="O19" s="116" t="s">
        <v>196</v>
      </c>
      <c r="P19" s="116" t="s">
        <v>198</v>
      </c>
      <c r="Q19" s="96" t="s">
        <v>938</v>
      </c>
      <c r="R19" s="96" t="s">
        <v>939</v>
      </c>
      <c r="S19" s="96" t="s">
        <v>940</v>
      </c>
      <c r="T19" s="96" t="s">
        <v>941</v>
      </c>
      <c r="U19" s="117" t="s">
        <v>945</v>
      </c>
      <c r="V19" s="96" t="s">
        <v>946</v>
      </c>
      <c r="W19" s="96" t="s">
        <v>947</v>
      </c>
      <c r="X19" s="96" t="s">
        <v>961</v>
      </c>
      <c r="Y19" s="118" t="s">
        <v>948</v>
      </c>
      <c r="Z19" s="96" t="s">
        <v>949</v>
      </c>
      <c r="AA19" s="96" t="s">
        <v>950</v>
      </c>
      <c r="AB19" s="96" t="s">
        <v>951</v>
      </c>
      <c r="AC19" s="96" t="s">
        <v>962</v>
      </c>
      <c r="AD19" s="118" t="s">
        <v>952</v>
      </c>
      <c r="AE19" s="96" t="s">
        <v>954</v>
      </c>
      <c r="AF19" s="96" t="s">
        <v>955</v>
      </c>
      <c r="AG19" s="96" t="s">
        <v>956</v>
      </c>
      <c r="AH19" s="96" t="s">
        <v>963</v>
      </c>
      <c r="AI19" s="118" t="s">
        <v>957</v>
      </c>
      <c r="AJ19" s="96" t="s">
        <v>964</v>
      </c>
      <c r="AK19" s="96" t="s">
        <v>958</v>
      </c>
      <c r="AL19" s="96" t="s">
        <v>1409</v>
      </c>
      <c r="AM19" s="96" t="s">
        <v>959</v>
      </c>
      <c r="AN19" s="97" t="s">
        <v>1410</v>
      </c>
    </row>
    <row r="20" spans="1:44">
      <c r="A20" s="5" t="s">
        <v>1713</v>
      </c>
      <c r="B20" s="5" t="s">
        <v>1716</v>
      </c>
      <c r="C20" s="5" t="s">
        <v>1736</v>
      </c>
      <c r="D20" s="29" t="s">
        <v>1737</v>
      </c>
      <c r="E20" s="5" t="s">
        <v>1376</v>
      </c>
      <c r="F20" s="30" t="s">
        <v>1168</v>
      </c>
      <c r="G20" s="5" t="s">
        <v>2629</v>
      </c>
      <c r="H20" s="31">
        <v>13.85</v>
      </c>
      <c r="I20" s="32">
        <v>0</v>
      </c>
      <c r="J20" s="32">
        <v>199.6302</v>
      </c>
      <c r="K20" s="33">
        <v>0</v>
      </c>
      <c r="L20" s="33">
        <v>0.54</v>
      </c>
      <c r="M20" s="6">
        <v>0</v>
      </c>
      <c r="N20" s="6">
        <v>0</v>
      </c>
      <c r="O20" s="6">
        <v>0</v>
      </c>
      <c r="P20" s="6">
        <v>1</v>
      </c>
      <c r="Q20" s="34">
        <v>0</v>
      </c>
      <c r="R20" s="34">
        <v>107.800308</v>
      </c>
      <c r="S20" s="34">
        <v>0</v>
      </c>
      <c r="T20" s="34">
        <v>1493.0342658</v>
      </c>
      <c r="U20" s="35">
        <v>0</v>
      </c>
      <c r="V20" s="36">
        <v>8.1375366119216147E-5</v>
      </c>
      <c r="W20" s="36">
        <v>8.1375366119216147E-5</v>
      </c>
      <c r="X20" s="37">
        <v>170.81860137586662</v>
      </c>
      <c r="Y20" s="38">
        <v>12333473.023528276</v>
      </c>
      <c r="Z20" s="39">
        <v>0</v>
      </c>
      <c r="AA20" s="40">
        <v>0</v>
      </c>
      <c r="AB20" s="40">
        <v>0</v>
      </c>
      <c r="AC20" s="41">
        <v>0</v>
      </c>
      <c r="AD20" s="42">
        <v>0</v>
      </c>
      <c r="AE20" s="39">
        <v>0</v>
      </c>
      <c r="AF20" s="40">
        <v>1.7475223130104261E-4</v>
      </c>
      <c r="AG20" s="40">
        <v>1.7475223130104261E-4</v>
      </c>
      <c r="AH20" s="41">
        <v>2.2467877898378674</v>
      </c>
      <c r="AI20" s="42">
        <v>162222.94511464747</v>
      </c>
      <c r="AJ20" s="41">
        <v>173.06538916570449</v>
      </c>
      <c r="AK20" s="30">
        <v>12495695.968642924</v>
      </c>
      <c r="AL20" s="43">
        <f>+$AL$6*W20/H20*10^6</f>
        <v>2937.7388490691746</v>
      </c>
      <c r="AM20" s="30">
        <v>944666.6875</v>
      </c>
      <c r="AN20" s="44">
        <v>13.227624234016321</v>
      </c>
      <c r="AP20" s="32"/>
      <c r="AR20" s="32"/>
    </row>
    <row r="21" spans="1:44">
      <c r="A21" s="5" t="s">
        <v>1712</v>
      </c>
      <c r="B21" s="5" t="s">
        <v>1715</v>
      </c>
      <c r="C21" s="5" t="s">
        <v>1718</v>
      </c>
      <c r="D21" s="29" t="s">
        <v>1719</v>
      </c>
      <c r="E21" s="5" t="s">
        <v>1371</v>
      </c>
      <c r="F21" s="30" t="s">
        <v>1168</v>
      </c>
      <c r="G21" s="5" t="s">
        <v>2629</v>
      </c>
      <c r="H21" s="31">
        <v>59.78</v>
      </c>
      <c r="I21" s="32">
        <v>0</v>
      </c>
      <c r="J21" s="32">
        <v>368.19849999999997</v>
      </c>
      <c r="K21" s="33">
        <v>0</v>
      </c>
      <c r="L21" s="33">
        <v>1</v>
      </c>
      <c r="M21" s="6">
        <v>0</v>
      </c>
      <c r="N21" s="6">
        <v>0.67</v>
      </c>
      <c r="O21" s="6">
        <v>0</v>
      </c>
      <c r="P21" s="6">
        <v>0.32999999999999996</v>
      </c>
      <c r="Q21" s="34">
        <v>0</v>
      </c>
      <c r="R21" s="34">
        <v>368.19849999999997</v>
      </c>
      <c r="S21" s="34">
        <v>0</v>
      </c>
      <c r="T21" s="34">
        <v>22010.906329999998</v>
      </c>
      <c r="U21" s="35">
        <v>0</v>
      </c>
      <c r="V21" s="36">
        <v>1.1996680868270545E-3</v>
      </c>
      <c r="W21" s="36">
        <v>1.1996680868270545E-3</v>
      </c>
      <c r="X21" s="37">
        <v>2518.2759166556621</v>
      </c>
      <c r="Y21" s="38">
        <v>42125726.273932114</v>
      </c>
      <c r="Z21" s="39">
        <v>0</v>
      </c>
      <c r="AA21" s="40">
        <v>1.5042476738992454E-3</v>
      </c>
      <c r="AB21" s="40">
        <v>1.5042476738992454E-3</v>
      </c>
      <c r="AC21" s="41">
        <v>29.610260199593913</v>
      </c>
      <c r="AD21" s="42">
        <v>495320.51187008887</v>
      </c>
      <c r="AE21" s="39">
        <v>0</v>
      </c>
      <c r="AF21" s="40">
        <v>8.5016812884824218E-4</v>
      </c>
      <c r="AG21" s="40">
        <v>8.5016812884824218E-4</v>
      </c>
      <c r="AH21" s="41">
        <v>10.930603615097537</v>
      </c>
      <c r="AI21" s="42">
        <v>182847.16652889823</v>
      </c>
      <c r="AJ21" s="41">
        <v>2558.8167804703535</v>
      </c>
      <c r="AK21" s="30">
        <v>42803893.952331096</v>
      </c>
      <c r="AL21" s="43">
        <f>+$AL$6*W21/H21*10^6</f>
        <v>10034.025483665562</v>
      </c>
      <c r="AM21" s="30">
        <v>3237795.25</v>
      </c>
      <c r="AN21" s="44">
        <v>13.220074355329015</v>
      </c>
      <c r="AP21" s="32"/>
      <c r="AR21" s="32"/>
    </row>
    <row r="22" spans="1:44">
      <c r="A22" s="5" t="s">
        <v>1711</v>
      </c>
      <c r="B22" s="5" t="s">
        <v>1714</v>
      </c>
      <c r="C22" s="5" t="s">
        <v>1721</v>
      </c>
      <c r="D22" s="29" t="s">
        <v>1722</v>
      </c>
      <c r="E22" s="5" t="s">
        <v>1560</v>
      </c>
      <c r="F22" s="30" t="s">
        <v>1168</v>
      </c>
      <c r="G22" s="5" t="s">
        <v>2629</v>
      </c>
      <c r="H22" s="31">
        <v>29.48</v>
      </c>
      <c r="I22" s="32">
        <v>0</v>
      </c>
      <c r="J22" s="32">
        <v>798.52099999999996</v>
      </c>
      <c r="K22" s="33">
        <v>0</v>
      </c>
      <c r="L22" s="33">
        <v>0.54</v>
      </c>
      <c r="M22" s="6">
        <v>0</v>
      </c>
      <c r="N22" s="6">
        <v>0.56999999999999995</v>
      </c>
      <c r="O22" s="6">
        <v>0</v>
      </c>
      <c r="P22" s="6">
        <v>0.43000000000000005</v>
      </c>
      <c r="Q22" s="34">
        <v>0</v>
      </c>
      <c r="R22" s="34">
        <v>431.20134000000002</v>
      </c>
      <c r="S22" s="34">
        <v>0</v>
      </c>
      <c r="T22" s="34">
        <v>12711.815503200001</v>
      </c>
      <c r="U22" s="35">
        <v>0</v>
      </c>
      <c r="V22" s="36">
        <v>6.9283650369441371E-4</v>
      </c>
      <c r="W22" s="36">
        <v>6.9283650369441371E-4</v>
      </c>
      <c r="X22" s="37">
        <v>1454.3635031987637</v>
      </c>
      <c r="Y22" s="38">
        <v>49333904.450432964</v>
      </c>
      <c r="Z22" s="39">
        <v>0</v>
      </c>
      <c r="AA22" s="40">
        <v>7.3907592727214704E-4</v>
      </c>
      <c r="AB22" s="40">
        <v>7.3907592727214704E-4</v>
      </c>
      <c r="AC22" s="41">
        <v>14.548289416367897</v>
      </c>
      <c r="AD22" s="42">
        <v>493496.92728520685</v>
      </c>
      <c r="AE22" s="39">
        <v>0</v>
      </c>
      <c r="AF22" s="40">
        <v>6.3977754215096606E-4</v>
      </c>
      <c r="AG22" s="40">
        <v>6.3977754215096606E-4</v>
      </c>
      <c r="AH22" s="41">
        <v>8.2256138260175451</v>
      </c>
      <c r="AI22" s="42">
        <v>279023.53548227763</v>
      </c>
      <c r="AJ22" s="41">
        <v>1477.1374064411491</v>
      </c>
      <c r="AK22" s="30">
        <v>50106424.913200453</v>
      </c>
      <c r="AL22" s="43">
        <f>+$AL$6*W22/H22*10^6</f>
        <v>11750.958339457493</v>
      </c>
      <c r="AM22" s="30">
        <v>4235204.5</v>
      </c>
      <c r="AN22" s="44">
        <v>11.830933999338274</v>
      </c>
      <c r="AP22" s="32"/>
      <c r="AR22" s="32"/>
    </row>
    <row r="23" spans="1:44" s="48" customFormat="1">
      <c r="A23" s="5" t="s">
        <v>249</v>
      </c>
      <c r="B23" s="5" t="s">
        <v>549</v>
      </c>
      <c r="C23" s="5" t="s">
        <v>1732</v>
      </c>
      <c r="D23" s="29" t="s">
        <v>1733</v>
      </c>
      <c r="E23" s="5" t="s">
        <v>81</v>
      </c>
      <c r="F23" s="30" t="s">
        <v>1155</v>
      </c>
      <c r="G23" s="5" t="s">
        <v>967</v>
      </c>
      <c r="H23" s="31">
        <v>30.85</v>
      </c>
      <c r="I23" s="32">
        <v>586.70000000000005</v>
      </c>
      <c r="J23" s="32">
        <v>585.93229999999994</v>
      </c>
      <c r="K23" s="33">
        <v>0.91</v>
      </c>
      <c r="L23" s="33">
        <v>1</v>
      </c>
      <c r="M23" s="6">
        <v>0</v>
      </c>
      <c r="N23" s="6">
        <v>0</v>
      </c>
      <c r="O23" s="6">
        <v>1</v>
      </c>
      <c r="P23" s="6">
        <v>1</v>
      </c>
      <c r="Q23" s="34">
        <v>533.89700000000005</v>
      </c>
      <c r="R23" s="34">
        <v>585.93229999999994</v>
      </c>
      <c r="S23" s="34">
        <v>16470.722450000001</v>
      </c>
      <c r="T23" s="34">
        <v>18076.011455</v>
      </c>
      <c r="U23" s="35">
        <v>8.9448959718444192E-4</v>
      </c>
      <c r="V23" s="36">
        <v>9.8520314223170713E-4</v>
      </c>
      <c r="W23" s="36">
        <v>9.0713545047265212E-5</v>
      </c>
      <c r="X23" s="37">
        <v>190.42078247757783</v>
      </c>
      <c r="Y23" s="38">
        <v>6172472.6897107884</v>
      </c>
      <c r="Z23" s="39">
        <v>0</v>
      </c>
      <c r="AA23" s="40">
        <v>0</v>
      </c>
      <c r="AB23" s="40">
        <v>0</v>
      </c>
      <c r="AC23" s="41">
        <v>0</v>
      </c>
      <c r="AD23" s="42">
        <v>0</v>
      </c>
      <c r="AE23" s="39">
        <v>1.9216070464883861E-3</v>
      </c>
      <c r="AF23" s="40">
        <v>2.1157071924882381E-3</v>
      </c>
      <c r="AG23" s="40">
        <v>1.9410014599985197E-4</v>
      </c>
      <c r="AH23" s="41">
        <v>2.4955437466600912</v>
      </c>
      <c r="AI23" s="42">
        <v>80892.828092709591</v>
      </c>
      <c r="AJ23" s="41">
        <v>192.91632622423793</v>
      </c>
      <c r="AK23" s="30">
        <v>6253365.5178034976</v>
      </c>
      <c r="AL23" s="43">
        <f>+$AL$6*W23/H23*10^6</f>
        <v>1470.2357382052708</v>
      </c>
      <c r="AM23" s="30">
        <v>3820975.75</v>
      </c>
      <c r="AN23" s="44">
        <v>1.6365886430458234</v>
      </c>
      <c r="AP23" s="110"/>
      <c r="AQ23" s="5"/>
      <c r="AR23" s="110"/>
    </row>
    <row r="24" spans="1:44">
      <c r="A24" s="5" t="s">
        <v>1385</v>
      </c>
      <c r="B24" s="5" t="s">
        <v>1359</v>
      </c>
      <c r="C24" s="5" t="s">
        <v>1723</v>
      </c>
      <c r="D24" s="29" t="s">
        <v>1724</v>
      </c>
      <c r="E24" s="5" t="s">
        <v>1369</v>
      </c>
      <c r="F24" s="30" t="s">
        <v>1157</v>
      </c>
      <c r="G24" s="5" t="s">
        <v>967</v>
      </c>
      <c r="H24" s="31">
        <v>141.6</v>
      </c>
      <c r="I24" s="32">
        <v>2464.547</v>
      </c>
      <c r="J24" s="32">
        <v>2464.9984999999997</v>
      </c>
      <c r="K24" s="33">
        <v>0.74</v>
      </c>
      <c r="L24" s="33">
        <v>0.75</v>
      </c>
      <c r="M24" s="6">
        <v>0</v>
      </c>
      <c r="N24" s="6">
        <v>0</v>
      </c>
      <c r="O24" s="6">
        <v>1</v>
      </c>
      <c r="P24" s="6">
        <v>1</v>
      </c>
      <c r="Q24" s="34">
        <v>1823.76478</v>
      </c>
      <c r="R24" s="34">
        <v>1848.7488749999998</v>
      </c>
      <c r="S24" s="34">
        <v>258245.092848</v>
      </c>
      <c r="T24" s="34">
        <v>261782.84069999997</v>
      </c>
      <c r="U24" s="35">
        <v>1.4024736909853418E-2</v>
      </c>
      <c r="V24" s="36">
        <v>1.4268041259104325E-2</v>
      </c>
      <c r="W24" s="36">
        <v>2.4330434925090745E-4</v>
      </c>
      <c r="X24" s="37">
        <v>510.73083452328837</v>
      </c>
      <c r="Y24" s="38">
        <v>3606856.1760119237</v>
      </c>
      <c r="Z24" s="39">
        <v>0</v>
      </c>
      <c r="AA24" s="40">
        <v>0</v>
      </c>
      <c r="AB24" s="40">
        <v>0</v>
      </c>
      <c r="AC24" s="41">
        <v>0</v>
      </c>
      <c r="AD24" s="42">
        <v>0</v>
      </c>
      <c r="AE24" s="39">
        <v>3.0128951030788834E-2</v>
      </c>
      <c r="AF24" s="40">
        <v>3.0640378842302113E-2</v>
      </c>
      <c r="AG24" s="40">
        <v>5.1142781151327851E-4</v>
      </c>
      <c r="AH24" s="41">
        <v>6.575422549609991</v>
      </c>
      <c r="AI24" s="42">
        <v>46436.599926624229</v>
      </c>
      <c r="AJ24" s="41">
        <v>517.30625707289835</v>
      </c>
      <c r="AK24" s="30">
        <v>3653292.7759385481</v>
      </c>
      <c r="AL24" s="43">
        <f>+$AL$6*W24/H24*10^6</f>
        <v>859.12552701591608</v>
      </c>
      <c r="AM24" s="30">
        <v>2929229.75</v>
      </c>
      <c r="AN24" s="44">
        <v>1.2471854677628302</v>
      </c>
      <c r="AP24" s="32"/>
      <c r="AR24" s="32"/>
    </row>
    <row r="25" spans="1:44">
      <c r="A25" s="5" t="s">
        <v>1675</v>
      </c>
      <c r="B25" s="5" t="s">
        <v>1659</v>
      </c>
      <c r="C25" s="5" t="s">
        <v>1729</v>
      </c>
      <c r="D25" s="29" t="s">
        <v>1730</v>
      </c>
      <c r="E25" s="5" t="s">
        <v>1696</v>
      </c>
      <c r="F25" s="30" t="s">
        <v>1149</v>
      </c>
      <c r="G25" s="5" t="s">
        <v>967</v>
      </c>
      <c r="H25" s="31">
        <v>90.88</v>
      </c>
      <c r="I25" s="32">
        <v>414.32100000000003</v>
      </c>
      <c r="J25" s="32">
        <v>415.19200000000001</v>
      </c>
      <c r="K25" s="33">
        <v>0.7</v>
      </c>
      <c r="L25" s="33">
        <v>0.75</v>
      </c>
      <c r="M25" s="6">
        <v>0.79</v>
      </c>
      <c r="N25" s="6">
        <v>0.79</v>
      </c>
      <c r="O25" s="6">
        <v>0.21</v>
      </c>
      <c r="P25" s="6">
        <v>0.21</v>
      </c>
      <c r="Q25" s="34">
        <v>290.0247</v>
      </c>
      <c r="R25" s="34">
        <v>311.39400000000001</v>
      </c>
      <c r="S25" s="34">
        <v>26357.444735999998</v>
      </c>
      <c r="T25" s="34">
        <v>28299.486720000001</v>
      </c>
      <c r="U25" s="35">
        <v>1.4314162718901153E-3</v>
      </c>
      <c r="V25" s="36">
        <v>1.5424167720571114E-3</v>
      </c>
      <c r="W25" s="36">
        <v>1.1100050016699613E-4</v>
      </c>
      <c r="X25" s="37">
        <v>233.0060200622612</v>
      </c>
      <c r="Y25" s="38">
        <v>2563886.6644174871</v>
      </c>
      <c r="Z25" s="39">
        <v>2.1156192810716152E-3</v>
      </c>
      <c r="AA25" s="40">
        <v>2.2804064997334794E-3</v>
      </c>
      <c r="AB25" s="40">
        <v>1.6478721866186423E-4</v>
      </c>
      <c r="AC25" s="41">
        <v>3.2437427072744138</v>
      </c>
      <c r="AD25" s="42">
        <v>35692.591409269517</v>
      </c>
      <c r="AE25" s="39">
        <v>6.4576504485669482E-4</v>
      </c>
      <c r="AF25" s="40">
        <v>6.9558596080332978E-4</v>
      </c>
      <c r="AG25" s="40">
        <v>4.9820915946634952E-5</v>
      </c>
      <c r="AH25" s="41">
        <v>0.64054704649010263</v>
      </c>
      <c r="AI25" s="42">
        <v>7048.2729587379254</v>
      </c>
      <c r="AJ25" s="41">
        <v>236.89030981602571</v>
      </c>
      <c r="AK25" s="30">
        <v>2606627.5287854946</v>
      </c>
      <c r="AL25" s="43">
        <f>+$AL$6*W25/H25*10^6</f>
        <v>610.69817433426567</v>
      </c>
      <c r="AM25" s="30">
        <v>2337542.75</v>
      </c>
      <c r="AN25" s="44">
        <v>1.1151143776025036</v>
      </c>
      <c r="AO25" s="48"/>
      <c r="AP25" s="32"/>
      <c r="AR25" s="32"/>
    </row>
    <row r="26" spans="1:44">
      <c r="A26" s="5" t="s">
        <v>1439</v>
      </c>
      <c r="B26" s="5" t="s">
        <v>1430</v>
      </c>
      <c r="C26" s="5" t="s">
        <v>1740</v>
      </c>
      <c r="D26" s="29" t="s">
        <v>1444</v>
      </c>
      <c r="E26" s="5" t="s">
        <v>1435</v>
      </c>
      <c r="F26" s="30" t="s">
        <v>1148</v>
      </c>
      <c r="G26" s="5" t="s">
        <v>967</v>
      </c>
      <c r="H26" s="31">
        <v>43.55</v>
      </c>
      <c r="I26" s="32">
        <v>365.12400000000002</v>
      </c>
      <c r="J26" s="32">
        <v>337.15859999999998</v>
      </c>
      <c r="K26" s="33">
        <v>0.85</v>
      </c>
      <c r="L26" s="33">
        <v>1</v>
      </c>
      <c r="M26" s="6">
        <v>0</v>
      </c>
      <c r="N26" s="6">
        <v>0</v>
      </c>
      <c r="O26" s="6">
        <v>1</v>
      </c>
      <c r="P26" s="6">
        <v>1</v>
      </c>
      <c r="Q26" s="34">
        <v>310.35540000000003</v>
      </c>
      <c r="R26" s="34">
        <v>337.15859999999998</v>
      </c>
      <c r="S26" s="34">
        <v>13515.97767</v>
      </c>
      <c r="T26" s="34">
        <v>14683.257029999999</v>
      </c>
      <c r="U26" s="35">
        <v>7.3402374779208367E-4</v>
      </c>
      <c r="V26" s="36">
        <v>8.0028666723102628E-4</v>
      </c>
      <c r="W26" s="36">
        <v>6.6262919438942608E-5</v>
      </c>
      <c r="X26" s="37">
        <v>139.09540148869476</v>
      </c>
      <c r="Y26" s="38">
        <v>3193924.2592122797</v>
      </c>
      <c r="Z26" s="39">
        <v>0</v>
      </c>
      <c r="AA26" s="40">
        <v>0</v>
      </c>
      <c r="AB26" s="40">
        <v>0</v>
      </c>
      <c r="AC26" s="41">
        <v>0</v>
      </c>
      <c r="AD26" s="42">
        <v>0</v>
      </c>
      <c r="AE26" s="39">
        <v>1.5768827390356321E-3</v>
      </c>
      <c r="AF26" s="40">
        <v>1.718602169779632E-3</v>
      </c>
      <c r="AG26" s="40">
        <v>1.4171943074399993E-4</v>
      </c>
      <c r="AH26" s="41">
        <v>1.8220853845915532</v>
      </c>
      <c r="AI26" s="42">
        <v>41838.929611746345</v>
      </c>
      <c r="AJ26" s="41">
        <v>140.91748687328632</v>
      </c>
      <c r="AK26" s="30">
        <v>3235763.1888240259</v>
      </c>
      <c r="AL26" s="43">
        <f>+$AL$6*W26/H26*10^6</f>
        <v>760.76830584319873</v>
      </c>
      <c r="AM26" s="30">
        <v>3986926.25</v>
      </c>
      <c r="AN26" s="44">
        <v>0.8115934396388762</v>
      </c>
      <c r="AO26" s="48"/>
      <c r="AP26" s="32"/>
      <c r="AR26" s="32"/>
    </row>
    <row r="27" spans="1:44" s="48" customFormat="1">
      <c r="A27" s="5" t="s">
        <v>1262</v>
      </c>
      <c r="B27" s="5" t="s">
        <v>435</v>
      </c>
      <c r="C27" s="5" t="s">
        <v>1753</v>
      </c>
      <c r="D27" s="29" t="s">
        <v>1754</v>
      </c>
      <c r="E27" s="5" t="s">
        <v>778</v>
      </c>
      <c r="F27" s="30" t="s">
        <v>1162</v>
      </c>
      <c r="G27" s="5" t="s">
        <v>967</v>
      </c>
      <c r="H27" s="31">
        <v>88.84</v>
      </c>
      <c r="I27" s="32">
        <v>378.39800000000002</v>
      </c>
      <c r="J27" s="32">
        <v>230.85219999999998</v>
      </c>
      <c r="K27" s="33">
        <v>0.59</v>
      </c>
      <c r="L27" s="33">
        <v>1</v>
      </c>
      <c r="M27" s="6">
        <v>0.56000000000000005</v>
      </c>
      <c r="N27" s="6">
        <v>0.56000000000000005</v>
      </c>
      <c r="O27" s="6">
        <v>0.44</v>
      </c>
      <c r="P27" s="6">
        <v>0.44</v>
      </c>
      <c r="Q27" s="34">
        <v>223.25482</v>
      </c>
      <c r="R27" s="34">
        <v>230.85219999999998</v>
      </c>
      <c r="S27" s="34">
        <v>19833.958208799999</v>
      </c>
      <c r="T27" s="34">
        <v>20508.909447999999</v>
      </c>
      <c r="U27" s="35">
        <v>1.0771397151897587E-3</v>
      </c>
      <c r="V27" s="36">
        <v>1.1178042281183732E-3</v>
      </c>
      <c r="W27" s="36">
        <v>4.0664512928614447E-5</v>
      </c>
      <c r="X27" s="37">
        <v>85.360663249371996</v>
      </c>
      <c r="Y27" s="38">
        <v>960835.9213121566</v>
      </c>
      <c r="Z27" s="39">
        <v>1.128507738011596E-3</v>
      </c>
      <c r="AA27" s="40">
        <v>1.1714863020834E-3</v>
      </c>
      <c r="AB27" s="40">
        <v>4.2978564071803962E-5</v>
      </c>
      <c r="AC27" s="41">
        <v>0.84600859768806469</v>
      </c>
      <c r="AD27" s="42">
        <v>9522.8342828462919</v>
      </c>
      <c r="AE27" s="39">
        <v>1.0181552476871438E-3</v>
      </c>
      <c r="AF27" s="40">
        <v>1.0562049503225642E-3</v>
      </c>
      <c r="AG27" s="40">
        <v>3.8049702635420402E-5</v>
      </c>
      <c r="AH27" s="41">
        <v>0.48920466795615802</v>
      </c>
      <c r="AI27" s="42">
        <v>5506.5811341305498</v>
      </c>
      <c r="AJ27" s="41">
        <v>86.695876515016224</v>
      </c>
      <c r="AK27" s="30">
        <v>975865.3367291335</v>
      </c>
      <c r="AL27" s="43">
        <f>+$AL$6*W27/H27*10^6</f>
        <v>228.86376029161667</v>
      </c>
      <c r="AM27" s="30">
        <v>1385619.625</v>
      </c>
      <c r="AN27" s="44">
        <v>0.70428082795748037</v>
      </c>
      <c r="AO27" s="5"/>
      <c r="AP27" s="110"/>
      <c r="AQ27" s="5"/>
      <c r="AR27" s="110"/>
    </row>
    <row r="28" spans="1:44">
      <c r="A28" s="5" t="s">
        <v>860</v>
      </c>
      <c r="B28" s="5" t="s">
        <v>1141</v>
      </c>
      <c r="C28" s="5" t="s">
        <v>1727</v>
      </c>
      <c r="D28" s="29" t="s">
        <v>1728</v>
      </c>
      <c r="E28" s="5" t="s">
        <v>1065</v>
      </c>
      <c r="F28" s="30" t="s">
        <v>1169</v>
      </c>
      <c r="G28" s="5" t="s">
        <v>967</v>
      </c>
      <c r="H28" s="31">
        <v>72.58</v>
      </c>
      <c r="I28" s="32">
        <v>3220.549</v>
      </c>
      <c r="J28" s="32">
        <v>3220.549</v>
      </c>
      <c r="K28" s="33">
        <v>0.49</v>
      </c>
      <c r="L28" s="33">
        <v>0.5</v>
      </c>
      <c r="M28" s="6">
        <v>0</v>
      </c>
      <c r="N28" s="6">
        <v>0</v>
      </c>
      <c r="O28" s="6">
        <v>1</v>
      </c>
      <c r="P28" s="6">
        <v>1</v>
      </c>
      <c r="Q28" s="34">
        <v>1578.0690099999999</v>
      </c>
      <c r="R28" s="34">
        <v>1610.2745</v>
      </c>
      <c r="S28" s="34">
        <v>114536.2487458</v>
      </c>
      <c r="T28" s="34">
        <v>116873.72321</v>
      </c>
      <c r="U28" s="35">
        <v>6.2202179239349434E-3</v>
      </c>
      <c r="V28" s="36">
        <v>6.3700092046003187E-3</v>
      </c>
      <c r="W28" s="36">
        <v>1.497912806653753E-4</v>
      </c>
      <c r="X28" s="37">
        <v>314.43344935706654</v>
      </c>
      <c r="Y28" s="38">
        <v>4332232.6998769157</v>
      </c>
      <c r="Z28" s="39">
        <v>0</v>
      </c>
      <c r="AA28" s="40">
        <v>0</v>
      </c>
      <c r="AB28" s="40">
        <v>0</v>
      </c>
      <c r="AC28" s="41">
        <v>0</v>
      </c>
      <c r="AD28" s="42">
        <v>0</v>
      </c>
      <c r="AE28" s="39">
        <v>1.3362720629675588E-2</v>
      </c>
      <c r="AF28" s="40">
        <v>1.3679487724593088E-2</v>
      </c>
      <c r="AG28" s="40">
        <v>3.1676709491749999E-4</v>
      </c>
      <c r="AH28" s="41">
        <v>4.072671552084528</v>
      </c>
      <c r="AI28" s="42">
        <v>56112.862387496942</v>
      </c>
      <c r="AJ28" s="41">
        <v>318.50612090915104</v>
      </c>
      <c r="AK28" s="30">
        <v>4388345.5622644126</v>
      </c>
      <c r="AL28" s="43">
        <f>+$AL$6*W28/H28*10^6</f>
        <v>1031.9046615140212</v>
      </c>
      <c r="AM28" s="30">
        <v>6375280</v>
      </c>
      <c r="AN28" s="44">
        <v>0.68833769846413217</v>
      </c>
      <c r="AO28" s="48"/>
      <c r="AP28" s="32"/>
      <c r="AR28" s="32"/>
    </row>
    <row r="29" spans="1:44">
      <c r="A29" s="5" t="s">
        <v>1474</v>
      </c>
      <c r="B29" s="5" t="s">
        <v>1469</v>
      </c>
      <c r="C29" s="5" t="s">
        <v>1725</v>
      </c>
      <c r="D29" s="29" t="s">
        <v>1484</v>
      </c>
      <c r="E29" s="5" t="s">
        <v>1480</v>
      </c>
      <c r="F29" s="30" t="s">
        <v>1160</v>
      </c>
      <c r="G29" s="5" t="s">
        <v>967</v>
      </c>
      <c r="H29" s="31">
        <v>33.85</v>
      </c>
      <c r="I29" s="32">
        <v>2168.1550000000002</v>
      </c>
      <c r="J29" s="32">
        <v>2191.9369999999999</v>
      </c>
      <c r="K29" s="33">
        <v>0.8</v>
      </c>
      <c r="L29" s="33">
        <v>0.83</v>
      </c>
      <c r="M29" s="6">
        <v>1</v>
      </c>
      <c r="N29" s="6">
        <v>1</v>
      </c>
      <c r="O29" s="6">
        <v>0</v>
      </c>
      <c r="P29" s="6">
        <v>0</v>
      </c>
      <c r="Q29" s="34">
        <v>1734.5240000000003</v>
      </c>
      <c r="R29" s="34">
        <v>1819.3077099999998</v>
      </c>
      <c r="S29" s="34">
        <v>58713.637400000014</v>
      </c>
      <c r="T29" s="34">
        <v>61583.565983499997</v>
      </c>
      <c r="U29" s="35">
        <v>3.1886116730210213E-3</v>
      </c>
      <c r="V29" s="36">
        <v>3.3565105259985503E-3</v>
      </c>
      <c r="W29" s="36">
        <v>1.6789885297752898E-4</v>
      </c>
      <c r="X29" s="37">
        <v>352.44384886965372</v>
      </c>
      <c r="Y29" s="38">
        <v>10411930.542678101</v>
      </c>
      <c r="Z29" s="39">
        <v>5.9654897923744031E-3</v>
      </c>
      <c r="AA29" s="40">
        <v>6.2816170007583567E-3</v>
      </c>
      <c r="AB29" s="40">
        <v>3.1612720838395357E-4</v>
      </c>
      <c r="AC29" s="41">
        <v>6.2227843584799754</v>
      </c>
      <c r="AD29" s="42">
        <v>183834.10217075257</v>
      </c>
      <c r="AE29" s="39">
        <v>0</v>
      </c>
      <c r="AF29" s="40">
        <v>0</v>
      </c>
      <c r="AG29" s="40">
        <v>0</v>
      </c>
      <c r="AH29" s="41">
        <v>0</v>
      </c>
      <c r="AI29" s="42">
        <v>0</v>
      </c>
      <c r="AJ29" s="41">
        <v>358.66663322813372</v>
      </c>
      <c r="AK29" s="30">
        <v>10595764.644848853</v>
      </c>
      <c r="AL29" s="43">
        <f>+$AL$6*W29/H29*10^6</f>
        <v>2480.0421414701473</v>
      </c>
      <c r="AM29" s="30">
        <v>16696282</v>
      </c>
      <c r="AN29" s="44">
        <v>0.6346182128960719</v>
      </c>
      <c r="AP29" s="32"/>
      <c r="AR29" s="32"/>
    </row>
    <row r="30" spans="1:44">
      <c r="A30" s="5" t="s">
        <v>1216</v>
      </c>
      <c r="B30" s="5" t="s">
        <v>386</v>
      </c>
      <c r="C30" s="5" t="s">
        <v>1814</v>
      </c>
      <c r="D30" s="29" t="s">
        <v>1443</v>
      </c>
      <c r="E30" s="5" t="s">
        <v>1523</v>
      </c>
      <c r="F30" s="30" t="s">
        <v>1156</v>
      </c>
      <c r="G30" s="5" t="s">
        <v>967</v>
      </c>
      <c r="H30" s="31">
        <v>37.54</v>
      </c>
      <c r="I30" s="32">
        <v>332.97800000000001</v>
      </c>
      <c r="J30" s="32">
        <v>333.17989999999998</v>
      </c>
      <c r="K30" s="33">
        <v>0.84</v>
      </c>
      <c r="L30" s="33">
        <v>0.86</v>
      </c>
      <c r="M30" s="6">
        <v>1</v>
      </c>
      <c r="N30" s="6">
        <v>1</v>
      </c>
      <c r="O30" s="6">
        <v>0</v>
      </c>
      <c r="P30" s="6">
        <v>0</v>
      </c>
      <c r="Q30" s="34">
        <v>279.70152000000002</v>
      </c>
      <c r="R30" s="34">
        <v>286.53471399999995</v>
      </c>
      <c r="S30" s="34">
        <v>10499.9950608</v>
      </c>
      <c r="T30" s="34">
        <v>10756.513163559997</v>
      </c>
      <c r="U30" s="35">
        <v>5.7023220328587473E-4</v>
      </c>
      <c r="V30" s="36">
        <v>5.8626597989152641E-4</v>
      </c>
      <c r="W30" s="36">
        <v>1.6033776605651681E-5</v>
      </c>
      <c r="X30" s="37">
        <v>33.657203957006203</v>
      </c>
      <c r="Y30" s="38">
        <v>896569.09848178492</v>
      </c>
      <c r="Z30" s="39">
        <v>1.0668324452196864E-3</v>
      </c>
      <c r="AA30" s="40">
        <v>1.097180633794461E-3</v>
      </c>
      <c r="AB30" s="40">
        <v>3.0348188574774639E-5</v>
      </c>
      <c r="AC30" s="41">
        <v>0.5973868372061778</v>
      </c>
      <c r="AD30" s="42">
        <v>15913.341427974903</v>
      </c>
      <c r="AE30" s="39">
        <v>0</v>
      </c>
      <c r="AF30" s="40">
        <v>0</v>
      </c>
      <c r="AG30" s="40">
        <v>0</v>
      </c>
      <c r="AH30" s="41">
        <v>0</v>
      </c>
      <c r="AI30" s="42">
        <v>0</v>
      </c>
      <c r="AJ30" s="41">
        <v>34.254590794212383</v>
      </c>
      <c r="AK30" s="30">
        <v>912482.43990975979</v>
      </c>
      <c r="AL30" s="43">
        <f>+$AL$6*W30/H30*10^6</f>
        <v>213.55589512056051</v>
      </c>
      <c r="AM30" s="30">
        <v>1551405.75</v>
      </c>
      <c r="AN30" s="44">
        <v>0.5881649206919336</v>
      </c>
      <c r="AP30" s="32"/>
      <c r="AR30" s="32"/>
    </row>
    <row r="31" spans="1:44">
      <c r="A31" s="5" t="s">
        <v>1549</v>
      </c>
      <c r="B31" s="5" t="s">
        <v>1550</v>
      </c>
      <c r="C31" s="5" t="s">
        <v>1726</v>
      </c>
      <c r="D31" s="29" t="s">
        <v>1551</v>
      </c>
      <c r="E31" s="5" t="s">
        <v>1559</v>
      </c>
      <c r="F31" s="30" t="s">
        <v>1170</v>
      </c>
      <c r="G31" s="5" t="s">
        <v>967</v>
      </c>
      <c r="H31" s="31">
        <v>30.87</v>
      </c>
      <c r="I31" s="32">
        <v>1607.2080000000001</v>
      </c>
      <c r="J31" s="32">
        <v>1583.9969999999998</v>
      </c>
      <c r="K31" s="33">
        <v>0.84</v>
      </c>
      <c r="L31" s="33">
        <v>0.91</v>
      </c>
      <c r="M31" s="6">
        <v>0</v>
      </c>
      <c r="N31" s="6">
        <v>0</v>
      </c>
      <c r="O31" s="6">
        <v>1</v>
      </c>
      <c r="P31" s="6">
        <v>1</v>
      </c>
      <c r="Q31" s="34">
        <v>1350.0547200000001</v>
      </c>
      <c r="R31" s="34">
        <v>1441.4372699999999</v>
      </c>
      <c r="S31" s="34">
        <v>41676.189206400006</v>
      </c>
      <c r="T31" s="34">
        <v>44497.1685249</v>
      </c>
      <c r="U31" s="35">
        <v>2.2633444166509724E-3</v>
      </c>
      <c r="V31" s="36">
        <v>2.4252446597680748E-3</v>
      </c>
      <c r="W31" s="36">
        <v>1.6190024311710238E-4</v>
      </c>
      <c r="X31" s="37">
        <v>339.8519037218262</v>
      </c>
      <c r="Y31" s="38">
        <v>11009131.963777978</v>
      </c>
      <c r="Z31" s="39">
        <v>0</v>
      </c>
      <c r="AA31" s="40">
        <v>0</v>
      </c>
      <c r="AB31" s="40">
        <v>0</v>
      </c>
      <c r="AC31" s="41">
        <v>0</v>
      </c>
      <c r="AD31" s="42">
        <v>0</v>
      </c>
      <c r="AE31" s="39">
        <v>4.8622796658079484E-3</v>
      </c>
      <c r="AF31" s="40">
        <v>5.2081721527926627E-3</v>
      </c>
      <c r="AG31" s="40">
        <v>3.4589248698471426E-4</v>
      </c>
      <c r="AH31" s="41">
        <v>4.4471364432259053</v>
      </c>
      <c r="AI31" s="42">
        <v>144060.13745467787</v>
      </c>
      <c r="AJ31" s="41">
        <v>344.29904016505213</v>
      </c>
      <c r="AK31" s="30">
        <v>11153192.101232655</v>
      </c>
      <c r="AL31" s="43">
        <f>+$AL$6*W31/H31*10^6</f>
        <v>2622.2909477988724</v>
      </c>
      <c r="AM31" s="30">
        <v>19989974</v>
      </c>
      <c r="AN31" s="44">
        <v>0.55793930003273917</v>
      </c>
      <c r="AP31" s="32"/>
      <c r="AR31" s="32"/>
    </row>
    <row r="32" spans="1:44">
      <c r="A32" s="5" t="s">
        <v>1608</v>
      </c>
      <c r="B32" s="5" t="s">
        <v>1589</v>
      </c>
      <c r="C32" s="5" t="s">
        <v>1720</v>
      </c>
      <c r="D32" s="29" t="s">
        <v>1619</v>
      </c>
      <c r="E32" s="5" t="s">
        <v>1634</v>
      </c>
      <c r="F32" s="30" t="s">
        <v>1151</v>
      </c>
      <c r="G32" s="5" t="s">
        <v>967</v>
      </c>
      <c r="H32" s="31">
        <v>94.19</v>
      </c>
      <c r="I32" s="32">
        <v>2808.2359999999999</v>
      </c>
      <c r="J32" s="32">
        <v>2259.7370000000001</v>
      </c>
      <c r="K32" s="33">
        <v>0.75</v>
      </c>
      <c r="L32" s="33">
        <v>1</v>
      </c>
      <c r="M32" s="6">
        <v>1</v>
      </c>
      <c r="N32" s="6">
        <v>1</v>
      </c>
      <c r="O32" s="6">
        <v>0</v>
      </c>
      <c r="P32" s="6">
        <v>0</v>
      </c>
      <c r="Q32" s="34">
        <v>2106.1769999999997</v>
      </c>
      <c r="R32" s="34">
        <v>2259.7370000000001</v>
      </c>
      <c r="S32" s="34">
        <v>198380.81162999995</v>
      </c>
      <c r="T32" s="34">
        <v>212844.62802999999</v>
      </c>
      <c r="U32" s="35">
        <v>1.077363623986277E-2</v>
      </c>
      <c r="V32" s="36">
        <v>1.160074482494816E-2</v>
      </c>
      <c r="W32" s="36">
        <v>8.2710858508538987E-4</v>
      </c>
      <c r="X32" s="37">
        <v>1736.2199204520052</v>
      </c>
      <c r="Y32" s="38">
        <v>18433166.158318352</v>
      </c>
      <c r="Z32" s="39">
        <v>2.0156112943902085E-2</v>
      </c>
      <c r="AA32" s="40">
        <v>2.1710474419613171E-2</v>
      </c>
      <c r="AB32" s="40">
        <v>1.5543614757110857E-3</v>
      </c>
      <c r="AC32" s="41">
        <v>30.596721895355103</v>
      </c>
      <c r="AD32" s="42">
        <v>324840.44904294622</v>
      </c>
      <c r="AE32" s="39">
        <v>0</v>
      </c>
      <c r="AF32" s="40">
        <v>0</v>
      </c>
      <c r="AG32" s="40">
        <v>0</v>
      </c>
      <c r="AH32" s="41">
        <v>0</v>
      </c>
      <c r="AI32" s="42">
        <v>0</v>
      </c>
      <c r="AJ32" s="41">
        <v>1766.8166423473604</v>
      </c>
      <c r="AK32" s="30">
        <v>18758006.607361298</v>
      </c>
      <c r="AL32" s="43">
        <f>+$AL$6*W32/H32*10^6</f>
        <v>4390.6390544929927</v>
      </c>
      <c r="AM32" s="30">
        <v>37423564</v>
      </c>
      <c r="AN32" s="44">
        <v>0.50123517384291083</v>
      </c>
      <c r="AP32" s="32"/>
      <c r="AR32" s="32"/>
    </row>
    <row r="33" spans="1:44">
      <c r="A33" s="5" t="s">
        <v>1390</v>
      </c>
      <c r="B33" s="5" t="s">
        <v>1365</v>
      </c>
      <c r="C33" s="5" t="s">
        <v>1743</v>
      </c>
      <c r="D33" s="29" t="s">
        <v>1744</v>
      </c>
      <c r="E33" s="5" t="s">
        <v>1377</v>
      </c>
      <c r="F33" s="30" t="s">
        <v>1154</v>
      </c>
      <c r="G33" s="5" t="s">
        <v>969</v>
      </c>
      <c r="H33" s="31">
        <v>108.4</v>
      </c>
      <c r="I33" s="32">
        <v>444.12400000000002</v>
      </c>
      <c r="J33" s="32">
        <v>452.1037</v>
      </c>
      <c r="K33" s="33">
        <v>1</v>
      </c>
      <c r="L33" s="33">
        <v>1</v>
      </c>
      <c r="M33" s="6">
        <v>0.51</v>
      </c>
      <c r="N33" s="6">
        <v>0.51</v>
      </c>
      <c r="O33" s="6">
        <v>0.49</v>
      </c>
      <c r="P33" s="6">
        <v>0.49</v>
      </c>
      <c r="Q33" s="34">
        <v>444.12400000000002</v>
      </c>
      <c r="R33" s="34">
        <v>452.1037</v>
      </c>
      <c r="S33" s="34">
        <v>48143.041600000004</v>
      </c>
      <c r="T33" s="34">
        <v>49008.041080000003</v>
      </c>
      <c r="U33" s="35">
        <v>2.6145452950679664E-3</v>
      </c>
      <c r="V33" s="36">
        <v>2.6711023162845518E-3</v>
      </c>
      <c r="W33" s="36">
        <v>5.6557021216585394E-5</v>
      </c>
      <c r="X33" s="37">
        <v>118.72132468256834</v>
      </c>
      <c r="Y33" s="38">
        <v>1095215.1723484162</v>
      </c>
      <c r="Z33" s="39">
        <v>2.4946568861651665E-3</v>
      </c>
      <c r="AA33" s="40">
        <v>2.5494361514122386E-3</v>
      </c>
      <c r="AB33" s="40">
        <v>5.4779265247072162E-5</v>
      </c>
      <c r="AC33" s="41">
        <v>1.0782986908690559</v>
      </c>
      <c r="AD33" s="42">
        <v>9947.4048973160134</v>
      </c>
      <c r="AE33" s="39">
        <v>2.752209810274128E-3</v>
      </c>
      <c r="AF33" s="40">
        <v>2.8107121959848511E-3</v>
      </c>
      <c r="AG33" s="40">
        <v>5.8502385710723116E-5</v>
      </c>
      <c r="AH33" s="41">
        <v>0.75216462137644713</v>
      </c>
      <c r="AI33" s="42">
        <v>6938.7880200779246</v>
      </c>
      <c r="AJ33" s="41">
        <v>120.55178799481385</v>
      </c>
      <c r="AK33" s="30">
        <v>1112101.3652658102</v>
      </c>
      <c r="AL33" s="43">
        <f>+$AL$6*W33/H33*10^6</f>
        <v>260.87186908019095</v>
      </c>
      <c r="AM33" s="30">
        <v>2348679</v>
      </c>
      <c r="AN33" s="44">
        <v>0.47350079140904744</v>
      </c>
      <c r="AP33" s="32"/>
      <c r="AR33" s="32"/>
    </row>
    <row r="34" spans="1:44">
      <c r="A34" s="5" t="s">
        <v>1228</v>
      </c>
      <c r="B34" s="5" t="s">
        <v>399</v>
      </c>
      <c r="C34" s="5" t="s">
        <v>1783</v>
      </c>
      <c r="D34" s="29" t="s">
        <v>1784</v>
      </c>
      <c r="E34" s="5" t="s">
        <v>1542</v>
      </c>
      <c r="F34" s="30" t="s">
        <v>1157</v>
      </c>
      <c r="G34" s="5" t="s">
        <v>967</v>
      </c>
      <c r="H34" s="31">
        <v>97.02</v>
      </c>
      <c r="I34" s="32">
        <v>337.55799999999999</v>
      </c>
      <c r="J34" s="32">
        <v>337.7561</v>
      </c>
      <c r="K34" s="33">
        <v>0.94</v>
      </c>
      <c r="L34" s="33">
        <v>0.95</v>
      </c>
      <c r="M34" s="6">
        <v>0</v>
      </c>
      <c r="N34" s="6">
        <v>0</v>
      </c>
      <c r="O34" s="6">
        <v>1</v>
      </c>
      <c r="P34" s="6">
        <v>1</v>
      </c>
      <c r="Q34" s="34">
        <v>317.30451999999997</v>
      </c>
      <c r="R34" s="34">
        <v>320.86829499999999</v>
      </c>
      <c r="S34" s="34">
        <v>30784.884530399995</v>
      </c>
      <c r="T34" s="34">
        <v>31130.641980899996</v>
      </c>
      <c r="U34" s="35">
        <v>1.6718610277454493E-3</v>
      </c>
      <c r="V34" s="36">
        <v>1.6967242123974951E-3</v>
      </c>
      <c r="W34" s="36">
        <v>2.4863184652045792E-5</v>
      </c>
      <c r="X34" s="37">
        <v>52.191401778645357</v>
      </c>
      <c r="Y34" s="38">
        <v>537944.7719918096</v>
      </c>
      <c r="Z34" s="39">
        <v>0</v>
      </c>
      <c r="AA34" s="40">
        <v>0</v>
      </c>
      <c r="AB34" s="40">
        <v>0</v>
      </c>
      <c r="AC34" s="41">
        <v>0</v>
      </c>
      <c r="AD34" s="42">
        <v>0</v>
      </c>
      <c r="AE34" s="39">
        <v>3.5916124030702695E-3</v>
      </c>
      <c r="AF34" s="40">
        <v>3.6436867341964416E-3</v>
      </c>
      <c r="AG34" s="40">
        <v>5.2074331126172099E-5</v>
      </c>
      <c r="AH34" s="41">
        <v>0.66951918420259637</v>
      </c>
      <c r="AI34" s="42">
        <v>6900.8367780106828</v>
      </c>
      <c r="AJ34" s="41">
        <v>52.860920962847956</v>
      </c>
      <c r="AK34" s="30">
        <v>544845.6087698203</v>
      </c>
      <c r="AL34" s="43">
        <f>+$AL$6*W34/H34*10^6</f>
        <v>128.13432618040505</v>
      </c>
      <c r="AM34" s="30">
        <v>1245771</v>
      </c>
      <c r="AN34" s="44">
        <v>0.43735615034369907</v>
      </c>
      <c r="AP34" s="32"/>
      <c r="AR34" s="32"/>
    </row>
    <row r="35" spans="1:44">
      <c r="A35" s="5" t="s">
        <v>1315</v>
      </c>
      <c r="B35" s="5" t="s">
        <v>488</v>
      </c>
      <c r="C35" s="5" t="s">
        <v>1898</v>
      </c>
      <c r="D35" s="29" t="s">
        <v>1899</v>
      </c>
      <c r="E35" s="5" t="s">
        <v>21</v>
      </c>
      <c r="F35" s="30" t="s">
        <v>1156</v>
      </c>
      <c r="G35" s="5" t="s">
        <v>967</v>
      </c>
      <c r="H35" s="31">
        <v>29.75</v>
      </c>
      <c r="I35" s="32">
        <v>210.55500000000001</v>
      </c>
      <c r="J35" s="32">
        <v>210.82569999999998</v>
      </c>
      <c r="K35" s="33">
        <v>0.89</v>
      </c>
      <c r="L35" s="33">
        <v>0.91</v>
      </c>
      <c r="M35" s="6">
        <v>1</v>
      </c>
      <c r="N35" s="6">
        <v>1</v>
      </c>
      <c r="O35" s="6">
        <v>0</v>
      </c>
      <c r="P35" s="6">
        <v>0</v>
      </c>
      <c r="Q35" s="34">
        <v>187.39395000000002</v>
      </c>
      <c r="R35" s="34">
        <v>191.85138699999999</v>
      </c>
      <c r="S35" s="34">
        <v>5574.9700125000008</v>
      </c>
      <c r="T35" s="34">
        <v>5707.5787632499996</v>
      </c>
      <c r="U35" s="35">
        <v>3.027646598948347E-4</v>
      </c>
      <c r="V35" s="36">
        <v>3.1108215139648244E-4</v>
      </c>
      <c r="W35" s="36">
        <v>8.3174915016477396E-6</v>
      </c>
      <c r="X35" s="37">
        <v>17.459611342155508</v>
      </c>
      <c r="Y35" s="38">
        <v>586877.69217329449</v>
      </c>
      <c r="Z35" s="39">
        <v>5.6643444649474471E-4</v>
      </c>
      <c r="AA35" s="40">
        <v>5.8218167817700834E-4</v>
      </c>
      <c r="AB35" s="40">
        <v>1.5747231682263635E-5</v>
      </c>
      <c r="AC35" s="41">
        <v>0.30997530235592485</v>
      </c>
      <c r="AD35" s="42">
        <v>10419.337894316803</v>
      </c>
      <c r="AE35" s="39">
        <v>0</v>
      </c>
      <c r="AF35" s="40">
        <v>0</v>
      </c>
      <c r="AG35" s="40">
        <v>0</v>
      </c>
      <c r="AH35" s="41">
        <v>0</v>
      </c>
      <c r="AI35" s="42">
        <v>0</v>
      </c>
      <c r="AJ35" s="41">
        <v>17.769586644511435</v>
      </c>
      <c r="AK35" s="30">
        <v>597297.03006761125</v>
      </c>
      <c r="AL35" s="43">
        <f>+$AL$6*W35/H35*10^6</f>
        <v>139.78977313693682</v>
      </c>
      <c r="AM35" s="30">
        <v>1389870.5</v>
      </c>
      <c r="AN35" s="44">
        <v>0.4297501314457795</v>
      </c>
      <c r="AP35" s="32"/>
      <c r="AR35" s="32"/>
    </row>
    <row r="36" spans="1:44">
      <c r="A36" s="5" t="s">
        <v>1680</v>
      </c>
      <c r="B36" s="5" t="s">
        <v>1664</v>
      </c>
      <c r="C36" s="5" t="s">
        <v>1761</v>
      </c>
      <c r="D36" s="29" t="s">
        <v>1762</v>
      </c>
      <c r="E36" s="5" t="s">
        <v>1704</v>
      </c>
      <c r="F36" s="30" t="s">
        <v>1161</v>
      </c>
      <c r="G36" s="5" t="s">
        <v>967</v>
      </c>
      <c r="H36" s="31">
        <v>89.71</v>
      </c>
      <c r="I36" s="32">
        <v>219.91</v>
      </c>
      <c r="J36" s="32">
        <v>219.94369999999998</v>
      </c>
      <c r="K36" s="33">
        <v>0.75</v>
      </c>
      <c r="L36" s="33">
        <v>0.78</v>
      </c>
      <c r="M36" s="6">
        <v>0.56000000000000005</v>
      </c>
      <c r="N36" s="6">
        <v>0.56000000000000005</v>
      </c>
      <c r="O36" s="6">
        <v>0.44</v>
      </c>
      <c r="P36" s="6">
        <v>0.44</v>
      </c>
      <c r="Q36" s="34">
        <v>164.9325</v>
      </c>
      <c r="R36" s="34">
        <v>171.55608599999999</v>
      </c>
      <c r="S36" s="34">
        <v>14796.094574999999</v>
      </c>
      <c r="T36" s="34">
        <v>15390.296475059999</v>
      </c>
      <c r="U36" s="35">
        <v>8.0354415032320907E-4</v>
      </c>
      <c r="V36" s="36">
        <v>8.3882268413326124E-4</v>
      </c>
      <c r="W36" s="36">
        <v>3.5278533810052175E-5</v>
      </c>
      <c r="X36" s="37">
        <v>74.054718171047199</v>
      </c>
      <c r="Y36" s="38">
        <v>825490.11449166434</v>
      </c>
      <c r="Z36" s="39">
        <v>8.4186459628771875E-4</v>
      </c>
      <c r="AA36" s="40">
        <v>8.7910678777185984E-4</v>
      </c>
      <c r="AB36" s="40">
        <v>3.7242191484141091E-5</v>
      </c>
      <c r="AC36" s="41">
        <v>0.73309136479501091</v>
      </c>
      <c r="AD36" s="42">
        <v>8171.7909351801472</v>
      </c>
      <c r="AE36" s="39">
        <v>7.5954185131475976E-4</v>
      </c>
      <c r="AF36" s="40">
        <v>7.9259735214616577E-4</v>
      </c>
      <c r="AG36" s="40">
        <v>3.3055500831406012E-5</v>
      </c>
      <c r="AH36" s="41">
        <v>0.42499426245972854</v>
      </c>
      <c r="AI36" s="42">
        <v>4737.4235030624077</v>
      </c>
      <c r="AJ36" s="41">
        <v>75.212803798301948</v>
      </c>
      <c r="AK36" s="30">
        <v>838399.32892990694</v>
      </c>
      <c r="AL36" s="43">
        <f>+$AL$6*W36/H36*10^6</f>
        <v>196.62542531519438</v>
      </c>
      <c r="AM36" s="30">
        <v>2021449.25</v>
      </c>
      <c r="AN36" s="44">
        <v>0.41475160899038499</v>
      </c>
      <c r="AP36" s="32"/>
      <c r="AR36" s="32"/>
    </row>
    <row r="37" spans="1:44" s="48" customFormat="1">
      <c r="A37" s="5" t="s">
        <v>291</v>
      </c>
      <c r="B37" s="5" t="s">
        <v>591</v>
      </c>
      <c r="C37" s="5" t="s">
        <v>1791</v>
      </c>
      <c r="D37" s="29" t="s">
        <v>1792</v>
      </c>
      <c r="E37" s="5" t="s">
        <v>118</v>
      </c>
      <c r="F37" s="30" t="s">
        <v>1153</v>
      </c>
      <c r="G37" s="5" t="s">
        <v>967</v>
      </c>
      <c r="H37" s="31">
        <v>125.25</v>
      </c>
      <c r="I37" s="32">
        <v>194.744</v>
      </c>
      <c r="J37" s="32">
        <v>171.9873</v>
      </c>
      <c r="K37" s="33">
        <v>0.87</v>
      </c>
      <c r="L37" s="33">
        <v>1</v>
      </c>
      <c r="M37" s="6">
        <v>1</v>
      </c>
      <c r="N37" s="6">
        <v>1</v>
      </c>
      <c r="O37" s="6">
        <v>0</v>
      </c>
      <c r="P37" s="6">
        <v>0</v>
      </c>
      <c r="Q37" s="34">
        <v>169.42728</v>
      </c>
      <c r="R37" s="34">
        <v>171.9873</v>
      </c>
      <c r="S37" s="34">
        <v>21220.766820000001</v>
      </c>
      <c r="T37" s="34">
        <v>21541.409325000001</v>
      </c>
      <c r="U37" s="35">
        <v>1.1524543153701658E-3</v>
      </c>
      <c r="V37" s="36">
        <v>1.174078928192923E-3</v>
      </c>
      <c r="W37" s="36">
        <v>2.1624612822757202E-5</v>
      </c>
      <c r="X37" s="37">
        <v>45.393173559015601</v>
      </c>
      <c r="Y37" s="38">
        <v>362420.54737737007</v>
      </c>
      <c r="Z37" s="39">
        <v>2.1560964957532572E-3</v>
      </c>
      <c r="AA37" s="40">
        <v>2.197256376359715E-3</v>
      </c>
      <c r="AB37" s="40">
        <v>4.1159880606457793E-5</v>
      </c>
      <c r="AC37" s="41">
        <v>0.81020884771071733</v>
      </c>
      <c r="AD37" s="42">
        <v>6468.7333150556269</v>
      </c>
      <c r="AE37" s="39">
        <v>0</v>
      </c>
      <c r="AF37" s="40">
        <v>0</v>
      </c>
      <c r="AG37" s="40">
        <v>0</v>
      </c>
      <c r="AH37" s="41">
        <v>0</v>
      </c>
      <c r="AI37" s="42">
        <v>0</v>
      </c>
      <c r="AJ37" s="41">
        <v>46.20338240672632</v>
      </c>
      <c r="AK37" s="30">
        <v>368889.28069242567</v>
      </c>
      <c r="AL37" s="43">
        <f>+$AL$6*W37/H37*10^6</f>
        <v>86.325799691645528</v>
      </c>
      <c r="AM37" s="30">
        <v>899310.9375</v>
      </c>
      <c r="AN37" s="44">
        <v>0.41019103105529137</v>
      </c>
      <c r="AP37" s="110"/>
      <c r="AQ37" s="5"/>
      <c r="AR37" s="110"/>
    </row>
    <row r="38" spans="1:44">
      <c r="A38" s="5" t="s">
        <v>243</v>
      </c>
      <c r="B38" s="5" t="s">
        <v>543</v>
      </c>
      <c r="C38" s="5" t="s">
        <v>1771</v>
      </c>
      <c r="D38" s="29" t="s">
        <v>1772</v>
      </c>
      <c r="E38" s="5" t="s">
        <v>75</v>
      </c>
      <c r="F38" s="30" t="s">
        <v>1154</v>
      </c>
      <c r="G38" s="5" t="s">
        <v>969</v>
      </c>
      <c r="H38" s="31">
        <v>53.18</v>
      </c>
      <c r="I38" s="32">
        <v>480.13400000000001</v>
      </c>
      <c r="J38" s="32">
        <v>489.16579999999999</v>
      </c>
      <c r="K38" s="33">
        <v>1</v>
      </c>
      <c r="L38" s="33">
        <v>1</v>
      </c>
      <c r="M38" s="6">
        <v>0</v>
      </c>
      <c r="N38" s="6">
        <v>0</v>
      </c>
      <c r="O38" s="6">
        <v>1</v>
      </c>
      <c r="P38" s="6">
        <v>1</v>
      </c>
      <c r="Q38" s="34">
        <v>480.13400000000001</v>
      </c>
      <c r="R38" s="34">
        <v>489.16579999999999</v>
      </c>
      <c r="S38" s="34">
        <v>25533.526120000002</v>
      </c>
      <c r="T38" s="34">
        <v>26013.837243999998</v>
      </c>
      <c r="U38" s="35">
        <v>1.3866710196295748E-3</v>
      </c>
      <c r="V38" s="36">
        <v>1.4178412233304823E-3</v>
      </c>
      <c r="W38" s="36">
        <v>3.1170203700907556E-5</v>
      </c>
      <c r="X38" s="37">
        <v>65.430742185411361</v>
      </c>
      <c r="Y38" s="38">
        <v>1230363.7116474495</v>
      </c>
      <c r="Z38" s="39">
        <v>0</v>
      </c>
      <c r="AA38" s="40">
        <v>0</v>
      </c>
      <c r="AB38" s="40">
        <v>0</v>
      </c>
      <c r="AC38" s="41">
        <v>0</v>
      </c>
      <c r="AD38" s="42">
        <v>0</v>
      </c>
      <c r="AE38" s="39">
        <v>2.9789466650800896E-3</v>
      </c>
      <c r="AF38" s="40">
        <v>3.0447902015532996E-3</v>
      </c>
      <c r="AG38" s="40">
        <v>6.5843536473209931E-5</v>
      </c>
      <c r="AH38" s="41">
        <v>0.84654972749907154</v>
      </c>
      <c r="AI38" s="42">
        <v>15918.57328881293</v>
      </c>
      <c r="AJ38" s="41">
        <v>66.277291912910428</v>
      </c>
      <c r="AK38" s="30">
        <v>1246282.2849362625</v>
      </c>
      <c r="AL38" s="43">
        <f>+$AL$6*W38/H38*10^6</f>
        <v>293.06321644328278</v>
      </c>
      <c r="AM38" s="30">
        <v>3060875</v>
      </c>
      <c r="AN38" s="44">
        <v>0.4071653644582881</v>
      </c>
      <c r="AP38" s="32"/>
      <c r="AR38" s="32"/>
    </row>
    <row r="39" spans="1:44">
      <c r="A39" s="5" t="s">
        <v>807</v>
      </c>
      <c r="B39" s="5" t="s">
        <v>168</v>
      </c>
      <c r="C39" s="5" t="s">
        <v>1777</v>
      </c>
      <c r="D39" s="29" t="s">
        <v>1570</v>
      </c>
      <c r="E39" s="5" t="s">
        <v>1579</v>
      </c>
      <c r="F39" s="30" t="s">
        <v>1150</v>
      </c>
      <c r="G39" s="5" t="s">
        <v>969</v>
      </c>
      <c r="H39" s="31">
        <v>83.3</v>
      </c>
      <c r="I39" s="32">
        <v>202.77</v>
      </c>
      <c r="J39" s="32">
        <v>208.25139999999999</v>
      </c>
      <c r="K39" s="33">
        <v>1</v>
      </c>
      <c r="L39" s="33">
        <v>1</v>
      </c>
      <c r="M39" s="6">
        <v>0.6</v>
      </c>
      <c r="N39" s="6">
        <v>0.6</v>
      </c>
      <c r="O39" s="6">
        <v>0.4</v>
      </c>
      <c r="P39" s="6">
        <v>0.4</v>
      </c>
      <c r="Q39" s="34">
        <v>202.77</v>
      </c>
      <c r="R39" s="34">
        <v>208.25139999999999</v>
      </c>
      <c r="S39" s="34">
        <v>16890.741000000002</v>
      </c>
      <c r="T39" s="34">
        <v>17347.341619999999</v>
      </c>
      <c r="U39" s="35">
        <v>9.1729990345607081E-4</v>
      </c>
      <c r="V39" s="36">
        <v>9.4548819665985731E-4</v>
      </c>
      <c r="W39" s="36">
        <v>2.8188293203786508E-5</v>
      </c>
      <c r="X39" s="37">
        <v>59.171283029184593</v>
      </c>
      <c r="Y39" s="38">
        <v>710339.53216308029</v>
      </c>
      <c r="Z39" s="39">
        <v>1.0296913713726732E-3</v>
      </c>
      <c r="AA39" s="40">
        <v>1.061673071033441E-3</v>
      </c>
      <c r="AB39" s="40">
        <v>3.1981699660767844E-5</v>
      </c>
      <c r="AC39" s="41">
        <v>0.62954157417831547</v>
      </c>
      <c r="AD39" s="42">
        <v>7557.5218988993456</v>
      </c>
      <c r="AE39" s="39">
        <v>7.8824391642906457E-4</v>
      </c>
      <c r="AF39" s="40">
        <v>8.1216800569867899E-4</v>
      </c>
      <c r="AG39" s="40">
        <v>2.3924089269614416E-5</v>
      </c>
      <c r="AH39" s="41">
        <v>0.30759179012348387</v>
      </c>
      <c r="AI39" s="42">
        <v>3692.5785128869616</v>
      </c>
      <c r="AJ39" s="41">
        <v>60.108416393486394</v>
      </c>
      <c r="AK39" s="30">
        <v>721589.63257486664</v>
      </c>
      <c r="AL39" s="43">
        <f>+$AL$6*W39/H39*10^6</f>
        <v>169.19743819799825</v>
      </c>
      <c r="AM39" s="30">
        <v>1954770.5</v>
      </c>
      <c r="AN39" s="44">
        <v>0.36914289046968257</v>
      </c>
      <c r="AO39" s="48"/>
      <c r="AP39" s="32"/>
      <c r="AR39" s="32"/>
    </row>
    <row r="40" spans="1:44">
      <c r="A40" s="5" t="s">
        <v>1292</v>
      </c>
      <c r="B40" s="5" t="s">
        <v>465</v>
      </c>
      <c r="C40" s="5" t="s">
        <v>1781</v>
      </c>
      <c r="D40" s="29" t="s">
        <v>1782</v>
      </c>
      <c r="E40" s="5" t="s">
        <v>1524</v>
      </c>
      <c r="F40" s="30" t="s">
        <v>1164</v>
      </c>
      <c r="G40" s="5" t="s">
        <v>967</v>
      </c>
      <c r="H40" s="31">
        <v>230.41</v>
      </c>
      <c r="I40" s="32">
        <v>66.921000000000006</v>
      </c>
      <c r="J40" s="32">
        <v>65.975139999999996</v>
      </c>
      <c r="K40" s="33">
        <v>0.89</v>
      </c>
      <c r="L40" s="33">
        <v>0.93</v>
      </c>
      <c r="M40" s="6">
        <v>0.49</v>
      </c>
      <c r="N40" s="6">
        <v>0.49</v>
      </c>
      <c r="O40" s="6">
        <v>0.51</v>
      </c>
      <c r="P40" s="6">
        <v>0.51</v>
      </c>
      <c r="Q40" s="34">
        <v>59.559690000000003</v>
      </c>
      <c r="R40" s="34">
        <v>61.356880199999999</v>
      </c>
      <c r="S40" s="34">
        <v>13723.148172900001</v>
      </c>
      <c r="T40" s="34">
        <v>14137.238766881999</v>
      </c>
      <c r="U40" s="35">
        <v>7.452747333059292E-4</v>
      </c>
      <c r="V40" s="36">
        <v>7.7052684383862886E-4</v>
      </c>
      <c r="W40" s="36">
        <v>2.525211053269966E-5</v>
      </c>
      <c r="X40" s="37">
        <v>53.007813158900674</v>
      </c>
      <c r="Y40" s="38">
        <v>230058.64831778427</v>
      </c>
      <c r="Z40" s="39">
        <v>6.8321430838300307E-4</v>
      </c>
      <c r="AA40" s="40">
        <v>7.0658968512400709E-4</v>
      </c>
      <c r="AB40" s="40">
        <v>2.337537674100402E-5</v>
      </c>
      <c r="AC40" s="41">
        <v>0.46013100074836805</v>
      </c>
      <c r="AD40" s="42">
        <v>1997.0096816473592</v>
      </c>
      <c r="AE40" s="39">
        <v>8.1653698783655472E-4</v>
      </c>
      <c r="AF40" s="40">
        <v>8.4389365905710291E-4</v>
      </c>
      <c r="AG40" s="40">
        <v>2.7356671220548192E-5</v>
      </c>
      <c r="AH40" s="41">
        <v>0.3517244638957005</v>
      </c>
      <c r="AI40" s="42">
        <v>1526.5156195291024</v>
      </c>
      <c r="AJ40" s="41">
        <v>53.819668623544743</v>
      </c>
      <c r="AK40" s="30">
        <v>233582.17361896072</v>
      </c>
      <c r="AL40" s="43">
        <f>+$AL$6*W40/H40*10^6</f>
        <v>54.798208699057469</v>
      </c>
      <c r="AM40" s="30">
        <v>655432.9375</v>
      </c>
      <c r="AN40" s="44">
        <v>0.3563784488919749</v>
      </c>
      <c r="AO40" s="48"/>
      <c r="AP40" s="32"/>
      <c r="AR40" s="32"/>
    </row>
    <row r="41" spans="1:44" s="48" customFormat="1">
      <c r="A41" s="5" t="s">
        <v>309</v>
      </c>
      <c r="B41" s="5" t="s">
        <v>609</v>
      </c>
      <c r="C41" s="5" t="s">
        <v>1868</v>
      </c>
      <c r="D41" s="29" t="s">
        <v>1869</v>
      </c>
      <c r="E41" s="5" t="s">
        <v>135</v>
      </c>
      <c r="F41" s="30" t="s">
        <v>1151</v>
      </c>
      <c r="G41" s="5" t="s">
        <v>967</v>
      </c>
      <c r="H41" s="31">
        <v>47.26</v>
      </c>
      <c r="I41" s="32">
        <v>184.31200000000001</v>
      </c>
      <c r="J41" s="32">
        <v>183.95</v>
      </c>
      <c r="K41" s="33">
        <v>0.89</v>
      </c>
      <c r="L41" s="33">
        <v>0.91</v>
      </c>
      <c r="M41" s="6">
        <v>0.68</v>
      </c>
      <c r="N41" s="6">
        <v>0.68</v>
      </c>
      <c r="O41" s="6">
        <v>0.32</v>
      </c>
      <c r="P41" s="6">
        <v>0.32</v>
      </c>
      <c r="Q41" s="34">
        <v>164.03768000000002</v>
      </c>
      <c r="R41" s="34">
        <v>167.39449999999999</v>
      </c>
      <c r="S41" s="34">
        <v>7752.4207568000011</v>
      </c>
      <c r="T41" s="34">
        <v>7911.0640699999994</v>
      </c>
      <c r="U41" s="35">
        <v>4.2101733794648084E-4</v>
      </c>
      <c r="V41" s="36">
        <v>4.3117947781585748E-4</v>
      </c>
      <c r="W41" s="36">
        <v>1.0162139869376635E-5</v>
      </c>
      <c r="X41" s="37">
        <v>21.331793665047901</v>
      </c>
      <c r="Y41" s="38">
        <v>451371.00433871988</v>
      </c>
      <c r="Z41" s="39">
        <v>5.3561578669625483E-4</v>
      </c>
      <c r="AA41" s="40">
        <v>5.4871955136976444E-4</v>
      </c>
      <c r="AB41" s="40">
        <v>1.3103764673509611E-5</v>
      </c>
      <c r="AC41" s="41">
        <v>0.2579401572688455</v>
      </c>
      <c r="AD41" s="42">
        <v>5457.8958372586858</v>
      </c>
      <c r="AE41" s="39">
        <v>2.8942713640075373E-4</v>
      </c>
      <c r="AF41" s="40">
        <v>2.963042185681646E-4</v>
      </c>
      <c r="AG41" s="40">
        <v>6.8770821674108643E-6</v>
      </c>
      <c r="AH41" s="41">
        <v>8.8418580572128466E-2</v>
      </c>
      <c r="AI41" s="42">
        <v>1870.8967535363622</v>
      </c>
      <c r="AJ41" s="41">
        <v>21.678152402888873</v>
      </c>
      <c r="AK41" s="30">
        <v>458699.79692951491</v>
      </c>
      <c r="AL41" s="43">
        <f>+$AL$6*W41/H41*10^6</f>
        <v>107.51311753466605</v>
      </c>
      <c r="AM41" s="30">
        <v>1366510</v>
      </c>
      <c r="AN41" s="44">
        <v>0.33567247728118704</v>
      </c>
      <c r="AO41" s="5"/>
      <c r="AP41" s="110"/>
      <c r="AQ41" s="5"/>
      <c r="AR41" s="110"/>
    </row>
    <row r="42" spans="1:44">
      <c r="A42" s="5" t="s">
        <v>1393</v>
      </c>
      <c r="B42" s="5" t="s">
        <v>216</v>
      </c>
      <c r="C42" s="5" t="s">
        <v>1731</v>
      </c>
      <c r="D42" s="29" t="s">
        <v>217</v>
      </c>
      <c r="E42" s="5" t="s">
        <v>1382</v>
      </c>
      <c r="F42" s="30" t="s">
        <v>1151</v>
      </c>
      <c r="G42" s="5" t="s">
        <v>967</v>
      </c>
      <c r="H42" s="31">
        <v>73.540000000000006</v>
      </c>
      <c r="I42" s="32">
        <v>2446.904</v>
      </c>
      <c r="J42" s="32">
        <v>1951.3869999999999</v>
      </c>
      <c r="K42" s="33">
        <v>0.79</v>
      </c>
      <c r="L42" s="33">
        <v>1</v>
      </c>
      <c r="M42" s="6">
        <v>1</v>
      </c>
      <c r="N42" s="6">
        <v>1</v>
      </c>
      <c r="O42" s="6">
        <v>0</v>
      </c>
      <c r="P42" s="6">
        <v>0</v>
      </c>
      <c r="Q42" s="34">
        <v>1933.0541600000001</v>
      </c>
      <c r="R42" s="34">
        <v>1951.3869999999999</v>
      </c>
      <c r="S42" s="34">
        <v>142156.80292640004</v>
      </c>
      <c r="T42" s="34">
        <v>143504.99998000002</v>
      </c>
      <c r="U42" s="35">
        <v>7.7202309596725461E-3</v>
      </c>
      <c r="V42" s="36">
        <v>7.8215029492664755E-3</v>
      </c>
      <c r="W42" s="36">
        <v>1.0127198959392937E-4</v>
      </c>
      <c r="X42" s="37">
        <v>212.58447667864044</v>
      </c>
      <c r="Y42" s="38">
        <v>2890732.6173326136</v>
      </c>
      <c r="Z42" s="39">
        <v>1.4443577239076298E-2</v>
      </c>
      <c r="AA42" s="40">
        <v>1.4637727341247473E-2</v>
      </c>
      <c r="AB42" s="40">
        <v>1.9415010217117487E-4</v>
      </c>
      <c r="AC42" s="41">
        <v>3.8217343744759469</v>
      </c>
      <c r="AD42" s="42">
        <v>51968.104085884508</v>
      </c>
      <c r="AE42" s="39">
        <v>0</v>
      </c>
      <c r="AF42" s="40">
        <v>0</v>
      </c>
      <c r="AG42" s="40">
        <v>0</v>
      </c>
      <c r="AH42" s="41">
        <v>0</v>
      </c>
      <c r="AI42" s="42">
        <v>0</v>
      </c>
      <c r="AJ42" s="41">
        <v>216.40621105311638</v>
      </c>
      <c r="AK42" s="30">
        <v>2942700.7214184981</v>
      </c>
      <c r="AL42" s="43">
        <f>+$AL$6*W42/H42*10^6</f>
        <v>688.55037798428998</v>
      </c>
      <c r="AM42" s="30">
        <v>8780720</v>
      </c>
      <c r="AN42" s="44">
        <v>0.33513205311392436</v>
      </c>
      <c r="AO42" s="48"/>
      <c r="AP42" s="32"/>
      <c r="AR42" s="32"/>
    </row>
    <row r="43" spans="1:44">
      <c r="A43" s="5" t="s">
        <v>1208</v>
      </c>
      <c r="B43" s="5" t="s">
        <v>378</v>
      </c>
      <c r="C43" s="5" t="s">
        <v>1747</v>
      </c>
      <c r="D43" s="29" t="s">
        <v>1748</v>
      </c>
      <c r="E43" s="5" t="s">
        <v>730</v>
      </c>
      <c r="F43" s="30" t="s">
        <v>1152</v>
      </c>
      <c r="G43" s="5" t="s">
        <v>967</v>
      </c>
      <c r="H43" s="31">
        <v>51.26</v>
      </c>
      <c r="I43" s="32">
        <v>597.625</v>
      </c>
      <c r="J43" s="32">
        <v>559</v>
      </c>
      <c r="K43" s="33">
        <v>0.91</v>
      </c>
      <c r="L43" s="33">
        <v>1</v>
      </c>
      <c r="M43" s="6">
        <v>1</v>
      </c>
      <c r="N43" s="6">
        <v>1</v>
      </c>
      <c r="O43" s="6">
        <v>0</v>
      </c>
      <c r="P43" s="6">
        <v>0</v>
      </c>
      <c r="Q43" s="34">
        <v>543.83875</v>
      </c>
      <c r="R43" s="34">
        <v>559</v>
      </c>
      <c r="S43" s="34">
        <v>27877.174325</v>
      </c>
      <c r="T43" s="34">
        <v>28654.34</v>
      </c>
      <c r="U43" s="35">
        <v>1.5139495251836822E-3</v>
      </c>
      <c r="V43" s="36">
        <v>1.5617574638550535E-3</v>
      </c>
      <c r="W43" s="36">
        <v>4.7807938671371288E-5</v>
      </c>
      <c r="X43" s="37">
        <v>100.35574164474818</v>
      </c>
      <c r="Y43" s="38">
        <v>1957778.8069595823</v>
      </c>
      <c r="Z43" s="39">
        <v>2.8324083848368293E-3</v>
      </c>
      <c r="AA43" s="40">
        <v>2.9227860779893161E-3</v>
      </c>
      <c r="AB43" s="40">
        <v>9.0377693152486789E-5</v>
      </c>
      <c r="AC43" s="41">
        <v>1.7790335042016736</v>
      </c>
      <c r="AD43" s="42">
        <v>34706.076945018998</v>
      </c>
      <c r="AE43" s="39">
        <v>0</v>
      </c>
      <c r="AF43" s="40">
        <v>0</v>
      </c>
      <c r="AG43" s="40">
        <v>0</v>
      </c>
      <c r="AH43" s="41">
        <v>0</v>
      </c>
      <c r="AI43" s="42">
        <v>0</v>
      </c>
      <c r="AJ43" s="41">
        <v>102.13477514894986</v>
      </c>
      <c r="AK43" s="30">
        <v>1992484.8839046012</v>
      </c>
      <c r="AL43" s="43">
        <f>+$AL$6*W43/H43*10^6</f>
        <v>466.32792305278275</v>
      </c>
      <c r="AM43" s="30">
        <v>6103099.5</v>
      </c>
      <c r="AN43" s="44">
        <v>0.32647098149138831</v>
      </c>
      <c r="AP43" s="32"/>
      <c r="AR43" s="32"/>
    </row>
    <row r="44" spans="1:44">
      <c r="A44" s="5" t="s">
        <v>997</v>
      </c>
      <c r="B44" s="5" t="s">
        <v>1086</v>
      </c>
      <c r="C44" s="5" t="s">
        <v>1900</v>
      </c>
      <c r="D44" s="29" t="s">
        <v>1901</v>
      </c>
      <c r="E44" s="5" t="s">
        <v>884</v>
      </c>
      <c r="F44" s="30" t="s">
        <v>1153</v>
      </c>
      <c r="G44" s="5" t="s">
        <v>967</v>
      </c>
      <c r="H44" s="31">
        <v>50.4</v>
      </c>
      <c r="I44" s="32">
        <v>311.79000000000002</v>
      </c>
      <c r="J44" s="32">
        <v>310.52069999999998</v>
      </c>
      <c r="K44" s="33">
        <v>0.56999999999999995</v>
      </c>
      <c r="L44" s="33">
        <v>0.57999999999999996</v>
      </c>
      <c r="M44" s="6">
        <v>0.57999999999999996</v>
      </c>
      <c r="N44" s="6">
        <v>0.57999999999999996</v>
      </c>
      <c r="O44" s="6">
        <v>0.42</v>
      </c>
      <c r="P44" s="6">
        <v>0.42</v>
      </c>
      <c r="Q44" s="34">
        <v>177.72030000000001</v>
      </c>
      <c r="R44" s="34">
        <v>180.10200599999996</v>
      </c>
      <c r="S44" s="34">
        <v>8957.1031199999998</v>
      </c>
      <c r="T44" s="34">
        <v>9077.1411023999972</v>
      </c>
      <c r="U44" s="35">
        <v>4.8644105236247894E-4</v>
      </c>
      <c r="V44" s="36">
        <v>4.9473458007194321E-4</v>
      </c>
      <c r="W44" s="36">
        <v>8.2935277094642714E-6</v>
      </c>
      <c r="X44" s="37">
        <v>17.40930789456862</v>
      </c>
      <c r="Y44" s="38">
        <v>345422.77568588528</v>
      </c>
      <c r="Z44" s="39">
        <v>5.2784047398042556E-4</v>
      </c>
      <c r="AA44" s="40">
        <v>5.3701164125164965E-4</v>
      </c>
      <c r="AB44" s="40">
        <v>9.171167271224091E-6</v>
      </c>
      <c r="AC44" s="41">
        <v>0.18052921333826449</v>
      </c>
      <c r="AD44" s="42">
        <v>3581.9288360766764</v>
      </c>
      <c r="AE44" s="39">
        <v>4.3890325151076451E-4</v>
      </c>
      <c r="AF44" s="40">
        <v>4.4622236279628875E-4</v>
      </c>
      <c r="AG44" s="40">
        <v>7.3191112855242415E-6</v>
      </c>
      <c r="AH44" s="41">
        <v>9.4101744775159799E-2</v>
      </c>
      <c r="AI44" s="42">
        <v>1867.0981106182501</v>
      </c>
      <c r="AJ44" s="41">
        <v>17.683938852682044</v>
      </c>
      <c r="AK44" s="30">
        <v>350871.80263258022</v>
      </c>
      <c r="AL44" s="43">
        <f>+$AL$6*W44/H44*10^6</f>
        <v>82.27706060976459</v>
      </c>
      <c r="AM44" s="30">
        <v>1094566.25</v>
      </c>
      <c r="AN44" s="44">
        <v>0.32055784894937173</v>
      </c>
      <c r="AP44" s="32"/>
      <c r="AR44" s="32"/>
    </row>
    <row r="45" spans="1:44">
      <c r="A45" s="5" t="s">
        <v>307</v>
      </c>
      <c r="B45" s="5" t="s">
        <v>607</v>
      </c>
      <c r="C45" s="5" t="s">
        <v>1769</v>
      </c>
      <c r="D45" s="29" t="s">
        <v>1770</v>
      </c>
      <c r="E45" s="5" t="s">
        <v>133</v>
      </c>
      <c r="F45" s="30" t="s">
        <v>1153</v>
      </c>
      <c r="G45" s="5" t="s">
        <v>967</v>
      </c>
      <c r="H45" s="31">
        <v>42.28</v>
      </c>
      <c r="I45" s="32">
        <v>374.01400000000001</v>
      </c>
      <c r="J45" s="32">
        <v>304.35910000000001</v>
      </c>
      <c r="K45" s="33">
        <v>0.78</v>
      </c>
      <c r="L45" s="33">
        <v>1</v>
      </c>
      <c r="M45" s="6">
        <v>0</v>
      </c>
      <c r="N45" s="6">
        <v>0</v>
      </c>
      <c r="O45" s="6">
        <v>1</v>
      </c>
      <c r="P45" s="6">
        <v>1</v>
      </c>
      <c r="Q45" s="34">
        <v>291.73092000000003</v>
      </c>
      <c r="R45" s="34">
        <v>304.35910000000001</v>
      </c>
      <c r="S45" s="34">
        <v>12334.383297600001</v>
      </c>
      <c r="T45" s="34">
        <v>12868.302748</v>
      </c>
      <c r="U45" s="35">
        <v>6.6985389261955128E-4</v>
      </c>
      <c r="V45" s="36">
        <v>7.0136558245052923E-4</v>
      </c>
      <c r="W45" s="36">
        <v>3.1511689830977948E-5</v>
      </c>
      <c r="X45" s="37">
        <v>66.14757070379153</v>
      </c>
      <c r="Y45" s="38">
        <v>1564512.0790868383</v>
      </c>
      <c r="Z45" s="39">
        <v>0</v>
      </c>
      <c r="AA45" s="40">
        <v>0</v>
      </c>
      <c r="AB45" s="40">
        <v>0</v>
      </c>
      <c r="AC45" s="41">
        <v>0</v>
      </c>
      <c r="AD45" s="42">
        <v>0</v>
      </c>
      <c r="AE45" s="39">
        <v>1.4390284294273211E-3</v>
      </c>
      <c r="AF45" s="40">
        <v>1.5061708024935393E-3</v>
      </c>
      <c r="AG45" s="40">
        <v>6.7142373066218178E-5</v>
      </c>
      <c r="AH45" s="41">
        <v>0.86324885732670964</v>
      </c>
      <c r="AI45" s="42">
        <v>20417.428035163426</v>
      </c>
      <c r="AJ45" s="41">
        <v>67.01081956111824</v>
      </c>
      <c r="AK45" s="30">
        <v>1584929.5071220016</v>
      </c>
      <c r="AL45" s="43">
        <f>+$AL$6*W45/H45*10^6</f>
        <v>372.65479932566166</v>
      </c>
      <c r="AM45" s="30">
        <v>5389362.5</v>
      </c>
      <c r="AN45" s="44">
        <v>0.29408478407641009</v>
      </c>
      <c r="AP45" s="32"/>
      <c r="AR45" s="32"/>
    </row>
    <row r="46" spans="1:44">
      <c r="A46" s="5" t="s">
        <v>1212</v>
      </c>
      <c r="B46" s="5" t="s">
        <v>382</v>
      </c>
      <c r="C46" s="5" t="s">
        <v>1819</v>
      </c>
      <c r="D46" s="29" t="s">
        <v>1820</v>
      </c>
      <c r="E46" s="5" t="s">
        <v>734</v>
      </c>
      <c r="F46" s="30" t="s">
        <v>1153</v>
      </c>
      <c r="G46" s="5" t="s">
        <v>969</v>
      </c>
      <c r="H46" s="31">
        <v>44.69</v>
      </c>
      <c r="I46" s="32">
        <v>427.05200000000002</v>
      </c>
      <c r="J46" s="32">
        <v>431.73499999999996</v>
      </c>
      <c r="K46" s="33">
        <v>1</v>
      </c>
      <c r="L46" s="33">
        <v>1</v>
      </c>
      <c r="M46" s="6">
        <v>0.39</v>
      </c>
      <c r="N46" s="6">
        <v>0.39</v>
      </c>
      <c r="O46" s="6">
        <v>0.61</v>
      </c>
      <c r="P46" s="6">
        <v>0.61</v>
      </c>
      <c r="Q46" s="34">
        <v>427.05200000000002</v>
      </c>
      <c r="R46" s="34">
        <v>431.73499999999996</v>
      </c>
      <c r="S46" s="34">
        <v>19084.953880000001</v>
      </c>
      <c r="T46" s="34">
        <v>19294.237149999997</v>
      </c>
      <c r="U46" s="35">
        <v>1.0364628971332615E-3</v>
      </c>
      <c r="V46" s="36">
        <v>1.0516005211916224E-3</v>
      </c>
      <c r="W46" s="36">
        <v>1.5137624058360897E-5</v>
      </c>
      <c r="X46" s="37">
        <v>31.776050826175819</v>
      </c>
      <c r="Y46" s="38">
        <v>711032.68798782327</v>
      </c>
      <c r="Z46" s="39">
        <v>7.5624556771268503E-4</v>
      </c>
      <c r="AA46" s="40">
        <v>7.6753615032498594E-4</v>
      </c>
      <c r="AB46" s="40">
        <v>1.1290582612300914E-5</v>
      </c>
      <c r="AC46" s="41">
        <v>0.22224869930404387</v>
      </c>
      <c r="AD46" s="42">
        <v>4973.1192504820738</v>
      </c>
      <c r="AE46" s="39">
        <v>1.3582286387932825E-3</v>
      </c>
      <c r="AF46" s="40">
        <v>1.3775596133143492E-3</v>
      </c>
      <c r="AG46" s="40">
        <v>1.9330974521066619E-5</v>
      </c>
      <c r="AH46" s="41">
        <v>0.24853815711673988</v>
      </c>
      <c r="AI46" s="42">
        <v>5561.3819001284373</v>
      </c>
      <c r="AJ46" s="41">
        <v>32.246837682596599</v>
      </c>
      <c r="AK46" s="30">
        <v>721567.18913843378</v>
      </c>
      <c r="AL46" s="43">
        <f>+$AL$6*W46/H46*10^6</f>
        <v>169.36254260864732</v>
      </c>
      <c r="AM46" s="30">
        <v>2538698.5</v>
      </c>
      <c r="AN46" s="44">
        <v>0.28422720899643411</v>
      </c>
      <c r="AP46" s="32"/>
      <c r="AR46" s="32"/>
    </row>
    <row r="47" spans="1:44">
      <c r="A47" s="5" t="s">
        <v>809</v>
      </c>
      <c r="B47" s="5" t="s">
        <v>1588</v>
      </c>
      <c r="C47" s="5" t="s">
        <v>1911</v>
      </c>
      <c r="D47" s="29" t="s">
        <v>1912</v>
      </c>
      <c r="E47" s="5" t="s">
        <v>666</v>
      </c>
      <c r="F47" s="30" t="s">
        <v>1156</v>
      </c>
      <c r="G47" s="5" t="s">
        <v>969</v>
      </c>
      <c r="H47" s="31">
        <v>228.33</v>
      </c>
      <c r="I47" s="32">
        <v>65.352000000000004</v>
      </c>
      <c r="J47" s="32">
        <v>65.744329999999991</v>
      </c>
      <c r="K47" s="33">
        <v>1</v>
      </c>
      <c r="L47" s="33">
        <v>1</v>
      </c>
      <c r="M47" s="6">
        <v>1</v>
      </c>
      <c r="N47" s="6">
        <v>1</v>
      </c>
      <c r="O47" s="6">
        <v>0</v>
      </c>
      <c r="P47" s="6">
        <v>0</v>
      </c>
      <c r="Q47" s="34">
        <v>65.352000000000004</v>
      </c>
      <c r="R47" s="34">
        <v>65.744329999999991</v>
      </c>
      <c r="S47" s="34">
        <v>14921.822160000002</v>
      </c>
      <c r="T47" s="34">
        <v>15011.402868899999</v>
      </c>
      <c r="U47" s="35">
        <v>8.1037214570732323E-4</v>
      </c>
      <c r="V47" s="36">
        <v>8.1817171407332144E-4</v>
      </c>
      <c r="W47" s="36">
        <v>7.7995683659982116E-6</v>
      </c>
      <c r="X47" s="37">
        <v>16.37241616416707</v>
      </c>
      <c r="Y47" s="38">
        <v>71705.059186997198</v>
      </c>
      <c r="Z47" s="39">
        <v>1.5161039533739763E-3</v>
      </c>
      <c r="AA47" s="40">
        <v>1.5311858279168109E-3</v>
      </c>
      <c r="AB47" s="40">
        <v>1.508187454283454E-5</v>
      </c>
      <c r="AC47" s="41">
        <v>0.29687812536439662</v>
      </c>
      <c r="AD47" s="42">
        <v>1300.2151507221854</v>
      </c>
      <c r="AE47" s="39">
        <v>0</v>
      </c>
      <c r="AF47" s="40">
        <v>0</v>
      </c>
      <c r="AG47" s="40">
        <v>0</v>
      </c>
      <c r="AH47" s="41">
        <v>0</v>
      </c>
      <c r="AI47" s="42">
        <v>0</v>
      </c>
      <c r="AJ47" s="41">
        <v>16.669294289531468</v>
      </c>
      <c r="AK47" s="30">
        <v>73005.274337719384</v>
      </c>
      <c r="AL47" s="43">
        <f>+$AL$6*W47/H47*10^6</f>
        <v>17.079596124027091</v>
      </c>
      <c r="AM47" s="30">
        <v>258121.296875</v>
      </c>
      <c r="AN47" s="44">
        <v>0.28283320757168495</v>
      </c>
      <c r="AP47" s="32"/>
      <c r="AR47" s="32"/>
    </row>
    <row r="48" spans="1:44">
      <c r="A48" s="5" t="s">
        <v>297</v>
      </c>
      <c r="B48" s="5" t="s">
        <v>597</v>
      </c>
      <c r="C48" s="5" t="s">
        <v>1823</v>
      </c>
      <c r="D48" s="29" t="s">
        <v>648</v>
      </c>
      <c r="E48" s="5" t="s">
        <v>123</v>
      </c>
      <c r="F48" s="30" t="s">
        <v>1153</v>
      </c>
      <c r="G48" s="5" t="s">
        <v>967</v>
      </c>
      <c r="H48" s="31">
        <v>72.23</v>
      </c>
      <c r="I48" s="32">
        <v>185.64</v>
      </c>
      <c r="J48" s="32">
        <v>162.7739</v>
      </c>
      <c r="K48" s="33">
        <v>0.86</v>
      </c>
      <c r="L48" s="33">
        <v>1</v>
      </c>
      <c r="M48" s="6">
        <v>1</v>
      </c>
      <c r="N48" s="6">
        <v>1</v>
      </c>
      <c r="O48" s="6">
        <v>0</v>
      </c>
      <c r="P48" s="6">
        <v>0</v>
      </c>
      <c r="Q48" s="34">
        <v>159.65039999999999</v>
      </c>
      <c r="R48" s="34">
        <v>162.7739</v>
      </c>
      <c r="S48" s="34">
        <v>11531.548392000001</v>
      </c>
      <c r="T48" s="34">
        <v>11757.158797</v>
      </c>
      <c r="U48" s="35">
        <v>6.2625365143427448E-4</v>
      </c>
      <c r="V48" s="36">
        <v>6.4080451704502184E-4</v>
      </c>
      <c r="W48" s="36">
        <v>1.4550865610747361E-5</v>
      </c>
      <c r="X48" s="37">
        <v>30.544360424685259</v>
      </c>
      <c r="Y48" s="38">
        <v>422876.37304008385</v>
      </c>
      <c r="Z48" s="39">
        <v>1.1716415004931623E-3</v>
      </c>
      <c r="AA48" s="40">
        <v>1.1992480039177734E-3</v>
      </c>
      <c r="AB48" s="40">
        <v>2.7606503424611141E-5</v>
      </c>
      <c r="AC48" s="41">
        <v>0.54341832384875488</v>
      </c>
      <c r="AD48" s="42">
        <v>7523.443497836839</v>
      </c>
      <c r="AE48" s="39">
        <v>0</v>
      </c>
      <c r="AF48" s="40">
        <v>0</v>
      </c>
      <c r="AG48" s="40">
        <v>0</v>
      </c>
      <c r="AH48" s="41">
        <v>0</v>
      </c>
      <c r="AI48" s="42">
        <v>0</v>
      </c>
      <c r="AJ48" s="41">
        <v>31.087778748534014</v>
      </c>
      <c r="AK48" s="30">
        <v>430399.81653792068</v>
      </c>
      <c r="AL48" s="43">
        <f>+$AL$6*W48/H48*10^6</f>
        <v>100.72591451438018</v>
      </c>
      <c r="AM48" s="30">
        <v>1540220.5</v>
      </c>
      <c r="AN48" s="44">
        <v>0.27944038956624762</v>
      </c>
      <c r="AP48" s="32"/>
      <c r="AR48" s="32"/>
    </row>
    <row r="49" spans="1:44">
      <c r="A49" s="5" t="s">
        <v>1402</v>
      </c>
      <c r="B49" s="5" t="s">
        <v>1405</v>
      </c>
      <c r="C49" s="5" t="s">
        <v>1850</v>
      </c>
      <c r="D49" s="29" t="s">
        <v>1406</v>
      </c>
      <c r="E49" s="5" t="s">
        <v>1528</v>
      </c>
      <c r="F49" s="30" t="s">
        <v>1147</v>
      </c>
      <c r="G49" s="5" t="s">
        <v>967</v>
      </c>
      <c r="H49" s="31">
        <v>64.599999999999994</v>
      </c>
      <c r="I49" s="32">
        <v>210.94200000000001</v>
      </c>
      <c r="J49" s="32">
        <v>206.77699999999999</v>
      </c>
      <c r="K49" s="33">
        <v>0.88</v>
      </c>
      <c r="L49" s="33">
        <v>0.91</v>
      </c>
      <c r="M49" s="6">
        <v>0.48</v>
      </c>
      <c r="N49" s="6">
        <v>0.48</v>
      </c>
      <c r="O49" s="6">
        <v>0.52</v>
      </c>
      <c r="P49" s="6">
        <v>0.52</v>
      </c>
      <c r="Q49" s="34">
        <v>185.62896000000001</v>
      </c>
      <c r="R49" s="34">
        <v>188.16707</v>
      </c>
      <c r="S49" s="34">
        <v>11991.630815999999</v>
      </c>
      <c r="T49" s="34">
        <v>12155.592721999999</v>
      </c>
      <c r="U49" s="35">
        <v>6.5123974074302851E-4</v>
      </c>
      <c r="V49" s="36">
        <v>6.6252049990213238E-4</v>
      </c>
      <c r="W49" s="36">
        <v>1.1280759159103867E-5</v>
      </c>
      <c r="X49" s="37">
        <v>23.679936495684565</v>
      </c>
      <c r="Y49" s="38">
        <v>366562.48445332143</v>
      </c>
      <c r="Z49" s="39">
        <v>5.8482591284405325E-4</v>
      </c>
      <c r="AA49" s="40">
        <v>5.9514665650067409E-4</v>
      </c>
      <c r="AB49" s="40">
        <v>1.0320743656620844E-5</v>
      </c>
      <c r="AC49" s="41">
        <v>0.20315797087702236</v>
      </c>
      <c r="AD49" s="42">
        <v>3144.8602302944641</v>
      </c>
      <c r="AE49" s="39">
        <v>7.2750088645654365E-4</v>
      </c>
      <c r="AF49" s="40">
        <v>7.3983085304835041E-4</v>
      </c>
      <c r="AG49" s="40">
        <v>1.2329966591806754E-5</v>
      </c>
      <c r="AH49" s="41">
        <v>0.15852626419319979</v>
      </c>
      <c r="AI49" s="42">
        <v>2453.9669379752295</v>
      </c>
      <c r="AJ49" s="41">
        <v>24.041620730754786</v>
      </c>
      <c r="AK49" s="30">
        <v>372161.3116215911</v>
      </c>
      <c r="AL49" s="43">
        <f>+$AL$6*W49/H49*10^6</f>
        <v>87.312377392444802</v>
      </c>
      <c r="AM49" s="30">
        <v>1338032.5</v>
      </c>
      <c r="AN49" s="44">
        <v>0.27814071154593861</v>
      </c>
      <c r="AP49" s="32"/>
      <c r="AR49" s="32"/>
    </row>
    <row r="50" spans="1:44">
      <c r="A50" s="5" t="s">
        <v>1219</v>
      </c>
      <c r="B50" s="5" t="s">
        <v>389</v>
      </c>
      <c r="C50" s="5" t="s">
        <v>1793</v>
      </c>
      <c r="D50" s="29" t="s">
        <v>1794</v>
      </c>
      <c r="E50" s="5" t="s">
        <v>740</v>
      </c>
      <c r="F50" s="30" t="s">
        <v>1161</v>
      </c>
      <c r="G50" s="5" t="s">
        <v>967</v>
      </c>
      <c r="H50" s="31">
        <v>51.16</v>
      </c>
      <c r="I50" s="32">
        <v>593.428</v>
      </c>
      <c r="J50" s="32">
        <v>593.45749999999998</v>
      </c>
      <c r="K50" s="33">
        <v>0.76</v>
      </c>
      <c r="L50" s="33">
        <v>0.77</v>
      </c>
      <c r="M50" s="6">
        <v>0</v>
      </c>
      <c r="N50" s="6">
        <v>0</v>
      </c>
      <c r="O50" s="6">
        <v>1</v>
      </c>
      <c r="P50" s="6">
        <v>1</v>
      </c>
      <c r="Q50" s="34">
        <v>451.00528000000003</v>
      </c>
      <c r="R50" s="34">
        <v>456.96227499999998</v>
      </c>
      <c r="S50" s="34">
        <v>23073.430124800001</v>
      </c>
      <c r="T50" s="34">
        <v>23378.189988999999</v>
      </c>
      <c r="U50" s="35">
        <v>1.2530684844364989E-3</v>
      </c>
      <c r="V50" s="36">
        <v>1.2741896238664802E-3</v>
      </c>
      <c r="W50" s="36">
        <v>2.1121139429981263E-5</v>
      </c>
      <c r="X50" s="37">
        <v>44.336310470277503</v>
      </c>
      <c r="Y50" s="38">
        <v>866620.61122512713</v>
      </c>
      <c r="Z50" s="39">
        <v>0</v>
      </c>
      <c r="AA50" s="40">
        <v>0</v>
      </c>
      <c r="AB50" s="40">
        <v>0</v>
      </c>
      <c r="AC50" s="41">
        <v>0</v>
      </c>
      <c r="AD50" s="42">
        <v>0</v>
      </c>
      <c r="AE50" s="39">
        <v>2.6919320660687279E-3</v>
      </c>
      <c r="AF50" s="40">
        <v>2.7363008056405231E-3</v>
      </c>
      <c r="AG50" s="40">
        <v>4.4368739571795223E-5</v>
      </c>
      <c r="AH50" s="41">
        <v>0.57044846625549761</v>
      </c>
      <c r="AI50" s="42">
        <v>11150.282764962816</v>
      </c>
      <c r="AJ50" s="41">
        <v>44.906758936533002</v>
      </c>
      <c r="AK50" s="30">
        <v>877770.89399008988</v>
      </c>
      <c r="AL50" s="43">
        <f>+$AL$6*W50/H50*10^6</f>
        <v>206.42239474180283</v>
      </c>
      <c r="AM50" s="30">
        <v>3300817.5</v>
      </c>
      <c r="AN50" s="44">
        <v>0.26592530304692397</v>
      </c>
      <c r="AP50" s="32"/>
      <c r="AR50" s="32"/>
    </row>
    <row r="51" spans="1:44">
      <c r="A51" s="5" t="s">
        <v>1472</v>
      </c>
      <c r="B51" s="5" t="s">
        <v>1466</v>
      </c>
      <c r="C51" s="5" t="s">
        <v>1767</v>
      </c>
      <c r="D51" s="29" t="s">
        <v>1768</v>
      </c>
      <c r="E51" s="5" t="s">
        <v>1476</v>
      </c>
      <c r="F51" s="30" t="s">
        <v>1150</v>
      </c>
      <c r="G51" s="5" t="s">
        <v>969</v>
      </c>
      <c r="H51" s="31">
        <v>191.01</v>
      </c>
      <c r="I51" s="32">
        <v>223.899</v>
      </c>
      <c r="J51" s="32">
        <v>226.15459999999999</v>
      </c>
      <c r="K51" s="33">
        <v>1</v>
      </c>
      <c r="L51" s="33">
        <v>1</v>
      </c>
      <c r="M51" s="6">
        <v>1</v>
      </c>
      <c r="N51" s="6">
        <v>1</v>
      </c>
      <c r="O51" s="6">
        <v>0</v>
      </c>
      <c r="P51" s="6">
        <v>0</v>
      </c>
      <c r="Q51" s="34">
        <v>223.899</v>
      </c>
      <c r="R51" s="34">
        <v>226.15459999999999</v>
      </c>
      <c r="S51" s="34">
        <v>42766.947990000001</v>
      </c>
      <c r="T51" s="34">
        <v>43197.790145999992</v>
      </c>
      <c r="U51" s="35">
        <v>2.3225811858898198E-3</v>
      </c>
      <c r="V51" s="36">
        <v>2.3544241878389023E-3</v>
      </c>
      <c r="W51" s="36">
        <v>3.1843001949082538E-5</v>
      </c>
      <c r="X51" s="37">
        <v>66.843042507268152</v>
      </c>
      <c r="Y51" s="38">
        <v>349945.25159556128</v>
      </c>
      <c r="Z51" s="39">
        <v>4.3452561105565557E-3</v>
      </c>
      <c r="AA51" s="40">
        <v>4.4062400194397368E-3</v>
      </c>
      <c r="AB51" s="40">
        <v>6.0983908883181087E-5</v>
      </c>
      <c r="AC51" s="41">
        <v>1.2004335731086979</v>
      </c>
      <c r="AD51" s="42">
        <v>6284.6634893916444</v>
      </c>
      <c r="AE51" s="39">
        <v>0</v>
      </c>
      <c r="AF51" s="40">
        <v>0</v>
      </c>
      <c r="AG51" s="40">
        <v>0</v>
      </c>
      <c r="AH51" s="41">
        <v>0</v>
      </c>
      <c r="AI51" s="42">
        <v>0</v>
      </c>
      <c r="AJ51" s="41">
        <v>68.043476080376848</v>
      </c>
      <c r="AK51" s="30">
        <v>356229.9150849529</v>
      </c>
      <c r="AL51" s="43">
        <f>+$AL$6*W51/H51*10^6</f>
        <v>83.354279747349722</v>
      </c>
      <c r="AM51" s="30">
        <v>1382337.25</v>
      </c>
      <c r="AN51" s="44">
        <v>0.25770116162676865</v>
      </c>
      <c r="AP51" s="32"/>
      <c r="AR51" s="32"/>
    </row>
    <row r="52" spans="1:44">
      <c r="A52" s="5" t="s">
        <v>854</v>
      </c>
      <c r="B52" s="5" t="s">
        <v>1135</v>
      </c>
      <c r="C52" s="5" t="s">
        <v>1755</v>
      </c>
      <c r="D52" s="29" t="s">
        <v>1756</v>
      </c>
      <c r="E52" s="5" t="s">
        <v>1060</v>
      </c>
      <c r="F52" s="30" t="s">
        <v>1167</v>
      </c>
      <c r="G52" s="5" t="s">
        <v>967</v>
      </c>
      <c r="H52" s="31">
        <v>102.82</v>
      </c>
      <c r="I52" s="32">
        <v>901.24699999999996</v>
      </c>
      <c r="J52" s="32">
        <v>698.44830000000002</v>
      </c>
      <c r="K52" s="33">
        <v>0.77</v>
      </c>
      <c r="L52" s="33">
        <v>1</v>
      </c>
      <c r="M52" s="6">
        <v>0.56999999999999995</v>
      </c>
      <c r="N52" s="6">
        <v>0.56999999999999995</v>
      </c>
      <c r="O52" s="6">
        <v>0.43</v>
      </c>
      <c r="P52" s="6">
        <v>0.43</v>
      </c>
      <c r="Q52" s="34">
        <v>693.96019000000001</v>
      </c>
      <c r="R52" s="34">
        <v>698.44830000000002</v>
      </c>
      <c r="S52" s="34">
        <v>71352.98673579999</v>
      </c>
      <c r="T52" s="34">
        <v>71814.454205999995</v>
      </c>
      <c r="U52" s="35">
        <v>3.8750276168494696E-3</v>
      </c>
      <c r="V52" s="36">
        <v>3.9141281868260601E-3</v>
      </c>
      <c r="W52" s="36">
        <v>3.9100569976590477E-5</v>
      </c>
      <c r="X52" s="37">
        <v>82.077721980573301</v>
      </c>
      <c r="Y52" s="38">
        <v>798266.11535278463</v>
      </c>
      <c r="Z52" s="39">
        <v>4.1323217865542987E-3</v>
      </c>
      <c r="AA52" s="40">
        <v>4.175354363857897E-3</v>
      </c>
      <c r="AB52" s="40">
        <v>4.3032577303598295E-5</v>
      </c>
      <c r="AC52" s="41">
        <v>0.84707181744595561</v>
      </c>
      <c r="AD52" s="42">
        <v>8238.3954235163947</v>
      </c>
      <c r="AE52" s="39">
        <v>3.5795838999635021E-3</v>
      </c>
      <c r="AF52" s="40">
        <v>3.6143755383534139E-3</v>
      </c>
      <c r="AG52" s="40">
        <v>3.4791638389911842E-5</v>
      </c>
      <c r="AH52" s="41">
        <v>0.4473157666768055</v>
      </c>
      <c r="AI52" s="42">
        <v>4350.4742917409603</v>
      </c>
      <c r="AJ52" s="41">
        <v>83.372109564696061</v>
      </c>
      <c r="AK52" s="30">
        <v>810854.98506804195</v>
      </c>
      <c r="AL52" s="43">
        <f>+$AL$6*W52/H52*10^6</f>
        <v>190.14087714739583</v>
      </c>
      <c r="AM52" s="30">
        <v>3153159.25</v>
      </c>
      <c r="AN52" s="44">
        <v>0.25715636946279891</v>
      </c>
      <c r="AP52" s="32"/>
      <c r="AR52" s="32"/>
    </row>
    <row r="53" spans="1:44">
      <c r="A53" s="5" t="s">
        <v>280</v>
      </c>
      <c r="B53" s="5" t="s">
        <v>580</v>
      </c>
      <c r="C53" s="5" t="s">
        <v>1885</v>
      </c>
      <c r="D53" s="29" t="s">
        <v>1886</v>
      </c>
      <c r="E53" s="5" t="s">
        <v>1531</v>
      </c>
      <c r="F53" s="30" t="s">
        <v>1153</v>
      </c>
      <c r="G53" s="5" t="s">
        <v>967</v>
      </c>
      <c r="H53" s="31">
        <v>109.35</v>
      </c>
      <c r="I53" s="32">
        <v>119.655</v>
      </c>
      <c r="J53" s="32">
        <v>119.66659999999999</v>
      </c>
      <c r="K53" s="33">
        <v>0.81</v>
      </c>
      <c r="L53" s="33">
        <v>0.82</v>
      </c>
      <c r="M53" s="6">
        <v>0</v>
      </c>
      <c r="N53" s="6">
        <v>0</v>
      </c>
      <c r="O53" s="6">
        <v>1</v>
      </c>
      <c r="P53" s="6">
        <v>1</v>
      </c>
      <c r="Q53" s="34">
        <v>96.920550000000006</v>
      </c>
      <c r="R53" s="34">
        <v>98.12661199999998</v>
      </c>
      <c r="S53" s="34">
        <v>10598.2621425</v>
      </c>
      <c r="T53" s="34">
        <v>10730.145022199997</v>
      </c>
      <c r="U53" s="35">
        <v>5.7556887765417627E-4</v>
      </c>
      <c r="V53" s="36">
        <v>5.8482882790767451E-4</v>
      </c>
      <c r="W53" s="36">
        <v>9.2599502534982444E-6</v>
      </c>
      <c r="X53" s="37">
        <v>19.437967858668088</v>
      </c>
      <c r="Y53" s="38">
        <v>177759.19395215446</v>
      </c>
      <c r="Z53" s="39">
        <v>0</v>
      </c>
      <c r="AA53" s="40">
        <v>0</v>
      </c>
      <c r="AB53" s="40">
        <v>0</v>
      </c>
      <c r="AC53" s="41">
        <v>0</v>
      </c>
      <c r="AD53" s="42">
        <v>0</v>
      </c>
      <c r="AE53" s="39">
        <v>1.2364785622114044E-3</v>
      </c>
      <c r="AF53" s="40">
        <v>1.2559100804082999E-3</v>
      </c>
      <c r="AG53" s="40">
        <v>1.9431518196895425E-5</v>
      </c>
      <c r="AH53" s="41">
        <v>0.24983084620869442</v>
      </c>
      <c r="AI53" s="42">
        <v>2284.689951611289</v>
      </c>
      <c r="AJ53" s="41">
        <v>19.687798704876784</v>
      </c>
      <c r="AK53" s="30">
        <v>180043.88390376573</v>
      </c>
      <c r="AL53" s="43">
        <f>+$AL$6*W53/H53*10^6</f>
        <v>42.340879074066045</v>
      </c>
      <c r="AM53" s="30">
        <v>702297.4375</v>
      </c>
      <c r="AN53" s="44">
        <v>0.25636414756783976</v>
      </c>
      <c r="AP53" s="32"/>
      <c r="AR53" s="32"/>
    </row>
    <row r="54" spans="1:44">
      <c r="A54" s="5" t="s">
        <v>1201</v>
      </c>
      <c r="B54" s="5" t="s">
        <v>371</v>
      </c>
      <c r="C54" s="5" t="s">
        <v>1826</v>
      </c>
      <c r="D54" s="29" t="s">
        <v>1827</v>
      </c>
      <c r="E54" s="5" t="s">
        <v>726</v>
      </c>
      <c r="F54" s="30" t="s">
        <v>1159</v>
      </c>
      <c r="G54" s="5" t="s">
        <v>967</v>
      </c>
      <c r="H54" s="31">
        <v>31.71</v>
      </c>
      <c r="I54" s="32">
        <v>352.77100000000002</v>
      </c>
      <c r="J54" s="32">
        <v>352.77139999999997</v>
      </c>
      <c r="K54" s="33">
        <v>0.83</v>
      </c>
      <c r="L54" s="33">
        <v>0.85</v>
      </c>
      <c r="M54" s="6">
        <v>0</v>
      </c>
      <c r="N54" s="6">
        <v>0</v>
      </c>
      <c r="O54" s="6">
        <v>1</v>
      </c>
      <c r="P54" s="6">
        <v>1</v>
      </c>
      <c r="Q54" s="34">
        <v>292.79993000000002</v>
      </c>
      <c r="R54" s="34">
        <v>299.85568999999998</v>
      </c>
      <c r="S54" s="34">
        <v>9284.6857803000003</v>
      </c>
      <c r="T54" s="34">
        <v>9508.4239299000001</v>
      </c>
      <c r="U54" s="35">
        <v>5.0423136379210024E-4</v>
      </c>
      <c r="V54" s="36">
        <v>5.18240938092426E-4</v>
      </c>
      <c r="W54" s="36">
        <v>1.4009574300325768E-5</v>
      </c>
      <c r="X54" s="37">
        <v>29.408112085751</v>
      </c>
      <c r="Y54" s="38">
        <v>927408.13893885212</v>
      </c>
      <c r="Z54" s="39">
        <v>0</v>
      </c>
      <c r="AA54" s="40">
        <v>0</v>
      </c>
      <c r="AB54" s="40">
        <v>0</v>
      </c>
      <c r="AC54" s="41">
        <v>0</v>
      </c>
      <c r="AD54" s="42">
        <v>0</v>
      </c>
      <c r="AE54" s="39">
        <v>1.0832261714090749E-3</v>
      </c>
      <c r="AF54" s="40">
        <v>1.1129137059797637E-3</v>
      </c>
      <c r="AG54" s="40">
        <v>2.9687534570688743E-5</v>
      </c>
      <c r="AH54" s="41">
        <v>0.38169235200726781</v>
      </c>
      <c r="AI54" s="42">
        <v>12036.971050371107</v>
      </c>
      <c r="AJ54" s="41">
        <v>29.789804437758267</v>
      </c>
      <c r="AK54" s="30">
        <v>939445.10998922319</v>
      </c>
      <c r="AL54" s="43">
        <f>+$AL$6*W54/H54*10^6</f>
        <v>220.90151845357568</v>
      </c>
      <c r="AM54" s="30">
        <v>3712986</v>
      </c>
      <c r="AN54" s="44">
        <v>0.25301606577272934</v>
      </c>
      <c r="AP54" s="32"/>
      <c r="AR54" s="32"/>
    </row>
    <row r="55" spans="1:44">
      <c r="A55" s="5" t="s">
        <v>1011</v>
      </c>
      <c r="B55" s="5" t="s">
        <v>1099</v>
      </c>
      <c r="C55" s="5" t="s">
        <v>1738</v>
      </c>
      <c r="D55" s="29" t="s">
        <v>1739</v>
      </c>
      <c r="E55" s="5" t="s">
        <v>896</v>
      </c>
      <c r="F55" s="30" t="s">
        <v>1164</v>
      </c>
      <c r="G55" s="5" t="s">
        <v>969</v>
      </c>
      <c r="H55" s="31">
        <v>25.86</v>
      </c>
      <c r="I55" s="32">
        <v>10075.929</v>
      </c>
      <c r="J55" s="32">
        <v>10096.43</v>
      </c>
      <c r="K55" s="33">
        <v>1</v>
      </c>
      <c r="L55" s="33">
        <v>1</v>
      </c>
      <c r="M55" s="6">
        <v>0</v>
      </c>
      <c r="N55" s="6">
        <v>0</v>
      </c>
      <c r="O55" s="6">
        <v>1</v>
      </c>
      <c r="P55" s="6">
        <v>1</v>
      </c>
      <c r="Q55" s="34">
        <v>10075.929</v>
      </c>
      <c r="R55" s="34">
        <v>10096.43</v>
      </c>
      <c r="S55" s="34">
        <v>260563.52393999998</v>
      </c>
      <c r="T55" s="34">
        <v>261093.67980000001</v>
      </c>
      <c r="U55" s="35">
        <v>1.4150645928105556E-2</v>
      </c>
      <c r="V55" s="36">
        <v>1.4230479682764686E-2</v>
      </c>
      <c r="W55" s="36">
        <v>7.9833754659129966E-5</v>
      </c>
      <c r="X55" s="37">
        <v>167.58253712159168</v>
      </c>
      <c r="Y55" s="38">
        <v>6480376.5321574509</v>
      </c>
      <c r="Z55" s="39">
        <v>0</v>
      </c>
      <c r="AA55" s="40">
        <v>0</v>
      </c>
      <c r="AB55" s="40">
        <v>0</v>
      </c>
      <c r="AC55" s="41">
        <v>0</v>
      </c>
      <c r="AD55" s="42">
        <v>0</v>
      </c>
      <c r="AE55" s="39">
        <v>3.0399437861995497E-2</v>
      </c>
      <c r="AF55" s="40">
        <v>3.0559715988301307E-2</v>
      </c>
      <c r="AG55" s="40">
        <v>1.6027812630580937E-4</v>
      </c>
      <c r="AH55" s="41">
        <v>2.0606943584120945</v>
      </c>
      <c r="AI55" s="42">
        <v>79686.556783143635</v>
      </c>
      <c r="AJ55" s="41">
        <v>169.64323148000378</v>
      </c>
      <c r="AK55" s="30">
        <v>6560063.0889405943</v>
      </c>
      <c r="AL55" s="43">
        <f>+$AL$6*W55/H55*10^6</f>
        <v>1543.5760761626059</v>
      </c>
      <c r="AM55" s="30">
        <v>27260780</v>
      </c>
      <c r="AN55" s="44">
        <v>0.24064106342300529</v>
      </c>
      <c r="AP55" s="32"/>
      <c r="AR55" s="32"/>
    </row>
    <row r="56" spans="1:44">
      <c r="A56" s="5" t="s">
        <v>1465</v>
      </c>
      <c r="B56" s="5" t="s">
        <v>1464</v>
      </c>
      <c r="C56" s="5" t="s">
        <v>1799</v>
      </c>
      <c r="D56" s="29" t="s">
        <v>1800</v>
      </c>
      <c r="E56" s="5" t="s">
        <v>1700</v>
      </c>
      <c r="F56" s="30" t="s">
        <v>1153</v>
      </c>
      <c r="G56" s="5" t="s">
        <v>967</v>
      </c>
      <c r="H56" s="31">
        <v>142.15</v>
      </c>
      <c r="I56" s="32">
        <v>204.19300000000001</v>
      </c>
      <c r="J56" s="32">
        <v>204.19329999999999</v>
      </c>
      <c r="K56" s="33">
        <v>0.72</v>
      </c>
      <c r="L56" s="33">
        <v>0.73</v>
      </c>
      <c r="M56" s="6">
        <v>1</v>
      </c>
      <c r="N56" s="6">
        <v>1</v>
      </c>
      <c r="O56" s="6">
        <v>0</v>
      </c>
      <c r="P56" s="6">
        <v>0</v>
      </c>
      <c r="Q56" s="34">
        <v>147.01895999999999</v>
      </c>
      <c r="R56" s="34">
        <v>149.06110899999999</v>
      </c>
      <c r="S56" s="34">
        <v>20898.745164</v>
      </c>
      <c r="T56" s="34">
        <v>21189.036644349999</v>
      </c>
      <c r="U56" s="35">
        <v>1.1349660101525579E-3</v>
      </c>
      <c r="V56" s="36">
        <v>1.1548734373645266E-3</v>
      </c>
      <c r="W56" s="36">
        <v>1.9907427211968707E-5</v>
      </c>
      <c r="X56" s="37">
        <v>41.788553901662226</v>
      </c>
      <c r="Y56" s="38">
        <v>293975.05382808461</v>
      </c>
      <c r="Z56" s="39">
        <v>2.1233780850592621E-3</v>
      </c>
      <c r="AA56" s="40">
        <v>2.1613138292527981E-3</v>
      </c>
      <c r="AB56" s="40">
        <v>3.7935744193536014E-5</v>
      </c>
      <c r="AC56" s="41">
        <v>0.74674355555032967</v>
      </c>
      <c r="AD56" s="42">
        <v>5253.2082697877568</v>
      </c>
      <c r="AE56" s="39">
        <v>0</v>
      </c>
      <c r="AF56" s="40">
        <v>0</v>
      </c>
      <c r="AG56" s="40">
        <v>0</v>
      </c>
      <c r="AH56" s="41">
        <v>0</v>
      </c>
      <c r="AI56" s="42">
        <v>0</v>
      </c>
      <c r="AJ56" s="41">
        <v>42.535297457212558</v>
      </c>
      <c r="AK56" s="30">
        <v>299228.26209787239</v>
      </c>
      <c r="AL56" s="43">
        <f>+$AL$6*W56/H56*10^6</f>
        <v>70.02260714726944</v>
      </c>
      <c r="AM56" s="30">
        <v>1256854.625</v>
      </c>
      <c r="AN56" s="44">
        <v>0.23807706646890239</v>
      </c>
      <c r="AP56" s="32"/>
      <c r="AR56" s="32"/>
    </row>
    <row r="57" spans="1:44">
      <c r="A57" s="5" t="s">
        <v>1196</v>
      </c>
      <c r="B57" s="5" t="s">
        <v>366</v>
      </c>
      <c r="C57" s="5" t="s">
        <v>1846</v>
      </c>
      <c r="D57" s="29" t="s">
        <v>1847</v>
      </c>
      <c r="E57" s="5" t="s">
        <v>721</v>
      </c>
      <c r="F57" s="30" t="s">
        <v>1156</v>
      </c>
      <c r="G57" s="5" t="s">
        <v>969</v>
      </c>
      <c r="H57" s="31">
        <v>175.7</v>
      </c>
      <c r="I57" s="32">
        <v>132.18799999999999</v>
      </c>
      <c r="J57" s="32">
        <v>132.90219999999999</v>
      </c>
      <c r="K57" s="33">
        <v>1</v>
      </c>
      <c r="L57" s="33">
        <v>1</v>
      </c>
      <c r="M57" s="6">
        <v>1</v>
      </c>
      <c r="N57" s="6">
        <v>1</v>
      </c>
      <c r="O57" s="6">
        <v>0</v>
      </c>
      <c r="P57" s="6">
        <v>0</v>
      </c>
      <c r="Q57" s="34">
        <v>132.18799999999999</v>
      </c>
      <c r="R57" s="34">
        <v>132.90219999999999</v>
      </c>
      <c r="S57" s="34">
        <v>23225.431599999996</v>
      </c>
      <c r="T57" s="34">
        <v>23350.916539999998</v>
      </c>
      <c r="U57" s="35">
        <v>1.2613233584249247E-3</v>
      </c>
      <c r="V57" s="36">
        <v>1.2727031295853061E-3</v>
      </c>
      <c r="W57" s="36">
        <v>1.1379771160381375E-5</v>
      </c>
      <c r="X57" s="37">
        <v>23.887776931730919</v>
      </c>
      <c r="Y57" s="38">
        <v>135957.75146118907</v>
      </c>
      <c r="Z57" s="39">
        <v>2.3597767276685509E-3</v>
      </c>
      <c r="AA57" s="40">
        <v>2.3818288528509972E-3</v>
      </c>
      <c r="AB57" s="40">
        <v>2.2052125182446276E-5</v>
      </c>
      <c r="AC57" s="41">
        <v>0.43408354617139167</v>
      </c>
      <c r="AD57" s="42">
        <v>2470.5950265873175</v>
      </c>
      <c r="AE57" s="39">
        <v>0</v>
      </c>
      <c r="AF57" s="40">
        <v>0</v>
      </c>
      <c r="AG57" s="40">
        <v>0</v>
      </c>
      <c r="AH57" s="41">
        <v>0</v>
      </c>
      <c r="AI57" s="42">
        <v>0</v>
      </c>
      <c r="AJ57" s="41">
        <v>24.321860477902309</v>
      </c>
      <c r="AK57" s="30">
        <v>138428.34648777638</v>
      </c>
      <c r="AL57" s="43">
        <f>+$AL$6*W57/H57*10^6</f>
        <v>32.384095504784796</v>
      </c>
      <c r="AM57" s="30">
        <v>581847.25</v>
      </c>
      <c r="AN57" s="44">
        <v>0.2379118342275853</v>
      </c>
      <c r="AP57" s="32"/>
      <c r="AR57" s="32"/>
    </row>
    <row r="58" spans="1:44">
      <c r="A58" s="5" t="s">
        <v>1013</v>
      </c>
      <c r="B58" s="5" t="s">
        <v>462</v>
      </c>
      <c r="C58" s="5" t="s">
        <v>1717</v>
      </c>
      <c r="D58" s="29" t="s">
        <v>1621</v>
      </c>
      <c r="E58" s="5" t="s">
        <v>1638</v>
      </c>
      <c r="F58" s="30" t="s">
        <v>1151</v>
      </c>
      <c r="G58" s="5" t="s">
        <v>967</v>
      </c>
      <c r="H58" s="31">
        <v>659.56</v>
      </c>
      <c r="I58" s="32">
        <v>341.69200000000001</v>
      </c>
      <c r="J58" s="32">
        <v>343.9289</v>
      </c>
      <c r="K58" s="33">
        <v>0.84</v>
      </c>
      <c r="L58" s="33">
        <v>0.85</v>
      </c>
      <c r="M58" s="6">
        <v>1</v>
      </c>
      <c r="N58" s="6">
        <v>1</v>
      </c>
      <c r="O58" s="6">
        <v>0</v>
      </c>
      <c r="P58" s="6">
        <v>0</v>
      </c>
      <c r="Q58" s="34">
        <v>287.02127999999999</v>
      </c>
      <c r="R58" s="34">
        <v>292.33956499999999</v>
      </c>
      <c r="S58" s="34">
        <v>189307.75543679998</v>
      </c>
      <c r="T58" s="34">
        <v>192815.48349139997</v>
      </c>
      <c r="U58" s="35">
        <v>1.0280898024880145E-2</v>
      </c>
      <c r="V58" s="36">
        <v>1.0509089390630347E-2</v>
      </c>
      <c r="W58" s="36">
        <v>2.2819136575020181E-4</v>
      </c>
      <c r="X58" s="37">
        <v>479.00650777279446</v>
      </c>
      <c r="Y58" s="38">
        <v>726251.60375522252</v>
      </c>
      <c r="Z58" s="39">
        <v>1.92342619651008E-2</v>
      </c>
      <c r="AA58" s="40">
        <v>1.9667471341843594E-2</v>
      </c>
      <c r="AB58" s="40">
        <v>4.3320937674279358E-4</v>
      </c>
      <c r="AC58" s="41">
        <v>8.5274802739147919</v>
      </c>
      <c r="AD58" s="42">
        <v>12929.044020126739</v>
      </c>
      <c r="AE58" s="39">
        <v>0</v>
      </c>
      <c r="AF58" s="40">
        <v>0</v>
      </c>
      <c r="AG58" s="40">
        <v>0</v>
      </c>
      <c r="AH58" s="41">
        <v>0</v>
      </c>
      <c r="AI58" s="42">
        <v>0</v>
      </c>
      <c r="AJ58" s="41">
        <v>487.53398804670928</v>
      </c>
      <c r="AK58" s="30">
        <v>739180.64777534921</v>
      </c>
      <c r="AL58" s="43">
        <f>+$AL$6*W58/H58*10^6</f>
        <v>172.98757182834152</v>
      </c>
      <c r="AM58" s="30">
        <v>3139947.75</v>
      </c>
      <c r="AN58" s="44">
        <v>0.23541176689177365</v>
      </c>
      <c r="AP58" s="32"/>
      <c r="AR58" s="32"/>
    </row>
    <row r="59" spans="1:44">
      <c r="A59" s="5" t="s">
        <v>825</v>
      </c>
      <c r="B59" s="5" t="s">
        <v>183</v>
      </c>
      <c r="C59" s="5" t="s">
        <v>1904</v>
      </c>
      <c r="D59" s="29" t="s">
        <v>1573</v>
      </c>
      <c r="E59" s="5" t="s">
        <v>680</v>
      </c>
      <c r="F59" s="30" t="s">
        <v>1156</v>
      </c>
      <c r="G59" s="5" t="s">
        <v>969</v>
      </c>
      <c r="H59" s="31">
        <v>47.62</v>
      </c>
      <c r="I59" s="32">
        <v>232.53899999999999</v>
      </c>
      <c r="J59" s="32">
        <v>234.869</v>
      </c>
      <c r="K59" s="33">
        <v>1</v>
      </c>
      <c r="L59" s="33">
        <v>1</v>
      </c>
      <c r="M59" s="6">
        <v>1</v>
      </c>
      <c r="N59" s="6">
        <v>1</v>
      </c>
      <c r="O59" s="6">
        <v>0</v>
      </c>
      <c r="P59" s="6">
        <v>0</v>
      </c>
      <c r="Q59" s="34">
        <v>232.53899999999999</v>
      </c>
      <c r="R59" s="34">
        <v>234.869</v>
      </c>
      <c r="S59" s="34">
        <v>11073.507179999999</v>
      </c>
      <c r="T59" s="34">
        <v>11184.46178</v>
      </c>
      <c r="U59" s="35">
        <v>6.0137841596967858E-4</v>
      </c>
      <c r="V59" s="36">
        <v>6.0959061224640236E-4</v>
      </c>
      <c r="W59" s="36">
        <v>8.2121962767237782E-6</v>
      </c>
      <c r="X59" s="37">
        <v>17.238581515675612</v>
      </c>
      <c r="Y59" s="38">
        <v>362002.9717697525</v>
      </c>
      <c r="Z59" s="39">
        <v>1.1251030761053587E-3</v>
      </c>
      <c r="AA59" s="40">
        <v>1.140832040814327E-3</v>
      </c>
      <c r="AB59" s="40">
        <v>1.5728964708968318E-5</v>
      </c>
      <c r="AC59" s="41">
        <v>0.30961572737255039</v>
      </c>
      <c r="AD59" s="42">
        <v>6501.8002388187815</v>
      </c>
      <c r="AE59" s="39">
        <v>0</v>
      </c>
      <c r="AF59" s="40">
        <v>0</v>
      </c>
      <c r="AG59" s="40">
        <v>0</v>
      </c>
      <c r="AH59" s="41">
        <v>0</v>
      </c>
      <c r="AI59" s="42">
        <v>0</v>
      </c>
      <c r="AJ59" s="41">
        <v>17.548197243048161</v>
      </c>
      <c r="AK59" s="30">
        <v>368504.77200857131</v>
      </c>
      <c r="AL59" s="43">
        <f>+$AL$6*W59/H59*10^6</f>
        <v>86.226336378872091</v>
      </c>
      <c r="AM59" s="30">
        <v>1574673.75</v>
      </c>
      <c r="AN59" s="44">
        <v>0.23401975933654276</v>
      </c>
      <c r="AP59" s="32"/>
      <c r="AR59" s="32"/>
    </row>
    <row r="60" spans="1:44">
      <c r="A60" s="5" t="s">
        <v>1299</v>
      </c>
      <c r="B60" s="5" t="s">
        <v>471</v>
      </c>
      <c r="C60" s="5" t="s">
        <v>1797</v>
      </c>
      <c r="D60" s="29" t="s">
        <v>1798</v>
      </c>
      <c r="E60" s="5" t="s">
        <v>7</v>
      </c>
      <c r="F60" s="30" t="s">
        <v>1160</v>
      </c>
      <c r="G60" s="5" t="s">
        <v>967</v>
      </c>
      <c r="H60" s="31">
        <v>59.42</v>
      </c>
      <c r="I60" s="32">
        <v>287.38200000000001</v>
      </c>
      <c r="J60" s="32">
        <v>287.05779999999999</v>
      </c>
      <c r="K60" s="33">
        <v>0.85</v>
      </c>
      <c r="L60" s="33">
        <v>0.87</v>
      </c>
      <c r="M60" s="6">
        <v>0</v>
      </c>
      <c r="N60" s="6">
        <v>0</v>
      </c>
      <c r="O60" s="6">
        <v>1</v>
      </c>
      <c r="P60" s="6">
        <v>1</v>
      </c>
      <c r="Q60" s="34">
        <v>244.2747</v>
      </c>
      <c r="R60" s="34">
        <v>249.740286</v>
      </c>
      <c r="S60" s="34">
        <v>14514.802674</v>
      </c>
      <c r="T60" s="34">
        <v>14839.567794120001</v>
      </c>
      <c r="U60" s="35">
        <v>7.8826779071114277E-4</v>
      </c>
      <c r="V60" s="36">
        <v>8.0880612719923001E-4</v>
      </c>
      <c r="W60" s="36">
        <v>2.0538336488087243E-5</v>
      </c>
      <c r="X60" s="37">
        <v>43.112923244391112</v>
      </c>
      <c r="Y60" s="38">
        <v>725562.4914909309</v>
      </c>
      <c r="Z60" s="39">
        <v>0</v>
      </c>
      <c r="AA60" s="40">
        <v>0</v>
      </c>
      <c r="AB60" s="40">
        <v>0</v>
      </c>
      <c r="AC60" s="41">
        <v>0</v>
      </c>
      <c r="AD60" s="42">
        <v>0</v>
      </c>
      <c r="AE60" s="39">
        <v>1.6934137030975753E-3</v>
      </c>
      <c r="AF60" s="40">
        <v>1.7368975668994732E-3</v>
      </c>
      <c r="AG60" s="40">
        <v>4.3483863801897825E-5</v>
      </c>
      <c r="AH60" s="41">
        <v>0.55907162682674116</v>
      </c>
      <c r="AI60" s="42">
        <v>9408.812299339299</v>
      </c>
      <c r="AJ60" s="41">
        <v>43.671994871217855</v>
      </c>
      <c r="AK60" s="30">
        <v>734971.30379027023</v>
      </c>
      <c r="AL60" s="43">
        <f>+$AL$6*W60/H60*10^6</f>
        <v>172.82343056283443</v>
      </c>
      <c r="AM60" s="30">
        <v>3268412.25</v>
      </c>
      <c r="AN60" s="44">
        <v>0.22487105284539005</v>
      </c>
      <c r="AP60" s="32"/>
      <c r="AR60" s="32"/>
    </row>
    <row r="61" spans="1:44">
      <c r="A61" s="5" t="s">
        <v>1285</v>
      </c>
      <c r="B61" s="5" t="s">
        <v>458</v>
      </c>
      <c r="C61" s="5" t="s">
        <v>1817</v>
      </c>
      <c r="D61" s="29" t="s">
        <v>1818</v>
      </c>
      <c r="E61" s="5" t="s">
        <v>683</v>
      </c>
      <c r="F61" s="30" t="s">
        <v>1153</v>
      </c>
      <c r="G61" s="5" t="s">
        <v>969</v>
      </c>
      <c r="H61" s="31">
        <v>59.1</v>
      </c>
      <c r="I61" s="32">
        <v>596.09</v>
      </c>
      <c r="J61" s="32">
        <v>598.73770000000002</v>
      </c>
      <c r="K61" s="33">
        <v>1</v>
      </c>
      <c r="L61" s="33">
        <v>1</v>
      </c>
      <c r="M61" s="6">
        <v>0.5</v>
      </c>
      <c r="N61" s="6">
        <v>0.5</v>
      </c>
      <c r="O61" s="6">
        <v>0.5</v>
      </c>
      <c r="P61" s="6">
        <v>0.5</v>
      </c>
      <c r="Q61" s="34">
        <v>596.09</v>
      </c>
      <c r="R61" s="34">
        <v>598.73770000000002</v>
      </c>
      <c r="S61" s="34">
        <v>35228.919000000002</v>
      </c>
      <c r="T61" s="34">
        <v>35385.398070000003</v>
      </c>
      <c r="U61" s="35">
        <v>1.9132070048058719E-3</v>
      </c>
      <c r="V61" s="36">
        <v>1.9286226640468673E-3</v>
      </c>
      <c r="W61" s="36">
        <v>1.5415659240995304E-5</v>
      </c>
      <c r="X61" s="37">
        <v>32.359686676874347</v>
      </c>
      <c r="Y61" s="38">
        <v>547541.22972714622</v>
      </c>
      <c r="Z61" s="39">
        <v>1.7896843561159151E-3</v>
      </c>
      <c r="AA61" s="40">
        <v>1.8046820977748225E-3</v>
      </c>
      <c r="AB61" s="40">
        <v>1.4997741658907349E-5</v>
      </c>
      <c r="AC61" s="41">
        <v>0.29522201737922105</v>
      </c>
      <c r="AD61" s="42">
        <v>4995.296402355686</v>
      </c>
      <c r="AE61" s="39">
        <v>2.0550446161688735E-3</v>
      </c>
      <c r="AF61" s="40">
        <v>2.0708423811340859E-3</v>
      </c>
      <c r="AG61" s="40">
        <v>1.5797764965212388E-5</v>
      </c>
      <c r="AH61" s="41">
        <v>0.20311171517702886</v>
      </c>
      <c r="AI61" s="42">
        <v>3436.7464496959201</v>
      </c>
      <c r="AJ61" s="41">
        <v>32.858020409430601</v>
      </c>
      <c r="AK61" s="30">
        <v>555973.27257919777</v>
      </c>
      <c r="AL61" s="43">
        <f>+$AL$6*W61/H61*10^6</f>
        <v>130.42012894243064</v>
      </c>
      <c r="AM61" s="30">
        <v>2702153.5</v>
      </c>
      <c r="AN61" s="44">
        <v>0.20575192067334361</v>
      </c>
      <c r="AP61" s="32"/>
      <c r="AR61" s="32"/>
    </row>
    <row r="62" spans="1:44">
      <c r="A62" s="5" t="s">
        <v>1253</v>
      </c>
      <c r="B62" s="5" t="s">
        <v>426</v>
      </c>
      <c r="C62" s="5" t="s">
        <v>1887</v>
      </c>
      <c r="D62" s="29" t="s">
        <v>1888</v>
      </c>
      <c r="E62" s="5" t="s">
        <v>770</v>
      </c>
      <c r="F62" s="30" t="s">
        <v>1161</v>
      </c>
      <c r="G62" s="5" t="s">
        <v>969</v>
      </c>
      <c r="H62" s="31">
        <v>70.72</v>
      </c>
      <c r="I62" s="32">
        <v>125.792</v>
      </c>
      <c r="J62" s="32">
        <v>127.6832</v>
      </c>
      <c r="K62" s="33">
        <v>1</v>
      </c>
      <c r="L62" s="33">
        <v>1</v>
      </c>
      <c r="M62" s="6">
        <v>0</v>
      </c>
      <c r="N62" s="6">
        <v>0</v>
      </c>
      <c r="O62" s="6">
        <v>1</v>
      </c>
      <c r="P62" s="6">
        <v>1</v>
      </c>
      <c r="Q62" s="34">
        <v>125.792</v>
      </c>
      <c r="R62" s="34">
        <v>127.6832</v>
      </c>
      <c r="S62" s="34">
        <v>8896.0102399999996</v>
      </c>
      <c r="T62" s="34">
        <v>9029.7559039999996</v>
      </c>
      <c r="U62" s="35">
        <v>4.8312322912868159E-4</v>
      </c>
      <c r="V62" s="36">
        <v>4.9215192811494647E-4</v>
      </c>
      <c r="W62" s="36">
        <v>9.028698986264874E-6</v>
      </c>
      <c r="X62" s="37">
        <v>18.952538177438388</v>
      </c>
      <c r="Y62" s="38">
        <v>267994.03531445685</v>
      </c>
      <c r="Z62" s="39">
        <v>0</v>
      </c>
      <c r="AA62" s="40">
        <v>0</v>
      </c>
      <c r="AB62" s="40">
        <v>0</v>
      </c>
      <c r="AC62" s="41">
        <v>0</v>
      </c>
      <c r="AD62" s="42">
        <v>0</v>
      </c>
      <c r="AE62" s="39">
        <v>1.0378801546022554E-3</v>
      </c>
      <c r="AF62" s="40">
        <v>1.056887995455518E-3</v>
      </c>
      <c r="AG62" s="40">
        <v>1.9007840853262591E-5</v>
      </c>
      <c r="AH62" s="41">
        <v>0.24438363059709314</v>
      </c>
      <c r="AI62" s="42">
        <v>3455.6508851398917</v>
      </c>
      <c r="AJ62" s="41">
        <v>19.19692180803548</v>
      </c>
      <c r="AK62" s="30">
        <v>271449.68619959673</v>
      </c>
      <c r="AL62" s="43">
        <f>+$AL$6*W62/H62*10^6</f>
        <v>63.834127448139661</v>
      </c>
      <c r="AM62" s="30">
        <v>1323449.75</v>
      </c>
      <c r="AN62" s="44">
        <v>0.20510766366429609</v>
      </c>
      <c r="AP62" s="32"/>
      <c r="AR62" s="32"/>
    </row>
    <row r="63" spans="1:44">
      <c r="A63" s="5" t="s">
        <v>844</v>
      </c>
      <c r="B63" s="5" t="s">
        <v>1127</v>
      </c>
      <c r="C63" s="5" t="s">
        <v>1780</v>
      </c>
      <c r="D63" s="29" t="s">
        <v>1044</v>
      </c>
      <c r="E63" s="5" t="s">
        <v>1050</v>
      </c>
      <c r="F63" s="30" t="s">
        <v>1153</v>
      </c>
      <c r="G63" s="5" t="s">
        <v>969</v>
      </c>
      <c r="H63" s="31">
        <v>85.64</v>
      </c>
      <c r="I63" s="32">
        <v>1549.145</v>
      </c>
      <c r="J63" s="32">
        <v>1549.1859999999999</v>
      </c>
      <c r="K63" s="33">
        <v>1</v>
      </c>
      <c r="L63" s="33">
        <v>1</v>
      </c>
      <c r="M63" s="6">
        <v>0.55000000000000004</v>
      </c>
      <c r="N63" s="6">
        <v>0.55000000000000004</v>
      </c>
      <c r="O63" s="6">
        <v>0.45</v>
      </c>
      <c r="P63" s="6">
        <v>0.45</v>
      </c>
      <c r="Q63" s="34">
        <v>1549.145</v>
      </c>
      <c r="R63" s="34">
        <v>1549.1859999999999</v>
      </c>
      <c r="S63" s="34">
        <v>132668.77780000001</v>
      </c>
      <c r="T63" s="34">
        <v>132672.28904</v>
      </c>
      <c r="U63" s="35">
        <v>7.2049566722723951E-3</v>
      </c>
      <c r="V63" s="36">
        <v>7.2310839354511403E-3</v>
      </c>
      <c r="W63" s="36">
        <v>2.6127263178745211E-5</v>
      </c>
      <c r="X63" s="37">
        <v>54.844884475653721</v>
      </c>
      <c r="Y63" s="38">
        <v>640412.00929067866</v>
      </c>
      <c r="Z63" s="39">
        <v>7.4137602630113706E-3</v>
      </c>
      <c r="AA63" s="40">
        <v>7.4430259303685797E-3</v>
      </c>
      <c r="AB63" s="40">
        <v>2.9265667357209098E-5</v>
      </c>
      <c r="AC63" s="41">
        <v>0.57607802252102125</v>
      </c>
      <c r="AD63" s="42">
        <v>6726.7401041688609</v>
      </c>
      <c r="AE63" s="39">
        <v>6.9651933343863066E-3</v>
      </c>
      <c r="AF63" s="40">
        <v>6.9878840577783262E-3</v>
      </c>
      <c r="AG63" s="40">
        <v>2.2690723392019586E-5</v>
      </c>
      <c r="AH63" s="41">
        <v>0.29173441666649502</v>
      </c>
      <c r="AI63" s="42">
        <v>3406.520512219699</v>
      </c>
      <c r="AJ63" s="41">
        <v>55.712696914841239</v>
      </c>
      <c r="AK63" s="30">
        <v>650545.2699070673</v>
      </c>
      <c r="AL63" s="43">
        <f>+$AL$6*W63/H63*10^6</f>
        <v>152.54123761528029</v>
      </c>
      <c r="AM63" s="30">
        <v>3412407.5</v>
      </c>
      <c r="AN63" s="44">
        <v>0.19064114409169108</v>
      </c>
      <c r="AP63" s="32"/>
      <c r="AR63" s="32"/>
    </row>
    <row r="64" spans="1:44">
      <c r="A64" s="5" t="s">
        <v>859</v>
      </c>
      <c r="B64" s="5" t="s">
        <v>1140</v>
      </c>
      <c r="C64" s="5" t="s">
        <v>1775</v>
      </c>
      <c r="D64" s="29" t="s">
        <v>1776</v>
      </c>
      <c r="E64" s="5" t="s">
        <v>1462</v>
      </c>
      <c r="F64" s="30" t="s">
        <v>1160</v>
      </c>
      <c r="G64" s="5" t="s">
        <v>967</v>
      </c>
      <c r="H64" s="31">
        <v>51.11</v>
      </c>
      <c r="I64" s="32">
        <v>749.01400000000001</v>
      </c>
      <c r="J64" s="32">
        <v>749.71129999999994</v>
      </c>
      <c r="K64" s="33">
        <v>0.9</v>
      </c>
      <c r="L64" s="33">
        <v>0.91</v>
      </c>
      <c r="M64" s="6">
        <v>1</v>
      </c>
      <c r="N64" s="6">
        <v>1</v>
      </c>
      <c r="O64" s="6">
        <v>0</v>
      </c>
      <c r="P64" s="6">
        <v>0</v>
      </c>
      <c r="Q64" s="34">
        <v>674.11260000000004</v>
      </c>
      <c r="R64" s="34">
        <v>682.23728299999993</v>
      </c>
      <c r="S64" s="34">
        <v>34453.894985999999</v>
      </c>
      <c r="T64" s="34">
        <v>34869.147534129996</v>
      </c>
      <c r="U64" s="35">
        <v>1.8711171134731981E-3</v>
      </c>
      <c r="V64" s="36">
        <v>1.900485281450927E-3</v>
      </c>
      <c r="W64" s="36">
        <v>2.9368167977728834E-5</v>
      </c>
      <c r="X64" s="37">
        <v>61.648009934329686</v>
      </c>
      <c r="Y64" s="38">
        <v>1206182.9374746564</v>
      </c>
      <c r="Z64" s="39">
        <v>3.5006238405274233E-3</v>
      </c>
      <c r="AA64" s="40">
        <v>3.5567058590116065E-3</v>
      </c>
      <c r="AB64" s="40">
        <v>5.6082018484183201E-5</v>
      </c>
      <c r="AC64" s="41">
        <v>1.1039426476429621</v>
      </c>
      <c r="AD64" s="42">
        <v>21599.347439697951</v>
      </c>
      <c r="AE64" s="39">
        <v>0</v>
      </c>
      <c r="AF64" s="40">
        <v>0</v>
      </c>
      <c r="AG64" s="40">
        <v>0</v>
      </c>
      <c r="AH64" s="41">
        <v>0</v>
      </c>
      <c r="AI64" s="42">
        <v>0</v>
      </c>
      <c r="AJ64" s="41">
        <v>62.751952581972645</v>
      </c>
      <c r="AK64" s="30">
        <v>1227782.2849143543</v>
      </c>
      <c r="AL64" s="43">
        <f>+$AL$6*W64/H64*10^6</f>
        <v>287.30354116345956</v>
      </c>
      <c r="AM64" s="30">
        <v>6791278</v>
      </c>
      <c r="AN64" s="44">
        <v>0.1807881057018067</v>
      </c>
      <c r="AP64" s="32"/>
      <c r="AR64" s="32"/>
    </row>
    <row r="65" spans="1:44">
      <c r="A65" s="5" t="s">
        <v>1203</v>
      </c>
      <c r="B65" s="5" t="s">
        <v>373</v>
      </c>
      <c r="C65" s="5" t="s">
        <v>1837</v>
      </c>
      <c r="D65" s="29" t="s">
        <v>1838</v>
      </c>
      <c r="E65" s="5" t="s">
        <v>1522</v>
      </c>
      <c r="F65" s="30" t="s">
        <v>1149</v>
      </c>
      <c r="G65" s="5" t="s">
        <v>969</v>
      </c>
      <c r="H65" s="31">
        <v>147.93</v>
      </c>
      <c r="I65" s="32">
        <v>209.386</v>
      </c>
      <c r="J65" s="32">
        <v>210.2544</v>
      </c>
      <c r="K65" s="33">
        <v>1</v>
      </c>
      <c r="L65" s="33">
        <v>1</v>
      </c>
      <c r="M65" s="6">
        <v>1</v>
      </c>
      <c r="N65" s="6">
        <v>1</v>
      </c>
      <c r="O65" s="6">
        <v>0</v>
      </c>
      <c r="P65" s="6">
        <v>0</v>
      </c>
      <c r="Q65" s="34">
        <v>209.386</v>
      </c>
      <c r="R65" s="34">
        <v>210.2544</v>
      </c>
      <c r="S65" s="34">
        <v>30974.470980000002</v>
      </c>
      <c r="T65" s="34">
        <v>31102.933392000003</v>
      </c>
      <c r="U65" s="35">
        <v>1.6821570610523757E-3</v>
      </c>
      <c r="V65" s="36">
        <v>1.6952140015349362E-3</v>
      </c>
      <c r="W65" s="36">
        <v>1.3056940482560541E-5</v>
      </c>
      <c r="X65" s="37">
        <v>27.408396641944456</v>
      </c>
      <c r="Y65" s="38">
        <v>185279.50139893501</v>
      </c>
      <c r="Z65" s="39">
        <v>3.1471034437288523E-3</v>
      </c>
      <c r="AA65" s="40">
        <v>3.1725463124527252E-3</v>
      </c>
      <c r="AB65" s="40">
        <v>2.5442868723872872E-5</v>
      </c>
      <c r="AC65" s="41">
        <v>0.50082840492957703</v>
      </c>
      <c r="AD65" s="42">
        <v>3385.5769954003717</v>
      </c>
      <c r="AE65" s="39">
        <v>0</v>
      </c>
      <c r="AF65" s="40">
        <v>0</v>
      </c>
      <c r="AG65" s="40">
        <v>0</v>
      </c>
      <c r="AH65" s="41">
        <v>0</v>
      </c>
      <c r="AI65" s="42">
        <v>0</v>
      </c>
      <c r="AJ65" s="41">
        <v>27.909225046874035</v>
      </c>
      <c r="AK65" s="30">
        <v>188665.07839433537</v>
      </c>
      <c r="AL65" s="43">
        <f>+$AL$6*W65/H65*10^6</f>
        <v>44.132158732375252</v>
      </c>
      <c r="AM65" s="30">
        <v>1065026.875</v>
      </c>
      <c r="AN65" s="44">
        <v>0.17714583812200549</v>
      </c>
      <c r="AP65" s="32"/>
      <c r="AR65" s="32"/>
    </row>
    <row r="66" spans="1:44">
      <c r="A66" s="5" t="s">
        <v>295</v>
      </c>
      <c r="B66" s="5" t="s">
        <v>595</v>
      </c>
      <c r="C66" s="5" t="s">
        <v>1932</v>
      </c>
      <c r="D66" s="29" t="s">
        <v>1933</v>
      </c>
      <c r="E66" s="5" t="s">
        <v>121</v>
      </c>
      <c r="F66" s="30" t="s">
        <v>1151</v>
      </c>
      <c r="G66" s="5" t="s">
        <v>969</v>
      </c>
      <c r="H66" s="31">
        <v>21.64</v>
      </c>
      <c r="I66" s="32">
        <v>680.72799999999995</v>
      </c>
      <c r="J66" s="32">
        <v>684.173</v>
      </c>
      <c r="K66" s="33">
        <v>1</v>
      </c>
      <c r="L66" s="33">
        <v>1</v>
      </c>
      <c r="M66" s="6">
        <v>0.55000000000000004</v>
      </c>
      <c r="N66" s="6">
        <v>0.55000000000000004</v>
      </c>
      <c r="O66" s="6">
        <v>0.45</v>
      </c>
      <c r="P66" s="6">
        <v>0.45</v>
      </c>
      <c r="Q66" s="34">
        <v>680.72799999999995</v>
      </c>
      <c r="R66" s="34">
        <v>684.173</v>
      </c>
      <c r="S66" s="34">
        <v>14730.95392</v>
      </c>
      <c r="T66" s="34">
        <v>14805.503720000001</v>
      </c>
      <c r="U66" s="35">
        <v>8.0000650111394323E-4</v>
      </c>
      <c r="V66" s="36">
        <v>8.0694952111421032E-4</v>
      </c>
      <c r="W66" s="36">
        <v>6.9430200002670991E-6</v>
      </c>
      <c r="X66" s="37">
        <v>14.574397908487335</v>
      </c>
      <c r="Y66" s="38">
        <v>673493.43384876766</v>
      </c>
      <c r="Z66" s="39">
        <v>8.2319112770440827E-4</v>
      </c>
      <c r="AA66" s="40">
        <v>8.3060109158819464E-4</v>
      </c>
      <c r="AB66" s="40">
        <v>7.4099638837863682E-6</v>
      </c>
      <c r="AC66" s="41">
        <v>0.14586092601344053</v>
      </c>
      <c r="AD66" s="42">
        <v>6740.3385403623161</v>
      </c>
      <c r="AE66" s="39">
        <v>7.733842412222465E-4</v>
      </c>
      <c r="AF66" s="40">
        <v>7.7980974143872141E-4</v>
      </c>
      <c r="AG66" s="40">
        <v>6.4255002164749107E-6</v>
      </c>
      <c r="AH66" s="41">
        <v>8.2612595687585194E-2</v>
      </c>
      <c r="AI66" s="42">
        <v>3817.5876010898887</v>
      </c>
      <c r="AJ66" s="41">
        <v>14.802871430188361</v>
      </c>
      <c r="AK66" s="30">
        <v>684051.35999021982</v>
      </c>
      <c r="AL66" s="43">
        <f>+$AL$6*W66/H66*10^6</f>
        <v>160.42097967345421</v>
      </c>
      <c r="AM66" s="30">
        <v>3882642.75</v>
      </c>
      <c r="AN66" s="44">
        <v>0.17618189569210813</v>
      </c>
      <c r="AP66" s="32"/>
      <c r="AR66" s="32"/>
    </row>
    <row r="67" spans="1:44">
      <c r="A67" s="5" t="s">
        <v>834</v>
      </c>
      <c r="B67" s="5" t="s">
        <v>190</v>
      </c>
      <c r="C67" s="5" t="s">
        <v>1931</v>
      </c>
      <c r="D67" s="29" t="s">
        <v>1572</v>
      </c>
      <c r="E67" s="5" t="s">
        <v>692</v>
      </c>
      <c r="F67" s="30" t="s">
        <v>1149</v>
      </c>
      <c r="G67" s="5" t="s">
        <v>967</v>
      </c>
      <c r="H67" s="31">
        <v>142.09</v>
      </c>
      <c r="I67" s="32">
        <v>99.081999999999994</v>
      </c>
      <c r="J67" s="32">
        <v>91.736429999999999</v>
      </c>
      <c r="K67" s="33">
        <v>0.92</v>
      </c>
      <c r="L67" s="33">
        <v>1</v>
      </c>
      <c r="M67" s="6">
        <v>0.53</v>
      </c>
      <c r="N67" s="6">
        <v>0.53</v>
      </c>
      <c r="O67" s="6">
        <v>0.47</v>
      </c>
      <c r="P67" s="6">
        <v>0.47</v>
      </c>
      <c r="Q67" s="34">
        <v>91.155439999999999</v>
      </c>
      <c r="R67" s="34">
        <v>91.736429999999999</v>
      </c>
      <c r="S67" s="34">
        <v>12952.276469599999</v>
      </c>
      <c r="T67" s="34">
        <v>13034.829338699999</v>
      </c>
      <c r="U67" s="35">
        <v>7.0341034505830237E-4</v>
      </c>
      <c r="V67" s="36">
        <v>7.1044183916961815E-4</v>
      </c>
      <c r="W67" s="36">
        <v>7.0314941113157814E-6</v>
      </c>
      <c r="X67" s="37">
        <v>14.760117796803021</v>
      </c>
      <c r="Y67" s="38">
        <v>103878.65294393005</v>
      </c>
      <c r="Z67" s="39">
        <v>6.9747572351440239E-4</v>
      </c>
      <c r="AA67" s="40">
        <v>7.0467333715112934E-4</v>
      </c>
      <c r="AB67" s="40">
        <v>7.1976136367269544E-6</v>
      </c>
      <c r="AC67" s="41">
        <v>0.14168093213478722</v>
      </c>
      <c r="AD67" s="42">
        <v>997.12106506289831</v>
      </c>
      <c r="AE67" s="39">
        <v>7.1022490540863096E-4</v>
      </c>
      <c r="AF67" s="40">
        <v>7.1706109830133534E-4</v>
      </c>
      <c r="AG67" s="40">
        <v>6.8361928927043866E-6</v>
      </c>
      <c r="AH67" s="41">
        <v>8.7892867552833279E-2</v>
      </c>
      <c r="AI67" s="42">
        <v>618.57180345438292</v>
      </c>
      <c r="AJ67" s="41">
        <v>14.989691596490642</v>
      </c>
      <c r="AK67" s="30">
        <v>105494.34581244733</v>
      </c>
      <c r="AL67" s="43">
        <f>+$AL$6*W67/H67*10^6</f>
        <v>24.743099835723065</v>
      </c>
      <c r="AM67" s="30">
        <v>602272.375</v>
      </c>
      <c r="AN67" s="44">
        <v>0.17516052568814455</v>
      </c>
      <c r="AP67" s="32"/>
      <c r="AR67" s="32"/>
    </row>
    <row r="68" spans="1:44">
      <c r="A68" s="5" t="s">
        <v>289</v>
      </c>
      <c r="B68" s="5" t="s">
        <v>589</v>
      </c>
      <c r="C68" s="5" t="s">
        <v>1865</v>
      </c>
      <c r="D68" s="29" t="s">
        <v>1866</v>
      </c>
      <c r="E68" s="5" t="s">
        <v>116</v>
      </c>
      <c r="F68" s="30" t="s">
        <v>1149</v>
      </c>
      <c r="G68" s="5" t="s">
        <v>969</v>
      </c>
      <c r="H68" s="31">
        <v>71.239999999999995</v>
      </c>
      <c r="I68" s="32">
        <v>280.12200000000001</v>
      </c>
      <c r="J68" s="32">
        <v>281.74469999999997</v>
      </c>
      <c r="K68" s="33">
        <v>1</v>
      </c>
      <c r="L68" s="33">
        <v>1</v>
      </c>
      <c r="M68" s="6">
        <v>0.62</v>
      </c>
      <c r="N68" s="6">
        <v>0.62</v>
      </c>
      <c r="O68" s="6">
        <v>0.38</v>
      </c>
      <c r="P68" s="6">
        <v>0.38</v>
      </c>
      <c r="Q68" s="34">
        <v>280.12200000000001</v>
      </c>
      <c r="R68" s="34">
        <v>281.74469999999997</v>
      </c>
      <c r="S68" s="34">
        <v>19955.89128</v>
      </c>
      <c r="T68" s="34">
        <v>20071.492427999998</v>
      </c>
      <c r="U68" s="35">
        <v>1.0837616386707868E-3</v>
      </c>
      <c r="V68" s="36">
        <v>1.0939635360695513E-3</v>
      </c>
      <c r="W68" s="36">
        <v>1.0201897398764504E-5</v>
      </c>
      <c r="X68" s="37">
        <v>21.415250439352871</v>
      </c>
      <c r="Y68" s="38">
        <v>300607.108918485</v>
      </c>
      <c r="Z68" s="39">
        <v>1.2571003266051348E-3</v>
      </c>
      <c r="AA68" s="40">
        <v>1.2693400285079448E-3</v>
      </c>
      <c r="AB68" s="40">
        <v>1.2239701902810006E-5</v>
      </c>
      <c r="AC68" s="41">
        <v>0.2409315729026309</v>
      </c>
      <c r="AD68" s="42">
        <v>3381.970422552371</v>
      </c>
      <c r="AE68" s="39">
        <v>8.8472165924874608E-4</v>
      </c>
      <c r="AF68" s="40">
        <v>8.9272195804100674E-4</v>
      </c>
      <c r="AG68" s="40">
        <v>8.0002987922606593E-6</v>
      </c>
      <c r="AH68" s="41">
        <v>0.10285976612533612</v>
      </c>
      <c r="AI68" s="42">
        <v>1443.8484857571048</v>
      </c>
      <c r="AJ68" s="41">
        <v>21.759041778380841</v>
      </c>
      <c r="AK68" s="30">
        <v>305432.9278267945</v>
      </c>
      <c r="AL68" s="43">
        <f>+$AL$6*W68/H68*10^6</f>
        <v>71.602311894753683</v>
      </c>
      <c r="AM68" s="30">
        <v>1793452</v>
      </c>
      <c r="AN68" s="44">
        <v>0.17030448979219656</v>
      </c>
      <c r="AP68" s="32"/>
      <c r="AR68" s="32"/>
    </row>
    <row r="69" spans="1:44">
      <c r="A69" s="5" t="s">
        <v>1682</v>
      </c>
      <c r="B69" s="5" t="s">
        <v>1667</v>
      </c>
      <c r="C69" s="5" t="s">
        <v>1787</v>
      </c>
      <c r="D69" s="29" t="s">
        <v>1788</v>
      </c>
      <c r="E69" s="5" t="s">
        <v>1707</v>
      </c>
      <c r="F69" s="30" t="s">
        <v>1169</v>
      </c>
      <c r="G69" s="5" t="s">
        <v>969</v>
      </c>
      <c r="H69" s="31">
        <v>93.36</v>
      </c>
      <c r="I69" s="32">
        <v>1090.7570000000001</v>
      </c>
      <c r="J69" s="32">
        <v>1092.2829999999999</v>
      </c>
      <c r="K69" s="33">
        <v>0.8</v>
      </c>
      <c r="L69" s="33">
        <v>0.8</v>
      </c>
      <c r="M69" s="6">
        <v>0</v>
      </c>
      <c r="N69" s="6">
        <v>0</v>
      </c>
      <c r="O69" s="6">
        <v>1</v>
      </c>
      <c r="P69" s="6">
        <v>1</v>
      </c>
      <c r="Q69" s="34">
        <v>872.60560000000009</v>
      </c>
      <c r="R69" s="34">
        <v>873.82639999999992</v>
      </c>
      <c r="S69" s="34">
        <v>81466.458816000013</v>
      </c>
      <c r="T69" s="34">
        <v>81580.432703999992</v>
      </c>
      <c r="U69" s="35">
        <v>4.4242685863707682E-3</v>
      </c>
      <c r="V69" s="36">
        <v>4.4464067111647625E-3</v>
      </c>
      <c r="W69" s="36">
        <v>2.2138124793994254E-5</v>
      </c>
      <c r="X69" s="37">
        <v>46.471109068245383</v>
      </c>
      <c r="Y69" s="38">
        <v>497762.52215344243</v>
      </c>
      <c r="Z69" s="39">
        <v>0</v>
      </c>
      <c r="AA69" s="40">
        <v>0</v>
      </c>
      <c r="AB69" s="40">
        <v>0</v>
      </c>
      <c r="AC69" s="41">
        <v>0</v>
      </c>
      <c r="AD69" s="42">
        <v>0</v>
      </c>
      <c r="AE69" s="39">
        <v>9.5045327725306623E-3</v>
      </c>
      <c r="AF69" s="40">
        <v>9.5485836943532444E-3</v>
      </c>
      <c r="AG69" s="40">
        <v>4.4050921822582148E-5</v>
      </c>
      <c r="AH69" s="41">
        <v>0.56636228645104303</v>
      </c>
      <c r="AI69" s="42">
        <v>6066.4340879503325</v>
      </c>
      <c r="AJ69" s="41">
        <v>47.037471354696429</v>
      </c>
      <c r="AK69" s="30">
        <v>503828.95624139276</v>
      </c>
      <c r="AL69" s="43">
        <f>+$AL$6*W69/H69*10^6</f>
        <v>118.56322190442511</v>
      </c>
      <c r="AM69" s="30">
        <v>3056813.75</v>
      </c>
      <c r="AN69" s="44">
        <v>0.16482160754523981</v>
      </c>
      <c r="AP69" s="32"/>
      <c r="AR69" s="32"/>
    </row>
    <row r="70" spans="1:44">
      <c r="A70" s="5" t="s">
        <v>842</v>
      </c>
      <c r="B70" s="5" t="s">
        <v>1125</v>
      </c>
      <c r="C70" s="5" t="s">
        <v>1741</v>
      </c>
      <c r="D70" s="29" t="s">
        <v>1742</v>
      </c>
      <c r="E70" s="5" t="s">
        <v>1048</v>
      </c>
      <c r="F70" s="30" t="s">
        <v>1150</v>
      </c>
      <c r="G70" s="5" t="s">
        <v>969</v>
      </c>
      <c r="H70" s="31">
        <v>35.369999999999997</v>
      </c>
      <c r="I70" s="32">
        <v>6157.67</v>
      </c>
      <c r="J70" s="32">
        <v>6167.348</v>
      </c>
      <c r="K70" s="33">
        <v>1</v>
      </c>
      <c r="L70" s="33">
        <v>1</v>
      </c>
      <c r="M70" s="6">
        <v>0</v>
      </c>
      <c r="N70" s="6">
        <v>0</v>
      </c>
      <c r="O70" s="6">
        <v>1</v>
      </c>
      <c r="P70" s="6">
        <v>1</v>
      </c>
      <c r="Q70" s="34">
        <v>6157.67</v>
      </c>
      <c r="R70" s="34">
        <v>6167.348</v>
      </c>
      <c r="S70" s="34">
        <v>217796.7879</v>
      </c>
      <c r="T70" s="34">
        <v>218139.09875999999</v>
      </c>
      <c r="U70" s="35">
        <v>1.1828076252765484E-2</v>
      </c>
      <c r="V70" s="36">
        <v>1.1889311205459441E-2</v>
      </c>
      <c r="W70" s="36">
        <v>6.1234952693956998E-5</v>
      </c>
      <c r="X70" s="37">
        <v>128.5409758915853</v>
      </c>
      <c r="Y70" s="38">
        <v>3634180.8281477327</v>
      </c>
      <c r="Z70" s="39">
        <v>0</v>
      </c>
      <c r="AA70" s="40">
        <v>0</v>
      </c>
      <c r="AB70" s="40">
        <v>0</v>
      </c>
      <c r="AC70" s="41">
        <v>0</v>
      </c>
      <c r="AD70" s="42">
        <v>0</v>
      </c>
      <c r="AE70" s="39">
        <v>2.5409926225256528E-2</v>
      </c>
      <c r="AF70" s="40">
        <v>2.5532096024522801E-2</v>
      </c>
      <c r="AG70" s="40">
        <v>1.2216979926627305E-4</v>
      </c>
      <c r="AH70" s="41">
        <v>1.5707359570450754</v>
      </c>
      <c r="AI70" s="42">
        <v>44408.706730140671</v>
      </c>
      <c r="AJ70" s="41">
        <v>130.11171184863039</v>
      </c>
      <c r="AK70" s="30">
        <v>3678589.5348778735</v>
      </c>
      <c r="AL70" s="43">
        <f>+$AL$6*W70/H70*10^6</f>
        <v>865.63404995698329</v>
      </c>
      <c r="AM70" s="30">
        <v>22458762</v>
      </c>
      <c r="AN70" s="44">
        <v>0.16379306815210357</v>
      </c>
      <c r="AP70" s="32"/>
      <c r="AR70" s="32"/>
    </row>
    <row r="71" spans="1:44">
      <c r="A71" s="5" t="s">
        <v>853</v>
      </c>
      <c r="B71" s="5" t="s">
        <v>1134</v>
      </c>
      <c r="C71" s="5" t="s">
        <v>1763</v>
      </c>
      <c r="D71" s="29" t="s">
        <v>1764</v>
      </c>
      <c r="E71" s="5" t="s">
        <v>1059</v>
      </c>
      <c r="F71" s="30" t="s">
        <v>1149</v>
      </c>
      <c r="G71" s="5" t="s">
        <v>969</v>
      </c>
      <c r="H71" s="31">
        <v>121.2</v>
      </c>
      <c r="I71" s="32">
        <v>951.904</v>
      </c>
      <c r="J71" s="32">
        <v>953.56259999999997</v>
      </c>
      <c r="K71" s="33">
        <v>1</v>
      </c>
      <c r="L71" s="33">
        <v>1</v>
      </c>
      <c r="M71" s="6">
        <v>0.49</v>
      </c>
      <c r="N71" s="6">
        <v>0.49</v>
      </c>
      <c r="O71" s="6">
        <v>0.51</v>
      </c>
      <c r="P71" s="6">
        <v>0.51</v>
      </c>
      <c r="Q71" s="34">
        <v>951.904</v>
      </c>
      <c r="R71" s="34">
        <v>953.56259999999997</v>
      </c>
      <c r="S71" s="34">
        <v>115370.7648</v>
      </c>
      <c r="T71" s="34">
        <v>115571.78711999999</v>
      </c>
      <c r="U71" s="35">
        <v>6.2655387003265903E-3</v>
      </c>
      <c r="V71" s="36">
        <v>6.2990493288530578E-3</v>
      </c>
      <c r="W71" s="36">
        <v>3.3510628526467467E-5</v>
      </c>
      <c r="X71" s="37">
        <v>70.343630623194912</v>
      </c>
      <c r="Y71" s="38">
        <v>580392.99194055202</v>
      </c>
      <c r="Z71" s="39">
        <v>5.7437955407423913E-3</v>
      </c>
      <c r="AA71" s="40">
        <v>5.7763636886179774E-3</v>
      </c>
      <c r="AB71" s="40">
        <v>3.2568147875586088E-5</v>
      </c>
      <c r="AC71" s="41">
        <v>0.64108547385365489</v>
      </c>
      <c r="AD71" s="42">
        <v>5289.4841077034234</v>
      </c>
      <c r="AE71" s="39">
        <v>6.8646418144943898E-3</v>
      </c>
      <c r="AF71" s="40">
        <v>6.8988223177598555E-3</v>
      </c>
      <c r="AG71" s="40">
        <v>3.4180503265465734E-5</v>
      </c>
      <c r="AH71" s="41">
        <v>0.43945840814510717</v>
      </c>
      <c r="AI71" s="42">
        <v>3625.8944566427986</v>
      </c>
      <c r="AJ71" s="41">
        <v>71.424174505193662</v>
      </c>
      <c r="AK71" s="30">
        <v>589308.37050489825</v>
      </c>
      <c r="AL71" s="43">
        <f>+$AL$6*W71/H71*10^6</f>
        <v>138.24516718839715</v>
      </c>
      <c r="AM71" s="30">
        <v>3635421.25</v>
      </c>
      <c r="AN71" s="44">
        <v>0.16210181158645598</v>
      </c>
      <c r="AP71" s="32"/>
      <c r="AR71" s="32"/>
    </row>
    <row r="72" spans="1:44">
      <c r="A72" s="5" t="s">
        <v>1610</v>
      </c>
      <c r="B72" s="5" t="s">
        <v>1591</v>
      </c>
      <c r="C72" s="5" t="s">
        <v>2627</v>
      </c>
      <c r="D72" s="29" t="s">
        <v>1042</v>
      </c>
      <c r="E72" s="5" t="s">
        <v>1637</v>
      </c>
      <c r="F72" s="30" t="s">
        <v>1151</v>
      </c>
      <c r="G72" s="5" t="s">
        <v>967</v>
      </c>
      <c r="H72" s="31">
        <v>691.47</v>
      </c>
      <c r="I72" s="32">
        <v>340.71699999999998</v>
      </c>
      <c r="J72" s="32">
        <v>289.88630000000001</v>
      </c>
      <c r="K72" s="33">
        <v>0.84</v>
      </c>
      <c r="L72" s="33">
        <v>1</v>
      </c>
      <c r="M72" s="6">
        <v>1</v>
      </c>
      <c r="N72" s="6">
        <v>1</v>
      </c>
      <c r="O72" s="6">
        <v>0</v>
      </c>
      <c r="P72" s="6">
        <v>0</v>
      </c>
      <c r="Q72" s="34">
        <v>286.20227999999997</v>
      </c>
      <c r="R72" s="34">
        <v>289.88630000000001</v>
      </c>
      <c r="S72" s="34">
        <v>197900.29055159999</v>
      </c>
      <c r="T72" s="34">
        <v>200447.67986100001</v>
      </c>
      <c r="U72" s="35">
        <v>1.07475401710861E-2</v>
      </c>
      <c r="V72" s="36">
        <v>1.0925069645133864E-2</v>
      </c>
      <c r="W72" s="36">
        <v>1.7752947404776377E-4</v>
      </c>
      <c r="X72" s="37">
        <v>372.65990810296495</v>
      </c>
      <c r="Y72" s="38">
        <v>538938.64969263296</v>
      </c>
      <c r="Z72" s="39">
        <v>2.0107290494550383E-2</v>
      </c>
      <c r="AA72" s="40">
        <v>2.0445966930768261E-2</v>
      </c>
      <c r="AB72" s="40">
        <v>3.3867643621787735E-4</v>
      </c>
      <c r="AC72" s="41">
        <v>6.6666530877110173</v>
      </c>
      <c r="AD72" s="42">
        <v>9641.2759594935669</v>
      </c>
      <c r="AE72" s="39">
        <v>0</v>
      </c>
      <c r="AF72" s="40">
        <v>0</v>
      </c>
      <c r="AG72" s="40">
        <v>0</v>
      </c>
      <c r="AH72" s="41">
        <v>0</v>
      </c>
      <c r="AI72" s="42">
        <v>0</v>
      </c>
      <c r="AJ72" s="41">
        <v>379.32656119067599</v>
      </c>
      <c r="AK72" s="30">
        <v>548579.92565212655</v>
      </c>
      <c r="AL72" s="43">
        <f>+$AL$6*W72/H72*10^6</f>
        <v>128.37106023960817</v>
      </c>
      <c r="AM72" s="30">
        <v>3397501.75</v>
      </c>
      <c r="AN72" s="44">
        <v>0.16146567861285915</v>
      </c>
      <c r="AP72" s="32"/>
      <c r="AR72" s="32"/>
    </row>
    <row r="73" spans="1:44">
      <c r="A73" s="5" t="s">
        <v>979</v>
      </c>
      <c r="B73" s="5" t="s">
        <v>1071</v>
      </c>
      <c r="C73" s="5" t="s">
        <v>1803</v>
      </c>
      <c r="D73" s="29" t="s">
        <v>1804</v>
      </c>
      <c r="E73" s="5" t="s">
        <v>866</v>
      </c>
      <c r="F73" s="30" t="s">
        <v>1149</v>
      </c>
      <c r="G73" s="5" t="s">
        <v>969</v>
      </c>
      <c r="H73" s="31">
        <v>50.09</v>
      </c>
      <c r="I73" s="32">
        <v>1488.7570000000001</v>
      </c>
      <c r="J73" s="32">
        <v>1490.441</v>
      </c>
      <c r="K73" s="33">
        <v>1</v>
      </c>
      <c r="L73" s="33">
        <v>1</v>
      </c>
      <c r="M73" s="6">
        <v>0.4</v>
      </c>
      <c r="N73" s="6">
        <v>0.4</v>
      </c>
      <c r="O73" s="6">
        <v>0.6</v>
      </c>
      <c r="P73" s="6">
        <v>0.6</v>
      </c>
      <c r="Q73" s="34">
        <v>1488.7570000000001</v>
      </c>
      <c r="R73" s="34">
        <v>1490.441</v>
      </c>
      <c r="S73" s="34">
        <v>74571.838130000004</v>
      </c>
      <c r="T73" s="34">
        <v>74656.189690000014</v>
      </c>
      <c r="U73" s="35">
        <v>4.0498365298000088E-3</v>
      </c>
      <c r="V73" s="36">
        <v>4.0690122847476581E-3</v>
      </c>
      <c r="W73" s="36">
        <v>1.9175754947649282E-5</v>
      </c>
      <c r="X73" s="37">
        <v>40.252668549411332</v>
      </c>
      <c r="Y73" s="38">
        <v>803606.87860673456</v>
      </c>
      <c r="Z73" s="39">
        <v>3.0306930986572548E-3</v>
      </c>
      <c r="AA73" s="40">
        <v>3.0460177671049003E-3</v>
      </c>
      <c r="AB73" s="40">
        <v>1.5324668447645479E-5</v>
      </c>
      <c r="AC73" s="41">
        <v>0.3016573853367201</v>
      </c>
      <c r="AD73" s="42">
        <v>6022.3075531387522</v>
      </c>
      <c r="AE73" s="39">
        <v>5.2200904989519502E-3</v>
      </c>
      <c r="AF73" s="40">
        <v>5.2428813032382301E-3</v>
      </c>
      <c r="AG73" s="40">
        <v>2.27908042862799E-5</v>
      </c>
      <c r="AH73" s="41">
        <v>0.29302115578018778</v>
      </c>
      <c r="AI73" s="42">
        <v>5849.8933076499852</v>
      </c>
      <c r="AJ73" s="41">
        <v>40.847347090528238</v>
      </c>
      <c r="AK73" s="30">
        <v>815479.07946752326</v>
      </c>
      <c r="AL73" s="43">
        <f>+$AL$6*W73/H73*10^6</f>
        <v>191.41300606557479</v>
      </c>
      <c r="AM73" s="30">
        <v>5167647</v>
      </c>
      <c r="AN73" s="44">
        <v>0.15780471836940937</v>
      </c>
      <c r="AP73" s="32"/>
      <c r="AR73" s="32"/>
    </row>
    <row r="74" spans="1:44">
      <c r="A74" s="5" t="s">
        <v>1243</v>
      </c>
      <c r="B74" s="5" t="s">
        <v>416</v>
      </c>
      <c r="C74" s="5" t="s">
        <v>1843</v>
      </c>
      <c r="D74" s="29" t="s">
        <v>1844</v>
      </c>
      <c r="E74" s="5" t="s">
        <v>761</v>
      </c>
      <c r="F74" s="30" t="s">
        <v>1154</v>
      </c>
      <c r="G74" s="5" t="s">
        <v>969</v>
      </c>
      <c r="H74" s="31">
        <v>74.489999999999995</v>
      </c>
      <c r="I74" s="32">
        <v>593.47299999999996</v>
      </c>
      <c r="J74" s="32">
        <v>594.32190000000003</v>
      </c>
      <c r="K74" s="33">
        <v>1</v>
      </c>
      <c r="L74" s="33">
        <v>1</v>
      </c>
      <c r="M74" s="6">
        <v>0.47</v>
      </c>
      <c r="N74" s="6">
        <v>0.47</v>
      </c>
      <c r="O74" s="6">
        <v>0.53</v>
      </c>
      <c r="P74" s="6">
        <v>0.53</v>
      </c>
      <c r="Q74" s="34">
        <v>593.47299999999996</v>
      </c>
      <c r="R74" s="34">
        <v>594.32190000000003</v>
      </c>
      <c r="S74" s="34">
        <v>44207.803769999991</v>
      </c>
      <c r="T74" s="34">
        <v>44271.038330999996</v>
      </c>
      <c r="U74" s="35">
        <v>2.4008309718458127E-3</v>
      </c>
      <c r="V74" s="36">
        <v>2.4129198071235428E-3</v>
      </c>
      <c r="W74" s="36">
        <v>1.2088835277730171E-5</v>
      </c>
      <c r="X74" s="37">
        <v>25.376204530740303</v>
      </c>
      <c r="Y74" s="38">
        <v>340665.92201289168</v>
      </c>
      <c r="Z74" s="39">
        <v>2.1110762421034401E-3</v>
      </c>
      <c r="AA74" s="40">
        <v>2.1223850910971854E-3</v>
      </c>
      <c r="AB74" s="40">
        <v>1.1308848993745336E-5</v>
      </c>
      <c r="AC74" s="41">
        <v>0.22260826263716993</v>
      </c>
      <c r="AD74" s="42">
        <v>2988.4315027140551</v>
      </c>
      <c r="AE74" s="39">
        <v>2.7335482442137895E-3</v>
      </c>
      <c r="AF74" s="40">
        <v>2.7463035115887057E-3</v>
      </c>
      <c r="AG74" s="40">
        <v>1.2755267374916189E-5</v>
      </c>
      <c r="AH74" s="41">
        <v>0.16399435235084187</v>
      </c>
      <c r="AI74" s="42">
        <v>2201.5619861839427</v>
      </c>
      <c r="AJ74" s="41">
        <v>25.762807145728313</v>
      </c>
      <c r="AK74" s="30">
        <v>345855.91550178966</v>
      </c>
      <c r="AL74" s="43">
        <f>+$AL$6*W74/H74*10^6</f>
        <v>81.144014483354624</v>
      </c>
      <c r="AM74" s="30">
        <v>2211658</v>
      </c>
      <c r="AN74" s="44">
        <v>0.15637857006001366</v>
      </c>
      <c r="AP74" s="32"/>
      <c r="AR74" s="32"/>
    </row>
    <row r="75" spans="1:44">
      <c r="A75" s="5" t="s">
        <v>821</v>
      </c>
      <c r="B75" s="5" t="s">
        <v>1598</v>
      </c>
      <c r="C75" s="5" t="s">
        <v>1861</v>
      </c>
      <c r="D75" s="29" t="s">
        <v>1862</v>
      </c>
      <c r="E75" s="5" t="s">
        <v>676</v>
      </c>
      <c r="F75" s="30" t="s">
        <v>1166</v>
      </c>
      <c r="G75" s="5" t="s">
        <v>969</v>
      </c>
      <c r="H75" s="31">
        <v>205.3</v>
      </c>
      <c r="I75" s="32">
        <v>73.090999999999994</v>
      </c>
      <c r="J75" s="32">
        <v>73.913460000000001</v>
      </c>
      <c r="K75" s="33">
        <v>0.85</v>
      </c>
      <c r="L75" s="33">
        <v>0.85</v>
      </c>
      <c r="M75" s="6">
        <v>0.47</v>
      </c>
      <c r="N75" s="6">
        <v>0.47</v>
      </c>
      <c r="O75" s="6">
        <v>0.53</v>
      </c>
      <c r="P75" s="6">
        <v>0.53</v>
      </c>
      <c r="Q75" s="34">
        <v>62.127349999999993</v>
      </c>
      <c r="R75" s="34">
        <v>62.826440999999996</v>
      </c>
      <c r="S75" s="34">
        <v>12754.744955</v>
      </c>
      <c r="T75" s="34">
        <v>12898.2683373</v>
      </c>
      <c r="U75" s="35">
        <v>6.926828323179134E-4</v>
      </c>
      <c r="V75" s="36">
        <v>7.0299880739125686E-4</v>
      </c>
      <c r="W75" s="36">
        <v>1.0315975073343464E-5</v>
      </c>
      <c r="X75" s="37">
        <v>21.654715891234723</v>
      </c>
      <c r="Y75" s="38">
        <v>105478.40180825486</v>
      </c>
      <c r="Z75" s="39">
        <v>6.0908339144551029E-4</v>
      </c>
      <c r="AA75" s="40">
        <v>6.1835216548077868E-4</v>
      </c>
      <c r="AB75" s="40">
        <v>9.2687740352683824E-6</v>
      </c>
      <c r="AC75" s="41">
        <v>0.18245054699278171</v>
      </c>
      <c r="AD75" s="42">
        <v>888.70212855714419</v>
      </c>
      <c r="AE75" s="39">
        <v>7.8867773795167091E-4</v>
      </c>
      <c r="AF75" s="40">
        <v>8.0012940657270271E-4</v>
      </c>
      <c r="AG75" s="40">
        <v>1.1451668621031801E-5</v>
      </c>
      <c r="AH75" s="41">
        <v>0.1472339954657288</v>
      </c>
      <c r="AI75" s="42">
        <v>717.1651021224003</v>
      </c>
      <c r="AJ75" s="41">
        <v>21.984400433693235</v>
      </c>
      <c r="AK75" s="30">
        <v>107084.26903893439</v>
      </c>
      <c r="AL75" s="43">
        <f>+$AL$6*W75/H75*10^6</f>
        <v>25.124147767519396</v>
      </c>
      <c r="AM75" s="30">
        <v>684872.375</v>
      </c>
      <c r="AN75" s="44">
        <v>0.15635653144709538</v>
      </c>
      <c r="AP75" s="32"/>
      <c r="AR75" s="32"/>
    </row>
    <row r="76" spans="1:44">
      <c r="A76" s="5" t="s">
        <v>822</v>
      </c>
      <c r="B76" s="5" t="s">
        <v>1596</v>
      </c>
      <c r="C76" s="5" t="s">
        <v>1857</v>
      </c>
      <c r="D76" s="29" t="s">
        <v>1858</v>
      </c>
      <c r="E76" s="5" t="s">
        <v>677</v>
      </c>
      <c r="F76" s="30" t="s">
        <v>1148</v>
      </c>
      <c r="G76" s="5" t="s">
        <v>967</v>
      </c>
      <c r="H76" s="31">
        <v>172.61</v>
      </c>
      <c r="I76" s="32">
        <v>67.480999999999995</v>
      </c>
      <c r="J76" s="32">
        <v>67.001260000000002</v>
      </c>
      <c r="K76" s="33">
        <v>0.92</v>
      </c>
      <c r="L76" s="33">
        <v>0.94</v>
      </c>
      <c r="M76" s="6">
        <v>1</v>
      </c>
      <c r="N76" s="6">
        <v>1</v>
      </c>
      <c r="O76" s="6">
        <v>0</v>
      </c>
      <c r="P76" s="6">
        <v>0</v>
      </c>
      <c r="Q76" s="34">
        <v>62.082519999999995</v>
      </c>
      <c r="R76" s="34">
        <v>62.981184399999997</v>
      </c>
      <c r="S76" s="34">
        <v>10716.063777200001</v>
      </c>
      <c r="T76" s="34">
        <v>10871.182239284</v>
      </c>
      <c r="U76" s="35">
        <v>5.8196643168317234E-4</v>
      </c>
      <c r="V76" s="36">
        <v>5.9251582842704739E-4</v>
      </c>
      <c r="W76" s="36">
        <v>1.0549396743875054E-5</v>
      </c>
      <c r="X76" s="37">
        <v>22.144701561254447</v>
      </c>
      <c r="Y76" s="38">
        <v>128293.27131252213</v>
      </c>
      <c r="Z76" s="39">
        <v>1.0887857047895942E-3</v>
      </c>
      <c r="AA76" s="40">
        <v>1.1088770531885919E-3</v>
      </c>
      <c r="AB76" s="40">
        <v>2.0091348398997661E-5</v>
      </c>
      <c r="AC76" s="41">
        <v>0.39548677001634669</v>
      </c>
      <c r="AD76" s="42">
        <v>2291.21586244335</v>
      </c>
      <c r="AE76" s="39">
        <v>0</v>
      </c>
      <c r="AF76" s="40">
        <v>0</v>
      </c>
      <c r="AG76" s="40">
        <v>0</v>
      </c>
      <c r="AH76" s="41">
        <v>0</v>
      </c>
      <c r="AI76" s="42">
        <v>0</v>
      </c>
      <c r="AJ76" s="41">
        <v>22.540188331270794</v>
      </c>
      <c r="AK76" s="30">
        <v>130584.48717496548</v>
      </c>
      <c r="AL76" s="43">
        <f>+$AL$6*W76/H76*10^6</f>
        <v>30.558475012673235</v>
      </c>
      <c r="AM76" s="30">
        <v>852464.125</v>
      </c>
      <c r="AN76" s="44">
        <v>0.15318473041310154</v>
      </c>
      <c r="AP76" s="32"/>
      <c r="AR76" s="32"/>
    </row>
    <row r="77" spans="1:44">
      <c r="A77" s="5" t="s">
        <v>304</v>
      </c>
      <c r="B77" s="5" t="s">
        <v>604</v>
      </c>
      <c r="C77" s="5" t="s">
        <v>1830</v>
      </c>
      <c r="D77" s="29" t="s">
        <v>1831</v>
      </c>
      <c r="E77" s="5" t="s">
        <v>130</v>
      </c>
      <c r="F77" s="30" t="s">
        <v>1150</v>
      </c>
      <c r="G77" s="5" t="s">
        <v>969</v>
      </c>
      <c r="H77" s="31">
        <v>134.71</v>
      </c>
      <c r="I77" s="32">
        <v>398.05700000000002</v>
      </c>
      <c r="J77" s="32">
        <v>398.48769999999996</v>
      </c>
      <c r="K77" s="33">
        <v>1</v>
      </c>
      <c r="L77" s="33">
        <v>1</v>
      </c>
      <c r="M77" s="6">
        <v>1</v>
      </c>
      <c r="N77" s="6">
        <v>1</v>
      </c>
      <c r="O77" s="6">
        <v>0</v>
      </c>
      <c r="P77" s="6">
        <v>0</v>
      </c>
      <c r="Q77" s="34">
        <v>398.05700000000002</v>
      </c>
      <c r="R77" s="34">
        <v>398.48769999999996</v>
      </c>
      <c r="S77" s="34">
        <v>53622.258470000008</v>
      </c>
      <c r="T77" s="34">
        <v>53680.278066999999</v>
      </c>
      <c r="U77" s="35">
        <v>2.9121098072386214E-3</v>
      </c>
      <c r="V77" s="36">
        <v>2.9257548745827673E-3</v>
      </c>
      <c r="W77" s="36">
        <v>1.3645067344145948E-5</v>
      </c>
      <c r="X77" s="37">
        <v>28.642959541242718</v>
      </c>
      <c r="Y77" s="38">
        <v>212626.82459537312</v>
      </c>
      <c r="Z77" s="39">
        <v>5.4481897172810288E-3</v>
      </c>
      <c r="AA77" s="40">
        <v>5.4754696634723684E-3</v>
      </c>
      <c r="AB77" s="40">
        <v>2.7279946191339534E-5</v>
      </c>
      <c r="AC77" s="41">
        <v>0.53699023038049831</v>
      </c>
      <c r="AD77" s="42">
        <v>3986.2685055340976</v>
      </c>
      <c r="AE77" s="39">
        <v>0</v>
      </c>
      <c r="AF77" s="40">
        <v>0</v>
      </c>
      <c r="AG77" s="40">
        <v>0</v>
      </c>
      <c r="AH77" s="41">
        <v>0</v>
      </c>
      <c r="AI77" s="42">
        <v>0</v>
      </c>
      <c r="AJ77" s="41">
        <v>29.179949771623217</v>
      </c>
      <c r="AK77" s="30">
        <v>216613.09310090722</v>
      </c>
      <c r="AL77" s="43">
        <f>+$AL$6*W77/H77*10^6</f>
        <v>50.64608174651454</v>
      </c>
      <c r="AM77" s="30">
        <v>1425905.25</v>
      </c>
      <c r="AN77" s="44">
        <v>0.15191268360987326</v>
      </c>
      <c r="AP77" s="32"/>
      <c r="AR77" s="32"/>
    </row>
    <row r="78" spans="1:44">
      <c r="A78" s="5" t="s">
        <v>1346</v>
      </c>
      <c r="B78" s="5" t="s">
        <v>516</v>
      </c>
      <c r="C78" s="5" t="s">
        <v>1801</v>
      </c>
      <c r="D78" s="29" t="s">
        <v>1802</v>
      </c>
      <c r="E78" s="5" t="s">
        <v>50</v>
      </c>
      <c r="F78" s="30" t="s">
        <v>1149</v>
      </c>
      <c r="G78" s="5" t="s">
        <v>969</v>
      </c>
      <c r="H78" s="31">
        <v>215.18</v>
      </c>
      <c r="I78" s="32">
        <v>231.554</v>
      </c>
      <c r="J78" s="32">
        <v>232.4032</v>
      </c>
      <c r="K78" s="33">
        <v>1</v>
      </c>
      <c r="L78" s="33">
        <v>1</v>
      </c>
      <c r="M78" s="6">
        <v>0.42</v>
      </c>
      <c r="N78" s="6">
        <v>0.42</v>
      </c>
      <c r="O78" s="6">
        <v>0.57999999999999996</v>
      </c>
      <c r="P78" s="6">
        <v>0.57999999999999996</v>
      </c>
      <c r="Q78" s="34">
        <v>231.554</v>
      </c>
      <c r="R78" s="34">
        <v>232.4032</v>
      </c>
      <c r="S78" s="34">
        <v>49825.789720000001</v>
      </c>
      <c r="T78" s="34">
        <v>50008.520576000003</v>
      </c>
      <c r="U78" s="35">
        <v>2.7059317350126015E-3</v>
      </c>
      <c r="V78" s="36">
        <v>2.725631798391344E-3</v>
      </c>
      <c r="W78" s="36">
        <v>1.9700063378742458E-5</v>
      </c>
      <c r="X78" s="37">
        <v>41.353267381221222</v>
      </c>
      <c r="Y78" s="38">
        <v>192179.88373092862</v>
      </c>
      <c r="Z78" s="39">
        <v>2.1262317634590019E-3</v>
      </c>
      <c r="AA78" s="40">
        <v>2.1423968321223775E-3</v>
      </c>
      <c r="AB78" s="40">
        <v>1.6165068663375609E-5</v>
      </c>
      <c r="AC78" s="41">
        <v>0.31820018576203807</v>
      </c>
      <c r="AD78" s="42">
        <v>1478.7628300122599</v>
      </c>
      <c r="AE78" s="39">
        <v>3.3715850394421733E-3</v>
      </c>
      <c r="AF78" s="40">
        <v>3.3948841214449629E-3</v>
      </c>
      <c r="AG78" s="40">
        <v>2.3299082002789604E-5</v>
      </c>
      <c r="AH78" s="41">
        <v>0.29955607758804376</v>
      </c>
      <c r="AI78" s="42">
        <v>1392.1185871737325</v>
      </c>
      <c r="AJ78" s="41">
        <v>41.971023644571304</v>
      </c>
      <c r="AK78" s="30">
        <v>195050.76514811462</v>
      </c>
      <c r="AL78" s="43">
        <f>+$AL$6*W78/H78*10^6</f>
        <v>45.775776974492189</v>
      </c>
      <c r="AM78" s="30">
        <v>1324359.375</v>
      </c>
      <c r="AN78" s="44">
        <v>0.14727933280807154</v>
      </c>
      <c r="AP78" s="32"/>
      <c r="AR78" s="32"/>
    </row>
    <row r="79" spans="1:44">
      <c r="A79" s="5" t="s">
        <v>1683</v>
      </c>
      <c r="B79" s="5" t="s">
        <v>1668</v>
      </c>
      <c r="C79" s="5" t="s">
        <v>1927</v>
      </c>
      <c r="D79" s="29" t="s">
        <v>1928</v>
      </c>
      <c r="E79" s="5" t="s">
        <v>1709</v>
      </c>
      <c r="F79" s="30" t="s">
        <v>1148</v>
      </c>
      <c r="G79" s="5" t="s">
        <v>969</v>
      </c>
      <c r="H79" s="31">
        <v>63.31</v>
      </c>
      <c r="I79" s="32">
        <v>260.73059999999998</v>
      </c>
      <c r="J79" s="32">
        <v>261.84839999999997</v>
      </c>
      <c r="K79" s="33">
        <v>1</v>
      </c>
      <c r="L79" s="33">
        <v>1</v>
      </c>
      <c r="M79" s="6">
        <v>0</v>
      </c>
      <c r="N79" s="6">
        <v>0</v>
      </c>
      <c r="O79" s="6">
        <v>1</v>
      </c>
      <c r="P79" s="6">
        <v>1</v>
      </c>
      <c r="Q79" s="34">
        <v>260.73059999999998</v>
      </c>
      <c r="R79" s="34">
        <v>261.84839999999997</v>
      </c>
      <c r="S79" s="34">
        <v>16506.854285999998</v>
      </c>
      <c r="T79" s="34">
        <v>16577.622203999999</v>
      </c>
      <c r="U79" s="35">
        <v>8.9645183967424673E-4</v>
      </c>
      <c r="V79" s="36">
        <v>9.0353591149076417E-4</v>
      </c>
      <c r="W79" s="36">
        <v>7.084071816517443E-6</v>
      </c>
      <c r="X79" s="37">
        <v>14.870485964645644</v>
      </c>
      <c r="Y79" s="38">
        <v>234883.68290389579</v>
      </c>
      <c r="Z79" s="39">
        <v>0</v>
      </c>
      <c r="AA79" s="40">
        <v>0</v>
      </c>
      <c r="AB79" s="40">
        <v>0</v>
      </c>
      <c r="AC79" s="41">
        <v>0</v>
      </c>
      <c r="AD79" s="42">
        <v>0</v>
      </c>
      <c r="AE79" s="39">
        <v>1.9258224772851183E-3</v>
      </c>
      <c r="AF79" s="40">
        <v>1.9403281868165599E-3</v>
      </c>
      <c r="AG79" s="40">
        <v>1.4505709531441573E-5</v>
      </c>
      <c r="AH79" s="41">
        <v>0.18649977064975679</v>
      </c>
      <c r="AI79" s="42">
        <v>2945.818522346498</v>
      </c>
      <c r="AJ79" s="41">
        <v>15.056985735295401</v>
      </c>
      <c r="AK79" s="30">
        <v>237829.50142624229</v>
      </c>
      <c r="AL79" s="43">
        <f>+$AL$6*W79/H79*10^6</f>
        <v>55.947494996978698</v>
      </c>
      <c r="AM79" s="30">
        <v>1642868.625</v>
      </c>
      <c r="AN79" s="44">
        <v>0.14476477169697138</v>
      </c>
      <c r="AP79" s="32"/>
      <c r="AR79" s="32"/>
    </row>
    <row r="80" spans="1:44">
      <c r="A80" s="5" t="s">
        <v>1351</v>
      </c>
      <c r="B80" s="5" t="s">
        <v>522</v>
      </c>
      <c r="C80" s="5" t="s">
        <v>1968</v>
      </c>
      <c r="D80" s="29" t="s">
        <v>1969</v>
      </c>
      <c r="E80" s="5" t="s">
        <v>55</v>
      </c>
      <c r="F80" s="30" t="s">
        <v>1165</v>
      </c>
      <c r="G80" s="5" t="s">
        <v>969</v>
      </c>
      <c r="H80" s="31">
        <v>128.94999999999999</v>
      </c>
      <c r="I80" s="32">
        <v>132.97</v>
      </c>
      <c r="J80" s="32">
        <v>133.23829999999998</v>
      </c>
      <c r="K80" s="33">
        <v>1</v>
      </c>
      <c r="L80" s="33">
        <v>1</v>
      </c>
      <c r="M80" s="6">
        <v>0</v>
      </c>
      <c r="N80" s="6">
        <v>0</v>
      </c>
      <c r="O80" s="6">
        <v>1</v>
      </c>
      <c r="P80" s="6">
        <v>1</v>
      </c>
      <c r="Q80" s="34">
        <v>132.97</v>
      </c>
      <c r="R80" s="34">
        <v>133.23829999999998</v>
      </c>
      <c r="S80" s="34">
        <v>17146.481499999998</v>
      </c>
      <c r="T80" s="34">
        <v>17181.078784999994</v>
      </c>
      <c r="U80" s="35">
        <v>9.311886213021265E-4</v>
      </c>
      <c r="V80" s="36">
        <v>9.3642631550946401E-4</v>
      </c>
      <c r="W80" s="36">
        <v>5.2376942073375067E-6</v>
      </c>
      <c r="X80" s="37">
        <v>10.994673715152674</v>
      </c>
      <c r="Y80" s="38">
        <v>85263.076503704331</v>
      </c>
      <c r="Z80" s="39">
        <v>0</v>
      </c>
      <c r="AA80" s="40">
        <v>0</v>
      </c>
      <c r="AB80" s="40">
        <v>0</v>
      </c>
      <c r="AC80" s="41">
        <v>0</v>
      </c>
      <c r="AD80" s="42">
        <v>0</v>
      </c>
      <c r="AE80" s="39">
        <v>2.0004465361434555E-3</v>
      </c>
      <c r="AF80" s="40">
        <v>2.0109597767530053E-3</v>
      </c>
      <c r="AG80" s="40">
        <v>1.0513240609549834E-5</v>
      </c>
      <c r="AH80" s="41">
        <v>0.13516863537194365</v>
      </c>
      <c r="AI80" s="42">
        <v>1048.2251676769574</v>
      </c>
      <c r="AJ80" s="41">
        <v>11.129842350524617</v>
      </c>
      <c r="AK80" s="30">
        <v>86311.301671381283</v>
      </c>
      <c r="AL80" s="43">
        <f>+$AL$6*W80/H80*10^6</f>
        <v>20.30901204861383</v>
      </c>
      <c r="AM80" s="30">
        <v>599254.375</v>
      </c>
      <c r="AN80" s="44">
        <v>0.14403115817282316</v>
      </c>
      <c r="AP80" s="32"/>
      <c r="AR80" s="32"/>
    </row>
    <row r="81" spans="1:44">
      <c r="A81" s="5" t="s">
        <v>1195</v>
      </c>
      <c r="B81" s="5" t="s">
        <v>365</v>
      </c>
      <c r="C81" s="5" t="s">
        <v>2026</v>
      </c>
      <c r="D81" s="29" t="s">
        <v>2027</v>
      </c>
      <c r="E81" s="5" t="s">
        <v>720</v>
      </c>
      <c r="F81" s="30" t="s">
        <v>1147</v>
      </c>
      <c r="G81" s="5" t="s">
        <v>969</v>
      </c>
      <c r="H81" s="31">
        <v>55.75</v>
      </c>
      <c r="I81" s="32">
        <v>308.92200000000003</v>
      </c>
      <c r="J81" s="32">
        <v>309.14709999999997</v>
      </c>
      <c r="K81" s="33">
        <v>1</v>
      </c>
      <c r="L81" s="33">
        <v>1</v>
      </c>
      <c r="M81" s="6">
        <v>1</v>
      </c>
      <c r="N81" s="6">
        <v>1</v>
      </c>
      <c r="O81" s="6">
        <v>0</v>
      </c>
      <c r="P81" s="6">
        <v>0</v>
      </c>
      <c r="Q81" s="34">
        <v>308.92200000000003</v>
      </c>
      <c r="R81" s="34">
        <v>309.14709999999997</v>
      </c>
      <c r="S81" s="34">
        <v>17222.4015</v>
      </c>
      <c r="T81" s="34">
        <v>17234.950825</v>
      </c>
      <c r="U81" s="35">
        <v>9.3531167361051164E-4</v>
      </c>
      <c r="V81" s="36">
        <v>9.3936252205140873E-4</v>
      </c>
      <c r="W81" s="36">
        <v>4.0508484408970915E-6</v>
      </c>
      <c r="X81" s="37">
        <v>8.5033136938016192</v>
      </c>
      <c r="Y81" s="38">
        <v>152525.8061668452</v>
      </c>
      <c r="Z81" s="39">
        <v>1.7498500331104266E-3</v>
      </c>
      <c r="AA81" s="40">
        <v>1.7579910870793212E-3</v>
      </c>
      <c r="AB81" s="40">
        <v>8.1410539688945953E-6</v>
      </c>
      <c r="AC81" s="41">
        <v>0.1602520186672742</v>
      </c>
      <c r="AD81" s="42">
        <v>2874.4756711618693</v>
      </c>
      <c r="AE81" s="39">
        <v>0</v>
      </c>
      <c r="AF81" s="40">
        <v>0</v>
      </c>
      <c r="AG81" s="40">
        <v>0</v>
      </c>
      <c r="AH81" s="41">
        <v>0</v>
      </c>
      <c r="AI81" s="42">
        <v>0</v>
      </c>
      <c r="AJ81" s="41">
        <v>8.663565712468893</v>
      </c>
      <c r="AK81" s="30">
        <v>155400.28183800707</v>
      </c>
      <c r="AL81" s="43">
        <f>+$AL$6*W81/H81*10^6</f>
        <v>36.330479290556873</v>
      </c>
      <c r="AM81" s="30">
        <v>1081580.5</v>
      </c>
      <c r="AN81" s="44">
        <v>0.14367888644257831</v>
      </c>
      <c r="AP81" s="32"/>
      <c r="AR81" s="32"/>
    </row>
    <row r="82" spans="1:44">
      <c r="A82" s="5" t="s">
        <v>320</v>
      </c>
      <c r="B82" s="5" t="s">
        <v>620</v>
      </c>
      <c r="C82" s="5" t="s">
        <v>1859</v>
      </c>
      <c r="D82" s="29" t="s">
        <v>1860</v>
      </c>
      <c r="E82" s="5" t="s">
        <v>146</v>
      </c>
      <c r="F82" s="30" t="s">
        <v>1156</v>
      </c>
      <c r="G82" s="5" t="s">
        <v>969</v>
      </c>
      <c r="H82" s="31">
        <v>67.97</v>
      </c>
      <c r="I82" s="32">
        <v>330.88200000000001</v>
      </c>
      <c r="J82" s="32">
        <v>332.50229999999999</v>
      </c>
      <c r="K82" s="33">
        <v>1</v>
      </c>
      <c r="L82" s="33">
        <v>1</v>
      </c>
      <c r="M82" s="6">
        <v>1</v>
      </c>
      <c r="N82" s="6">
        <v>1</v>
      </c>
      <c r="O82" s="6">
        <v>0</v>
      </c>
      <c r="P82" s="6">
        <v>0</v>
      </c>
      <c r="Q82" s="34">
        <v>330.88200000000001</v>
      </c>
      <c r="R82" s="34">
        <v>332.50229999999999</v>
      </c>
      <c r="S82" s="34">
        <v>22490.04954</v>
      </c>
      <c r="T82" s="34">
        <v>22600.181331</v>
      </c>
      <c r="U82" s="35">
        <v>1.2213863365594349E-3</v>
      </c>
      <c r="V82" s="36">
        <v>1.2317855472562581E-3</v>
      </c>
      <c r="W82" s="36">
        <v>1.0399210696823181E-5</v>
      </c>
      <c r="X82" s="37">
        <v>21.829439440455054</v>
      </c>
      <c r="Y82" s="38">
        <v>321162.85773804697</v>
      </c>
      <c r="Z82" s="39">
        <v>2.285059602879664E-3</v>
      </c>
      <c r="AA82" s="40">
        <v>2.3052527245185491E-3</v>
      </c>
      <c r="AB82" s="40">
        <v>2.0193121638885109E-5</v>
      </c>
      <c r="AC82" s="41">
        <v>0.39749011837892817</v>
      </c>
      <c r="AD82" s="42">
        <v>5848.0229274522317</v>
      </c>
      <c r="AE82" s="39">
        <v>0</v>
      </c>
      <c r="AF82" s="40">
        <v>0</v>
      </c>
      <c r="AG82" s="40">
        <v>0</v>
      </c>
      <c r="AH82" s="41">
        <v>0</v>
      </c>
      <c r="AI82" s="42">
        <v>0</v>
      </c>
      <c r="AJ82" s="41">
        <v>22.226929558833984</v>
      </c>
      <c r="AK82" s="30">
        <v>327010.88066549919</v>
      </c>
      <c r="AL82" s="43">
        <f>+$AL$6*W82/H82*10^6</f>
        <v>76.498533888650741</v>
      </c>
      <c r="AM82" s="30">
        <v>2396323.25</v>
      </c>
      <c r="AN82" s="44">
        <v>0.13646359299209704</v>
      </c>
      <c r="AP82" s="32"/>
      <c r="AR82" s="32"/>
    </row>
    <row r="83" spans="1:44">
      <c r="A83" s="5" t="s">
        <v>1256</v>
      </c>
      <c r="B83" s="5" t="s">
        <v>429</v>
      </c>
      <c r="C83" s="5" t="s">
        <v>1988</v>
      </c>
      <c r="D83" s="29" t="s">
        <v>1989</v>
      </c>
      <c r="E83" s="5" t="s">
        <v>1511</v>
      </c>
      <c r="F83" s="30" t="s">
        <v>1149</v>
      </c>
      <c r="G83" s="5" t="s">
        <v>969</v>
      </c>
      <c r="H83" s="31">
        <v>79.95</v>
      </c>
      <c r="I83" s="32">
        <v>214.941</v>
      </c>
      <c r="J83" s="32">
        <v>215.5</v>
      </c>
      <c r="K83" s="33">
        <v>0.8</v>
      </c>
      <c r="L83" s="33">
        <v>0.8</v>
      </c>
      <c r="M83" s="6">
        <v>1</v>
      </c>
      <c r="N83" s="6">
        <v>1</v>
      </c>
      <c r="O83" s="6">
        <v>0</v>
      </c>
      <c r="P83" s="6">
        <v>0</v>
      </c>
      <c r="Q83" s="34">
        <v>171.95280000000002</v>
      </c>
      <c r="R83" s="34">
        <v>172.4</v>
      </c>
      <c r="S83" s="34">
        <v>13747.626360000002</v>
      </c>
      <c r="T83" s="34">
        <v>13783.380000000001</v>
      </c>
      <c r="U83" s="35">
        <v>7.4660409112768558E-4</v>
      </c>
      <c r="V83" s="36">
        <v>7.5124035633521733E-4</v>
      </c>
      <c r="W83" s="36">
        <v>4.6362652075317449E-6</v>
      </c>
      <c r="X83" s="37">
        <v>9.7321877138829791</v>
      </c>
      <c r="Y83" s="38">
        <v>121728.42669021862</v>
      </c>
      <c r="Z83" s="39">
        <v>1.3968019756847368E-3</v>
      </c>
      <c r="AA83" s="40">
        <v>1.4059256354058891E-3</v>
      </c>
      <c r="AB83" s="40">
        <v>9.1236597211522604E-6</v>
      </c>
      <c r="AC83" s="41">
        <v>0.17959405422618444</v>
      </c>
      <c r="AD83" s="42">
        <v>2246.3296338484606</v>
      </c>
      <c r="AE83" s="39">
        <v>0</v>
      </c>
      <c r="AF83" s="40">
        <v>0</v>
      </c>
      <c r="AG83" s="40">
        <v>0</v>
      </c>
      <c r="AH83" s="41">
        <v>0</v>
      </c>
      <c r="AI83" s="42">
        <v>0</v>
      </c>
      <c r="AJ83" s="41">
        <v>9.9117817681091633</v>
      </c>
      <c r="AK83" s="30">
        <v>123974.75632406709</v>
      </c>
      <c r="AL83" s="43">
        <f>+$AL$6*W83/H83*10^6</f>
        <v>28.994779284125983</v>
      </c>
      <c r="AM83" s="30">
        <v>912840.5625</v>
      </c>
      <c r="AN83" s="44">
        <v>0.13581205899148144</v>
      </c>
      <c r="AP83" s="32"/>
      <c r="AR83" s="32"/>
    </row>
    <row r="84" spans="1:44">
      <c r="A84" s="5" t="s">
        <v>831</v>
      </c>
      <c r="B84" s="5" t="s">
        <v>1665</v>
      </c>
      <c r="C84" s="5" t="s">
        <v>1990</v>
      </c>
      <c r="D84" s="29" t="s">
        <v>1991</v>
      </c>
      <c r="E84" s="5" t="s">
        <v>1705</v>
      </c>
      <c r="F84" s="30" t="s">
        <v>1164</v>
      </c>
      <c r="G84" s="5" t="s">
        <v>969</v>
      </c>
      <c r="H84" s="31">
        <v>168.51</v>
      </c>
      <c r="I84" s="32">
        <v>100.521</v>
      </c>
      <c r="J84" s="32">
        <v>100.66589999999999</v>
      </c>
      <c r="K84" s="33">
        <v>1</v>
      </c>
      <c r="L84" s="33">
        <v>1</v>
      </c>
      <c r="M84" s="6">
        <v>0.7</v>
      </c>
      <c r="N84" s="6">
        <v>0.7</v>
      </c>
      <c r="O84" s="6">
        <v>0.3</v>
      </c>
      <c r="P84" s="6">
        <v>0.3</v>
      </c>
      <c r="Q84" s="34">
        <v>100.521</v>
      </c>
      <c r="R84" s="34">
        <v>100.66589999999999</v>
      </c>
      <c r="S84" s="34">
        <v>16938.793709999998</v>
      </c>
      <c r="T84" s="34">
        <v>16963.210808999997</v>
      </c>
      <c r="U84" s="35">
        <v>9.1990954303575526E-4</v>
      </c>
      <c r="V84" s="36">
        <v>9.2455178140213551E-4</v>
      </c>
      <c r="W84" s="36">
        <v>4.6422383663802507E-6</v>
      </c>
      <c r="X84" s="37">
        <v>9.7447262336950171</v>
      </c>
      <c r="Y84" s="38">
        <v>57828.771192777982</v>
      </c>
      <c r="Z84" s="39">
        <v>1.2047242142163464E-3</v>
      </c>
      <c r="AA84" s="40">
        <v>1.2111912357213653E-3</v>
      </c>
      <c r="AB84" s="40">
        <v>6.4670215050189207E-6</v>
      </c>
      <c r="AC84" s="41">
        <v>0.12729964141051794</v>
      </c>
      <c r="AD84" s="42">
        <v>755.44265272398047</v>
      </c>
      <c r="AE84" s="39">
        <v>5.9286480209280333E-4</v>
      </c>
      <c r="AF84" s="40">
        <v>5.9563782428952074E-4</v>
      </c>
      <c r="AG84" s="40">
        <v>2.773022196717414E-6</v>
      </c>
      <c r="AH84" s="41">
        <v>3.5652720232230276E-2</v>
      </c>
      <c r="AI84" s="42">
        <v>211.57628765195108</v>
      </c>
      <c r="AJ84" s="41">
        <v>9.9076785953377655</v>
      </c>
      <c r="AK84" s="30">
        <v>58795.790133153911</v>
      </c>
      <c r="AL84" s="43">
        <f>+$AL$6*W84/H84*10^6</f>
        <v>13.77437056073898</v>
      </c>
      <c r="AM84" s="30">
        <v>437151.5625</v>
      </c>
      <c r="AN84" s="44">
        <v>0.13449749509508824</v>
      </c>
      <c r="AP84" s="32"/>
      <c r="AR84" s="32"/>
    </row>
    <row r="85" spans="1:44">
      <c r="A85" s="5" t="s">
        <v>833</v>
      </c>
      <c r="B85" s="5" t="s">
        <v>1602</v>
      </c>
      <c r="C85" s="5" t="s">
        <v>1805</v>
      </c>
      <c r="D85" s="29" t="s">
        <v>1630</v>
      </c>
      <c r="E85" s="5" t="s">
        <v>691</v>
      </c>
      <c r="F85" s="30" t="s">
        <v>1166</v>
      </c>
      <c r="G85" s="5" t="s">
        <v>967</v>
      </c>
      <c r="H85" s="31">
        <v>97.77</v>
      </c>
      <c r="I85" s="32">
        <v>215.53700000000001</v>
      </c>
      <c r="J85" s="32">
        <v>179.9615</v>
      </c>
      <c r="K85" s="33">
        <v>0.78</v>
      </c>
      <c r="L85" s="33">
        <v>0.95</v>
      </c>
      <c r="M85" s="6">
        <v>1</v>
      </c>
      <c r="N85" s="6">
        <v>1</v>
      </c>
      <c r="O85" s="6">
        <v>0</v>
      </c>
      <c r="P85" s="6">
        <v>0</v>
      </c>
      <c r="Q85" s="34">
        <v>168.11886000000001</v>
      </c>
      <c r="R85" s="34">
        <v>170.963425</v>
      </c>
      <c r="S85" s="34">
        <v>16436.9809422</v>
      </c>
      <c r="T85" s="34">
        <v>16715.094062249998</v>
      </c>
      <c r="U85" s="35">
        <v>8.9265716829056425E-4</v>
      </c>
      <c r="V85" s="36">
        <v>9.110285880169713E-4</v>
      </c>
      <c r="W85" s="36">
        <v>1.837141972640705E-5</v>
      </c>
      <c r="X85" s="37">
        <v>38.564253196186876</v>
      </c>
      <c r="Y85" s="38">
        <v>394438.51075163012</v>
      </c>
      <c r="Z85" s="39">
        <v>1.6700488399335087E-3</v>
      </c>
      <c r="AA85" s="40">
        <v>1.7049649099377677E-3</v>
      </c>
      <c r="AB85" s="40">
        <v>3.491607000425897E-5</v>
      </c>
      <c r="AC85" s="41">
        <v>0.6873029860125236</v>
      </c>
      <c r="AD85" s="42">
        <v>7029.7942723997512</v>
      </c>
      <c r="AE85" s="39">
        <v>0</v>
      </c>
      <c r="AF85" s="40">
        <v>0</v>
      </c>
      <c r="AG85" s="40">
        <v>0</v>
      </c>
      <c r="AH85" s="41">
        <v>0</v>
      </c>
      <c r="AI85" s="42">
        <v>0</v>
      </c>
      <c r="AJ85" s="41">
        <v>39.251556182199401</v>
      </c>
      <c r="AK85" s="30">
        <v>401468.30502402986</v>
      </c>
      <c r="AL85" s="43">
        <f>+$AL$6*W85/H85*10^6</f>
        <v>93.952233437695867</v>
      </c>
      <c r="AM85" s="30">
        <v>2988593.25</v>
      </c>
      <c r="AN85" s="44">
        <v>0.13433353803634196</v>
      </c>
      <c r="AP85" s="32"/>
      <c r="AR85" s="32"/>
    </row>
    <row r="86" spans="1:44">
      <c r="A86" s="5" t="s">
        <v>1187</v>
      </c>
      <c r="B86" s="5" t="s">
        <v>355</v>
      </c>
      <c r="C86" s="5" t="s">
        <v>1939</v>
      </c>
      <c r="D86" s="29" t="s">
        <v>1940</v>
      </c>
      <c r="E86" s="5" t="s">
        <v>712</v>
      </c>
      <c r="F86" s="30" t="s">
        <v>1152</v>
      </c>
      <c r="G86" s="5" t="s">
        <v>969</v>
      </c>
      <c r="H86" s="31">
        <v>49.39</v>
      </c>
      <c r="I86" s="32">
        <v>301.089</v>
      </c>
      <c r="J86" s="32">
        <v>302.47190000000001</v>
      </c>
      <c r="K86" s="33">
        <v>1</v>
      </c>
      <c r="L86" s="33">
        <v>1</v>
      </c>
      <c r="M86" s="6">
        <v>0.51</v>
      </c>
      <c r="N86" s="6">
        <v>0.51</v>
      </c>
      <c r="O86" s="6">
        <v>0.49</v>
      </c>
      <c r="P86" s="6">
        <v>0.49</v>
      </c>
      <c r="Q86" s="34">
        <v>301.089</v>
      </c>
      <c r="R86" s="34">
        <v>302.47190000000001</v>
      </c>
      <c r="S86" s="34">
        <v>14870.78571</v>
      </c>
      <c r="T86" s="34">
        <v>14939.087141</v>
      </c>
      <c r="U86" s="35">
        <v>8.0760046561005919E-4</v>
      </c>
      <c r="V86" s="36">
        <v>8.142302647919234E-4</v>
      </c>
      <c r="W86" s="36">
        <v>6.6297991818642073E-6</v>
      </c>
      <c r="X86" s="37">
        <v>13.916902345972725</v>
      </c>
      <c r="Y86" s="38">
        <v>281775.71058863582</v>
      </c>
      <c r="Z86" s="39">
        <v>7.7056842985462825E-4</v>
      </c>
      <c r="AA86" s="40">
        <v>7.7714285221463294E-4</v>
      </c>
      <c r="AB86" s="40">
        <v>6.5744223600046857E-6</v>
      </c>
      <c r="AC86" s="41">
        <v>0.12941376617665029</v>
      </c>
      <c r="AD86" s="42">
        <v>2620.242279340966</v>
      </c>
      <c r="AE86" s="39">
        <v>8.5012331912045851E-4</v>
      </c>
      <c r="AF86" s="40">
        <v>8.5678744750368951E-4</v>
      </c>
      <c r="AG86" s="40">
        <v>6.6641283832309965E-6</v>
      </c>
      <c r="AH86" s="41">
        <v>8.5680635777187E-2</v>
      </c>
      <c r="AI86" s="42">
        <v>1734.7769948812916</v>
      </c>
      <c r="AJ86" s="41">
        <v>14.131996747926562</v>
      </c>
      <c r="AK86" s="30">
        <v>286130.72986285808</v>
      </c>
      <c r="AL86" s="43">
        <f>+$AL$6*W86/H86*10^6</f>
        <v>67.11681698586969</v>
      </c>
      <c r="AM86" s="30">
        <v>2145532</v>
      </c>
      <c r="AN86" s="44">
        <v>0.13336120359093132</v>
      </c>
      <c r="AP86" s="32"/>
      <c r="AR86" s="32"/>
    </row>
    <row r="87" spans="1:44">
      <c r="A87" s="5" t="s">
        <v>302</v>
      </c>
      <c r="B87" s="5" t="s">
        <v>602</v>
      </c>
      <c r="C87" s="5" t="s">
        <v>1883</v>
      </c>
      <c r="D87" s="29" t="s">
        <v>1884</v>
      </c>
      <c r="E87" s="5" t="s">
        <v>128</v>
      </c>
      <c r="F87" s="30" t="s">
        <v>1159</v>
      </c>
      <c r="G87" s="5" t="s">
        <v>971</v>
      </c>
      <c r="H87" s="31">
        <v>70.069999999999993</v>
      </c>
      <c r="I87" s="32">
        <v>680.38499999999999</v>
      </c>
      <c r="J87" s="32">
        <v>680.38499999999999</v>
      </c>
      <c r="K87" s="33">
        <v>1</v>
      </c>
      <c r="L87" s="33">
        <v>1</v>
      </c>
      <c r="M87" s="6">
        <v>0.66</v>
      </c>
      <c r="N87" s="6">
        <v>0.66</v>
      </c>
      <c r="O87" s="6">
        <v>0.34</v>
      </c>
      <c r="P87" s="6">
        <v>0.34</v>
      </c>
      <c r="Q87" s="34">
        <v>680.38499999999999</v>
      </c>
      <c r="R87" s="34">
        <v>680.38499999999999</v>
      </c>
      <c r="S87" s="34">
        <v>47674.576949999995</v>
      </c>
      <c r="T87" s="34">
        <v>47674.576949999995</v>
      </c>
      <c r="U87" s="35">
        <v>2.589103985049798E-3</v>
      </c>
      <c r="V87" s="36">
        <v>2.598424056802376E-3</v>
      </c>
      <c r="W87" s="36">
        <v>9.3200717525779991E-6</v>
      </c>
      <c r="X87" s="37">
        <v>19.564171535225174</v>
      </c>
      <c r="Y87" s="38">
        <v>279208.95583309804</v>
      </c>
      <c r="Z87" s="39">
        <v>3.1969651640021764E-3</v>
      </c>
      <c r="AA87" s="40">
        <v>3.2095001754395189E-3</v>
      </c>
      <c r="AB87" s="40">
        <v>1.2535011437342543E-5</v>
      </c>
      <c r="AC87" s="41">
        <v>0.24674457318752618</v>
      </c>
      <c r="AD87" s="42">
        <v>3521.401073034483</v>
      </c>
      <c r="AE87" s="39">
        <v>1.8911139518267305E-3</v>
      </c>
      <c r="AF87" s="40">
        <v>1.897224479251839E-3</v>
      </c>
      <c r="AG87" s="40">
        <v>6.110527425108505E-6</v>
      </c>
      <c r="AH87" s="41">
        <v>7.8562993479335916E-2</v>
      </c>
      <c r="AI87" s="42">
        <v>1121.2072710052223</v>
      </c>
      <c r="AJ87" s="41">
        <v>19.889479101892036</v>
      </c>
      <c r="AK87" s="30">
        <v>283851.56417713774</v>
      </c>
      <c r="AL87" s="43">
        <f>+$AL$6*W87/H87*10^6</f>
        <v>66.505435654188673</v>
      </c>
      <c r="AM87" s="30">
        <v>2157931.75</v>
      </c>
      <c r="AN87" s="44">
        <v>0.13153871255526861</v>
      </c>
      <c r="AP87" s="32"/>
      <c r="AR87" s="32"/>
    </row>
    <row r="88" spans="1:44">
      <c r="A88" s="5" t="s">
        <v>1200</v>
      </c>
      <c r="B88" s="5" t="s">
        <v>370</v>
      </c>
      <c r="C88" s="5" t="s">
        <v>1848</v>
      </c>
      <c r="D88" s="29" t="s">
        <v>1849</v>
      </c>
      <c r="E88" s="5" t="s">
        <v>725</v>
      </c>
      <c r="F88" s="30" t="s">
        <v>1165</v>
      </c>
      <c r="G88" s="5" t="s">
        <v>969</v>
      </c>
      <c r="H88" s="31">
        <v>39.31</v>
      </c>
      <c r="I88" s="32">
        <v>777.07399999999996</v>
      </c>
      <c r="J88" s="32">
        <v>779.60680000000002</v>
      </c>
      <c r="K88" s="33">
        <v>1</v>
      </c>
      <c r="L88" s="33">
        <v>1</v>
      </c>
      <c r="M88" s="6">
        <v>0</v>
      </c>
      <c r="N88" s="6">
        <v>0</v>
      </c>
      <c r="O88" s="6">
        <v>1</v>
      </c>
      <c r="P88" s="6">
        <v>1</v>
      </c>
      <c r="Q88" s="34">
        <v>777.07399999999996</v>
      </c>
      <c r="R88" s="34">
        <v>779.60680000000002</v>
      </c>
      <c r="S88" s="34">
        <v>30546.77894</v>
      </c>
      <c r="T88" s="34">
        <v>30646.343308000003</v>
      </c>
      <c r="U88" s="35">
        <v>1.6589300240028508E-3</v>
      </c>
      <c r="V88" s="36">
        <v>1.6703283133072818E-3</v>
      </c>
      <c r="W88" s="36">
        <v>1.1398289304431026E-5</v>
      </c>
      <c r="X88" s="37">
        <v>23.926649180391575</v>
      </c>
      <c r="Y88" s="38">
        <v>608665.71306007565</v>
      </c>
      <c r="Z88" s="39">
        <v>0</v>
      </c>
      <c r="AA88" s="40">
        <v>0</v>
      </c>
      <c r="AB88" s="40">
        <v>0</v>
      </c>
      <c r="AC88" s="41">
        <v>0</v>
      </c>
      <c r="AD88" s="42">
        <v>0</v>
      </c>
      <c r="AE88" s="39">
        <v>3.5638330884889043E-3</v>
      </c>
      <c r="AF88" s="40">
        <v>3.5870019844595961E-3</v>
      </c>
      <c r="AG88" s="40">
        <v>2.3168895970691796E-5</v>
      </c>
      <c r="AH88" s="41">
        <v>0.29788227700108066</v>
      </c>
      <c r="AI88" s="42">
        <v>7577.773518216246</v>
      </c>
      <c r="AJ88" s="41">
        <v>24.224531457392654</v>
      </c>
      <c r="AK88" s="30">
        <v>616243.48657829186</v>
      </c>
      <c r="AL88" s="43">
        <f>+$AL$6*W88/H88*10^6</f>
        <v>144.97951290296393</v>
      </c>
      <c r="AM88" s="30">
        <v>4850530</v>
      </c>
      <c r="AN88" s="44">
        <v>0.12704662925047197</v>
      </c>
      <c r="AP88" s="32"/>
      <c r="AR88" s="32"/>
    </row>
    <row r="89" spans="1:44">
      <c r="A89" s="5" t="s">
        <v>816</v>
      </c>
      <c r="B89" s="5" t="s">
        <v>176</v>
      </c>
      <c r="C89" s="5" t="s">
        <v>1963</v>
      </c>
      <c r="D89" s="29" t="s">
        <v>1571</v>
      </c>
      <c r="E89" s="5" t="s">
        <v>1532</v>
      </c>
      <c r="F89" s="30" t="s">
        <v>1167</v>
      </c>
      <c r="G89" s="5" t="s">
        <v>967</v>
      </c>
      <c r="H89" s="31">
        <v>80.42</v>
      </c>
      <c r="I89" s="32">
        <v>116.556</v>
      </c>
      <c r="J89" s="32">
        <v>116.2509</v>
      </c>
      <c r="K89" s="33">
        <v>0.79</v>
      </c>
      <c r="L89" s="33">
        <v>0.8</v>
      </c>
      <c r="M89" s="6">
        <v>1</v>
      </c>
      <c r="N89" s="6">
        <v>1</v>
      </c>
      <c r="O89" s="6">
        <v>0</v>
      </c>
      <c r="P89" s="6">
        <v>0</v>
      </c>
      <c r="Q89" s="34">
        <v>92.079239999999999</v>
      </c>
      <c r="R89" s="34">
        <v>93.000720000000001</v>
      </c>
      <c r="S89" s="34">
        <v>7405.0124808</v>
      </c>
      <c r="T89" s="34">
        <v>7479.1179024000003</v>
      </c>
      <c r="U89" s="35">
        <v>4.0215033986542323E-4</v>
      </c>
      <c r="V89" s="36">
        <v>4.0763696553908246E-4</v>
      </c>
      <c r="W89" s="36">
        <v>5.4866256736592258E-6</v>
      </c>
      <c r="X89" s="37">
        <v>11.517216678009813</v>
      </c>
      <c r="Y89" s="38">
        <v>143213.33844826926</v>
      </c>
      <c r="Z89" s="39">
        <v>7.5237250360880284E-4</v>
      </c>
      <c r="AA89" s="40">
        <v>7.6288135342762655E-4</v>
      </c>
      <c r="AB89" s="40">
        <v>1.0508849818823712E-5</v>
      </c>
      <c r="AC89" s="41">
        <v>0.20686073372958902</v>
      </c>
      <c r="AD89" s="42">
        <v>2572.2548337427133</v>
      </c>
      <c r="AE89" s="39">
        <v>0</v>
      </c>
      <c r="AF89" s="40">
        <v>0</v>
      </c>
      <c r="AG89" s="40">
        <v>0</v>
      </c>
      <c r="AH89" s="41">
        <v>0</v>
      </c>
      <c r="AI89" s="42">
        <v>0</v>
      </c>
      <c r="AJ89" s="41">
        <v>11.724077411739403</v>
      </c>
      <c r="AK89" s="30">
        <v>145785.59328201198</v>
      </c>
      <c r="AL89" s="43">
        <f>+$AL$6*W89/H89*10^6</f>
        <v>34.112320776294617</v>
      </c>
      <c r="AM89" s="30">
        <v>1148844.75</v>
      </c>
      <c r="AN89" s="44">
        <v>0.12689755798771937</v>
      </c>
      <c r="AP89" s="32"/>
      <c r="AR89" s="32"/>
    </row>
    <row r="90" spans="1:44">
      <c r="A90" s="5" t="s">
        <v>261</v>
      </c>
      <c r="B90" s="5" t="s">
        <v>561</v>
      </c>
      <c r="C90" s="5" t="s">
        <v>1937</v>
      </c>
      <c r="D90" s="29" t="s">
        <v>1938</v>
      </c>
      <c r="E90" s="5" t="s">
        <v>91</v>
      </c>
      <c r="F90" s="30" t="s">
        <v>1156</v>
      </c>
      <c r="G90" s="5" t="s">
        <v>969</v>
      </c>
      <c r="H90" s="31">
        <v>210.53</v>
      </c>
      <c r="I90" s="32">
        <v>172.89599999999999</v>
      </c>
      <c r="J90" s="32">
        <v>172.96729999999999</v>
      </c>
      <c r="K90" s="33">
        <v>0.84</v>
      </c>
      <c r="L90" s="33">
        <v>0.84</v>
      </c>
      <c r="M90" s="6">
        <v>1</v>
      </c>
      <c r="N90" s="6">
        <v>1</v>
      </c>
      <c r="O90" s="6">
        <v>0</v>
      </c>
      <c r="P90" s="6">
        <v>0</v>
      </c>
      <c r="Q90" s="34">
        <v>145.23263999999998</v>
      </c>
      <c r="R90" s="34">
        <v>145.29253199999999</v>
      </c>
      <c r="S90" s="34">
        <v>30575.827699199996</v>
      </c>
      <c r="T90" s="34">
        <v>30588.436761959998</v>
      </c>
      <c r="U90" s="35">
        <v>1.660507599788879E-3</v>
      </c>
      <c r="V90" s="36">
        <v>1.6671722126787541E-3</v>
      </c>
      <c r="W90" s="36">
        <v>6.6646128898751114E-6</v>
      </c>
      <c r="X90" s="37">
        <v>13.989981327914487</v>
      </c>
      <c r="Y90" s="38">
        <v>66451.248410746615</v>
      </c>
      <c r="Z90" s="39">
        <v>3.1066000355306901E-3</v>
      </c>
      <c r="AA90" s="40">
        <v>3.1200668769656979E-3</v>
      </c>
      <c r="AB90" s="40">
        <v>1.346684143500778E-5</v>
      </c>
      <c r="AC90" s="41">
        <v>0.2650871168865519</v>
      </c>
      <c r="AD90" s="42">
        <v>1259.1417702301426</v>
      </c>
      <c r="AE90" s="39">
        <v>0</v>
      </c>
      <c r="AF90" s="40">
        <v>0</v>
      </c>
      <c r="AG90" s="40">
        <v>0</v>
      </c>
      <c r="AH90" s="41">
        <v>0</v>
      </c>
      <c r="AI90" s="42">
        <v>0</v>
      </c>
      <c r="AJ90" s="41">
        <v>14.255068444801038</v>
      </c>
      <c r="AK90" s="30">
        <v>67710.390180976756</v>
      </c>
      <c r="AL90" s="43">
        <f>+$AL$6*W90/H90*10^6</f>
        <v>15.828178620327535</v>
      </c>
      <c r="AM90" s="30">
        <v>533820.3125</v>
      </c>
      <c r="AN90" s="44">
        <v>0.12684116470554266</v>
      </c>
      <c r="AP90" s="32"/>
      <c r="AR90" s="32"/>
    </row>
    <row r="91" spans="1:44">
      <c r="A91" s="5" t="s">
        <v>222</v>
      </c>
      <c r="B91" s="5" t="s">
        <v>1080</v>
      </c>
      <c r="C91" s="5" t="s">
        <v>1785</v>
      </c>
      <c r="D91" s="29" t="s">
        <v>1786</v>
      </c>
      <c r="E91" s="5" t="s">
        <v>877</v>
      </c>
      <c r="F91" s="30" t="s">
        <v>1150</v>
      </c>
      <c r="G91" s="5" t="s">
        <v>969</v>
      </c>
      <c r="H91" s="31">
        <v>62.39</v>
      </c>
      <c r="I91" s="32">
        <v>1666.9749999999999</v>
      </c>
      <c r="J91" s="32">
        <v>1667.5029999999999</v>
      </c>
      <c r="K91" s="33">
        <v>1</v>
      </c>
      <c r="L91" s="33">
        <v>1</v>
      </c>
      <c r="M91" s="6">
        <v>0.53</v>
      </c>
      <c r="N91" s="6">
        <v>0.53</v>
      </c>
      <c r="O91" s="6">
        <v>0.47</v>
      </c>
      <c r="P91" s="6">
        <v>0.47</v>
      </c>
      <c r="Q91" s="34">
        <v>1666.9749999999999</v>
      </c>
      <c r="R91" s="34">
        <v>1667.5029999999999</v>
      </c>
      <c r="S91" s="34">
        <v>104002.57024999999</v>
      </c>
      <c r="T91" s="34">
        <v>104035.51217</v>
      </c>
      <c r="U91" s="35">
        <v>5.6481564455643602E-3</v>
      </c>
      <c r="V91" s="36">
        <v>5.6702837209819095E-3</v>
      </c>
      <c r="W91" s="36">
        <v>2.2127275417549268E-5</v>
      </c>
      <c r="X91" s="37">
        <v>46.448334666131878</v>
      </c>
      <c r="Y91" s="38">
        <v>744483.64587484975</v>
      </c>
      <c r="Z91" s="39">
        <v>5.600503363461358E-3</v>
      </c>
      <c r="AA91" s="40">
        <v>5.6242432975629857E-3</v>
      </c>
      <c r="AB91" s="40">
        <v>2.3739934101627697E-5</v>
      </c>
      <c r="AC91" s="41">
        <v>0.46730710511804469</v>
      </c>
      <c r="AD91" s="42">
        <v>7490.0962512909873</v>
      </c>
      <c r="AE91" s="39">
        <v>5.7028751502817398E-3</v>
      </c>
      <c r="AF91" s="40">
        <v>5.7231143331871338E-3</v>
      </c>
      <c r="AG91" s="40">
        <v>2.0239182905393976E-5</v>
      </c>
      <c r="AH91" s="41">
        <v>0.26021498374918417</v>
      </c>
      <c r="AI91" s="42">
        <v>4170.7803133384223</v>
      </c>
      <c r="AJ91" s="41">
        <v>47.17585675499911</v>
      </c>
      <c r="AK91" s="30">
        <v>756144.52243947913</v>
      </c>
      <c r="AL91" s="43">
        <f>+$AL$6*W91/H91*10^6</f>
        <v>177.33030467662502</v>
      </c>
      <c r="AM91" s="30">
        <v>6001091</v>
      </c>
      <c r="AN91" s="44">
        <v>0.12600117585943607</v>
      </c>
      <c r="AP91" s="32"/>
      <c r="AR91" s="32"/>
    </row>
    <row r="92" spans="1:44">
      <c r="A92" s="5" t="s">
        <v>837</v>
      </c>
      <c r="B92" s="5" t="s">
        <v>1603</v>
      </c>
      <c r="C92" s="5" t="s">
        <v>1834</v>
      </c>
      <c r="D92" s="29" t="s">
        <v>1835</v>
      </c>
      <c r="E92" s="5" t="s">
        <v>695</v>
      </c>
      <c r="F92" s="30" t="s">
        <v>1150</v>
      </c>
      <c r="G92" s="5" t="s">
        <v>969</v>
      </c>
      <c r="H92" s="31">
        <v>137.63999999999999</v>
      </c>
      <c r="I92" s="32">
        <v>243.75200000000001</v>
      </c>
      <c r="J92" s="32">
        <v>244.65549999999999</v>
      </c>
      <c r="K92" s="33">
        <v>1</v>
      </c>
      <c r="L92" s="33">
        <v>1</v>
      </c>
      <c r="M92" s="6">
        <v>0.71</v>
      </c>
      <c r="N92" s="6">
        <v>0.71</v>
      </c>
      <c r="O92" s="6">
        <v>0.28999999999999998</v>
      </c>
      <c r="P92" s="6">
        <v>0.28999999999999998</v>
      </c>
      <c r="Q92" s="34">
        <v>243.75200000000001</v>
      </c>
      <c r="R92" s="34">
        <v>244.65549999999999</v>
      </c>
      <c r="S92" s="34">
        <v>33550.025279999994</v>
      </c>
      <c r="T92" s="34">
        <v>33674.383019999994</v>
      </c>
      <c r="U92" s="35">
        <v>1.8220298890553545E-3</v>
      </c>
      <c r="V92" s="36">
        <v>1.8353666153957436E-3</v>
      </c>
      <c r="W92" s="36">
        <v>1.333672634038917E-5</v>
      </c>
      <c r="X92" s="37">
        <v>27.995707411754285</v>
      </c>
      <c r="Y92" s="38">
        <v>203398.04861780215</v>
      </c>
      <c r="Z92" s="39">
        <v>2.4202393679775254E-3</v>
      </c>
      <c r="AA92" s="40">
        <v>2.4387350290312887E-3</v>
      </c>
      <c r="AB92" s="40">
        <v>1.8495661053763261E-5</v>
      </c>
      <c r="AC92" s="41">
        <v>0.36407657187582787</v>
      </c>
      <c r="AD92" s="42">
        <v>2645.1363838697175</v>
      </c>
      <c r="AE92" s="39">
        <v>1.1351226337065943E-3</v>
      </c>
      <c r="AF92" s="40">
        <v>1.1430114998134779E-3</v>
      </c>
      <c r="AG92" s="40">
        <v>7.8888661068836439E-6</v>
      </c>
      <c r="AH92" s="41">
        <v>0.10142707714030896</v>
      </c>
      <c r="AI92" s="42">
        <v>736.90117073749616</v>
      </c>
      <c r="AJ92" s="41">
        <v>28.46121106077042</v>
      </c>
      <c r="AK92" s="30">
        <v>206780.08617240936</v>
      </c>
      <c r="AL92" s="43">
        <f>+$AL$6*W92/H92*10^6</f>
        <v>48.447857964215245</v>
      </c>
      <c r="AM92" s="30">
        <v>1643934.25</v>
      </c>
      <c r="AN92" s="44">
        <v>0.12578367180585803</v>
      </c>
      <c r="AP92" s="32"/>
      <c r="AR92" s="32"/>
    </row>
    <row r="93" spans="1:44">
      <c r="A93" s="5" t="s">
        <v>996</v>
      </c>
      <c r="B93" s="5" t="s">
        <v>407</v>
      </c>
      <c r="C93" s="5" t="s">
        <v>1841</v>
      </c>
      <c r="D93" s="29" t="s">
        <v>1842</v>
      </c>
      <c r="E93" s="5" t="s">
        <v>883</v>
      </c>
      <c r="F93" s="30" t="s">
        <v>1169</v>
      </c>
      <c r="G93" s="5" t="s">
        <v>971</v>
      </c>
      <c r="H93" s="31">
        <v>146.49</v>
      </c>
      <c r="I93" s="32">
        <v>439.488</v>
      </c>
      <c r="J93" s="32">
        <v>439.48769999999996</v>
      </c>
      <c r="K93" s="33">
        <v>1</v>
      </c>
      <c r="L93" s="33">
        <v>1</v>
      </c>
      <c r="M93" s="6">
        <v>0</v>
      </c>
      <c r="N93" s="6">
        <v>0</v>
      </c>
      <c r="O93" s="6">
        <v>1</v>
      </c>
      <c r="P93" s="6">
        <v>1</v>
      </c>
      <c r="Q93" s="34">
        <v>439.488</v>
      </c>
      <c r="R93" s="34">
        <v>439.48769999999996</v>
      </c>
      <c r="S93" s="34">
        <v>64380.597120000006</v>
      </c>
      <c r="T93" s="34">
        <v>64380.553173</v>
      </c>
      <c r="U93" s="35">
        <v>3.4963720965598957E-3</v>
      </c>
      <c r="V93" s="36">
        <v>3.5089556920539751E-3</v>
      </c>
      <c r="W93" s="36">
        <v>1.2583595494079433E-5</v>
      </c>
      <c r="X93" s="37">
        <v>26.414777408549387</v>
      </c>
      <c r="Y93" s="38">
        <v>180317.95623284447</v>
      </c>
      <c r="Z93" s="39">
        <v>0</v>
      </c>
      <c r="AA93" s="40">
        <v>0</v>
      </c>
      <c r="AB93" s="40">
        <v>0</v>
      </c>
      <c r="AC93" s="41">
        <v>0</v>
      </c>
      <c r="AD93" s="42">
        <v>0</v>
      </c>
      <c r="AE93" s="39">
        <v>7.5111586306235104E-3</v>
      </c>
      <c r="AF93" s="40">
        <v>7.5354233838356224E-3</v>
      </c>
      <c r="AG93" s="40">
        <v>2.4264753212112009E-5</v>
      </c>
      <c r="AH93" s="41">
        <v>0.31197170321954659</v>
      </c>
      <c r="AI93" s="42">
        <v>2129.645048942225</v>
      </c>
      <c r="AJ93" s="41">
        <v>26.726749111768935</v>
      </c>
      <c r="AK93" s="30">
        <v>182447.60128178669</v>
      </c>
      <c r="AL93" s="43">
        <f>+$AL$6*W93/H93*10^6</f>
        <v>42.950356659428742</v>
      </c>
      <c r="AM93" s="30">
        <v>1464844.875</v>
      </c>
      <c r="AN93" s="44">
        <v>0.12455080015335186</v>
      </c>
      <c r="AP93" s="32"/>
      <c r="AR93" s="32"/>
    </row>
    <row r="94" spans="1:44">
      <c r="A94" s="5" t="s">
        <v>800</v>
      </c>
      <c r="B94" s="5" t="s">
        <v>1580</v>
      </c>
      <c r="C94" s="5" t="s">
        <v>1993</v>
      </c>
      <c r="D94" s="29" t="s">
        <v>1994</v>
      </c>
      <c r="E94" s="5" t="s">
        <v>659</v>
      </c>
      <c r="F94" s="30" t="s">
        <v>1164</v>
      </c>
      <c r="G94" s="5" t="s">
        <v>969</v>
      </c>
      <c r="H94" s="31">
        <v>55.49</v>
      </c>
      <c r="I94" s="32">
        <v>241.52099999999999</v>
      </c>
      <c r="J94" s="32">
        <v>242.16399999999999</v>
      </c>
      <c r="K94" s="33">
        <v>1</v>
      </c>
      <c r="L94" s="33">
        <v>1</v>
      </c>
      <c r="M94" s="6">
        <v>0.6</v>
      </c>
      <c r="N94" s="6">
        <v>0.6</v>
      </c>
      <c r="O94" s="6">
        <v>0.4</v>
      </c>
      <c r="P94" s="6">
        <v>0.4</v>
      </c>
      <c r="Q94" s="34">
        <v>241.52099999999999</v>
      </c>
      <c r="R94" s="34">
        <v>242.16399999999999</v>
      </c>
      <c r="S94" s="34">
        <v>13402.00029</v>
      </c>
      <c r="T94" s="34">
        <v>13437.68036</v>
      </c>
      <c r="U94" s="35">
        <v>7.278338808306416E-4</v>
      </c>
      <c r="V94" s="36">
        <v>7.3239856856338213E-4</v>
      </c>
      <c r="W94" s="36">
        <v>4.5646877327405267E-6</v>
      </c>
      <c r="X94" s="37">
        <v>9.5819362960774992</v>
      </c>
      <c r="Y94" s="38">
        <v>172678.61409402592</v>
      </c>
      <c r="Z94" s="39">
        <v>8.1701116947723387E-4</v>
      </c>
      <c r="AA94" s="40">
        <v>8.2239824913109413E-4</v>
      </c>
      <c r="AB94" s="40">
        <v>5.3870796538602571E-6</v>
      </c>
      <c r="AC94" s="41">
        <v>0.10604160008654578</v>
      </c>
      <c r="AD94" s="42">
        <v>1911.003786025334</v>
      </c>
      <c r="AE94" s="39">
        <v>6.2543408821277044E-4</v>
      </c>
      <c r="AF94" s="40">
        <v>6.2912544747576761E-4</v>
      </c>
      <c r="AG94" s="40">
        <v>3.6913592629971752E-6</v>
      </c>
      <c r="AH94" s="41">
        <v>4.7459771233018186E-2</v>
      </c>
      <c r="AI94" s="42">
        <v>855.28511863431584</v>
      </c>
      <c r="AJ94" s="41">
        <v>9.7354376673970631</v>
      </c>
      <c r="AK94" s="30">
        <v>175444.90299868557</v>
      </c>
      <c r="AL94" s="43">
        <f>+$AL$6*W94/H94*10^6</f>
        <v>41.130723848806326</v>
      </c>
      <c r="AM94" s="30">
        <v>1409988.5</v>
      </c>
      <c r="AN94" s="44">
        <v>0.12443002407373221</v>
      </c>
      <c r="AP94" s="32"/>
      <c r="AR94" s="32"/>
    </row>
    <row r="95" spans="1:44">
      <c r="A95" s="5" t="s">
        <v>1016</v>
      </c>
      <c r="B95" s="5" t="s">
        <v>1102</v>
      </c>
      <c r="C95" s="5" t="s">
        <v>1773</v>
      </c>
      <c r="D95" s="29" t="s">
        <v>1774</v>
      </c>
      <c r="E95" s="5" t="s">
        <v>900</v>
      </c>
      <c r="F95" s="30" t="s">
        <v>1159</v>
      </c>
      <c r="G95" s="5" t="s">
        <v>971</v>
      </c>
      <c r="H95" s="31">
        <v>117.69</v>
      </c>
      <c r="I95" s="32">
        <v>1298.9760000000001</v>
      </c>
      <c r="J95" s="32">
        <v>1298.9759999999999</v>
      </c>
      <c r="K95" s="33">
        <v>1</v>
      </c>
      <c r="L95" s="33">
        <v>1</v>
      </c>
      <c r="M95" s="6">
        <v>1</v>
      </c>
      <c r="N95" s="6">
        <v>1</v>
      </c>
      <c r="O95" s="6">
        <v>0</v>
      </c>
      <c r="P95" s="6">
        <v>0</v>
      </c>
      <c r="Q95" s="34">
        <v>1298.9760000000001</v>
      </c>
      <c r="R95" s="34">
        <v>1298.9759999999999</v>
      </c>
      <c r="S95" s="34">
        <v>152876.48544000002</v>
      </c>
      <c r="T95" s="34">
        <v>152876.48543999999</v>
      </c>
      <c r="U95" s="35">
        <v>8.3023939171653523E-3</v>
      </c>
      <c r="V95" s="36">
        <v>8.332280282283536E-3</v>
      </c>
      <c r="W95" s="36">
        <v>2.9886365118183753E-5</v>
      </c>
      <c r="X95" s="37">
        <v>62.735780287827119</v>
      </c>
      <c r="Y95" s="38">
        <v>533059.56570504815</v>
      </c>
      <c r="Z95" s="39">
        <v>1.5532730618839056E-2</v>
      </c>
      <c r="AA95" s="40">
        <v>1.5593633051606435E-2</v>
      </c>
      <c r="AB95" s="40">
        <v>6.0902432767379056E-5</v>
      </c>
      <c r="AC95" s="41">
        <v>1.1988297620935233</v>
      </c>
      <c r="AD95" s="42">
        <v>10186.334965532529</v>
      </c>
      <c r="AE95" s="39">
        <v>0</v>
      </c>
      <c r="AF95" s="40">
        <v>0</v>
      </c>
      <c r="AG95" s="40">
        <v>0</v>
      </c>
      <c r="AH95" s="41">
        <v>0</v>
      </c>
      <c r="AI95" s="42">
        <v>0</v>
      </c>
      <c r="AJ95" s="41">
        <v>63.934610049920643</v>
      </c>
      <c r="AK95" s="30">
        <v>543245.90067058068</v>
      </c>
      <c r="AL95" s="43">
        <f>+$AL$6*W95/H95*10^6</f>
        <v>126.97070744406388</v>
      </c>
      <c r="AM95" s="30">
        <v>4444048</v>
      </c>
      <c r="AN95" s="44">
        <v>0.12224123156873659</v>
      </c>
      <c r="AP95" s="32"/>
      <c r="AR95" s="32"/>
    </row>
    <row r="96" spans="1:44">
      <c r="A96" s="5" t="s">
        <v>1237</v>
      </c>
      <c r="B96" s="5" t="s">
        <v>409</v>
      </c>
      <c r="C96" s="5" t="s">
        <v>2017</v>
      </c>
      <c r="D96" s="29" t="s">
        <v>2018</v>
      </c>
      <c r="E96" s="5" t="s">
        <v>756</v>
      </c>
      <c r="F96" s="30" t="s">
        <v>1151</v>
      </c>
      <c r="G96" s="5" t="s">
        <v>969</v>
      </c>
      <c r="H96" s="31">
        <v>66.77</v>
      </c>
      <c r="I96" s="32">
        <v>137.68</v>
      </c>
      <c r="J96" s="32">
        <v>138.33150000000001</v>
      </c>
      <c r="K96" s="33">
        <v>1</v>
      </c>
      <c r="L96" s="33">
        <v>1</v>
      </c>
      <c r="M96" s="6">
        <v>0</v>
      </c>
      <c r="N96" s="6">
        <v>0</v>
      </c>
      <c r="O96" s="6">
        <v>1</v>
      </c>
      <c r="P96" s="6">
        <v>1</v>
      </c>
      <c r="Q96" s="34">
        <v>137.68</v>
      </c>
      <c r="R96" s="34">
        <v>138.33150000000001</v>
      </c>
      <c r="S96" s="34">
        <v>9192.8935999999994</v>
      </c>
      <c r="T96" s="34">
        <v>9236.3942549999992</v>
      </c>
      <c r="U96" s="35">
        <v>4.9924632742648356E-4</v>
      </c>
      <c r="V96" s="36">
        <v>5.0341441006333375E-4</v>
      </c>
      <c r="W96" s="36">
        <v>4.1680826368501941E-6</v>
      </c>
      <c r="X96" s="37">
        <v>8.7494051381927296</v>
      </c>
      <c r="Y96" s="38">
        <v>131037.96822214661</v>
      </c>
      <c r="Z96" s="39">
        <v>0</v>
      </c>
      <c r="AA96" s="40">
        <v>0</v>
      </c>
      <c r="AB96" s="40">
        <v>0</v>
      </c>
      <c r="AC96" s="41">
        <v>0</v>
      </c>
      <c r="AD96" s="42">
        <v>0</v>
      </c>
      <c r="AE96" s="39">
        <v>1.0725169568611111E-3</v>
      </c>
      <c r="AF96" s="40">
        <v>1.0810739861837812E-3</v>
      </c>
      <c r="AG96" s="40">
        <v>8.5570293226701257E-6</v>
      </c>
      <c r="AH96" s="41">
        <v>0.11001764530456744</v>
      </c>
      <c r="AI96" s="42">
        <v>1647.7107279402044</v>
      </c>
      <c r="AJ96" s="41">
        <v>8.8594227834972976</v>
      </c>
      <c r="AK96" s="30">
        <v>132685.67895008682</v>
      </c>
      <c r="AL96" s="43">
        <f>+$AL$6*W96/H96*10^6</f>
        <v>31.212240803131603</v>
      </c>
      <c r="AM96" s="30">
        <v>1108636.625</v>
      </c>
      <c r="AN96" s="44">
        <v>0.11968365103406792</v>
      </c>
      <c r="AP96" s="32"/>
      <c r="AR96" s="32"/>
    </row>
    <row r="97" spans="1:44">
      <c r="A97" s="5" t="s">
        <v>1209</v>
      </c>
      <c r="B97" s="5" t="s">
        <v>379</v>
      </c>
      <c r="C97" s="5" t="s">
        <v>1915</v>
      </c>
      <c r="D97" s="29" t="s">
        <v>1916</v>
      </c>
      <c r="E97" s="5" t="s">
        <v>731</v>
      </c>
      <c r="F97" s="30" t="s">
        <v>1149</v>
      </c>
      <c r="G97" s="5" t="s">
        <v>969</v>
      </c>
      <c r="H97" s="31">
        <v>17.309999999999999</v>
      </c>
      <c r="I97" s="32">
        <v>1340.6759999999999</v>
      </c>
      <c r="J97" s="32">
        <v>1343.9569999999999</v>
      </c>
      <c r="K97" s="33">
        <v>1</v>
      </c>
      <c r="L97" s="33">
        <v>1</v>
      </c>
      <c r="M97" s="6">
        <v>0.46</v>
      </c>
      <c r="N97" s="6">
        <v>0.46</v>
      </c>
      <c r="O97" s="6">
        <v>0.54</v>
      </c>
      <c r="P97" s="6">
        <v>0.54</v>
      </c>
      <c r="Q97" s="34">
        <v>1340.6759999999999</v>
      </c>
      <c r="R97" s="34">
        <v>1343.9569999999999</v>
      </c>
      <c r="S97" s="34">
        <v>23207.101559999996</v>
      </c>
      <c r="T97" s="34">
        <v>23263.895669999994</v>
      </c>
      <c r="U97" s="35">
        <v>1.2603278932808942E-3</v>
      </c>
      <c r="V97" s="36">
        <v>1.2679602008270913E-3</v>
      </c>
      <c r="W97" s="36">
        <v>7.6323075461970976E-6</v>
      </c>
      <c r="X97" s="37">
        <v>16.02131163873182</v>
      </c>
      <c r="Y97" s="38">
        <v>925552.37658762687</v>
      </c>
      <c r="Z97" s="39">
        <v>1.0846405955206068E-3</v>
      </c>
      <c r="AA97" s="40">
        <v>1.0915581924648443E-3</v>
      </c>
      <c r="AB97" s="40">
        <v>6.917596944237478E-6</v>
      </c>
      <c r="AC97" s="41">
        <v>0.13616896275054977</v>
      </c>
      <c r="AD97" s="42">
        <v>7866.491204537826</v>
      </c>
      <c r="AE97" s="39">
        <v>1.4620647158427777E-3</v>
      </c>
      <c r="AF97" s="40">
        <v>1.4703785411453803E-3</v>
      </c>
      <c r="AG97" s="40">
        <v>8.3138253026025441E-6</v>
      </c>
      <c r="AH97" s="41">
        <v>0.10689077351209228</v>
      </c>
      <c r="AI97" s="42">
        <v>6175.0880134079889</v>
      </c>
      <c r="AJ97" s="41">
        <v>16.264371374994461</v>
      </c>
      <c r="AK97" s="30">
        <v>939593.95580557268</v>
      </c>
      <c r="AL97" s="43">
        <f>+$AL$6*W97/H97*10^6</f>
        <v>220.45949006924025</v>
      </c>
      <c r="AM97" s="30">
        <v>7887251</v>
      </c>
      <c r="AN97" s="44">
        <v>0.11912819254840155</v>
      </c>
      <c r="AP97" s="32"/>
      <c r="AR97" s="32"/>
    </row>
    <row r="98" spans="1:44">
      <c r="A98" s="5" t="s">
        <v>843</v>
      </c>
      <c r="B98" s="5" t="s">
        <v>1126</v>
      </c>
      <c r="C98" s="5" t="s">
        <v>1757</v>
      </c>
      <c r="D98" s="29" t="s">
        <v>1758</v>
      </c>
      <c r="E98" s="5" t="s">
        <v>1049</v>
      </c>
      <c r="F98" s="30" t="s">
        <v>1162</v>
      </c>
      <c r="G98" s="5" t="s">
        <v>971</v>
      </c>
      <c r="H98" s="31">
        <v>76.39</v>
      </c>
      <c r="I98" s="32">
        <v>2712.9960000000001</v>
      </c>
      <c r="J98" s="32">
        <v>2712.5619999999999</v>
      </c>
      <c r="K98" s="33">
        <v>1</v>
      </c>
      <c r="L98" s="33">
        <v>1</v>
      </c>
      <c r="M98" s="6">
        <v>0.49</v>
      </c>
      <c r="N98" s="6">
        <v>0.49</v>
      </c>
      <c r="O98" s="6">
        <v>0.51</v>
      </c>
      <c r="P98" s="6">
        <v>0.51</v>
      </c>
      <c r="Q98" s="34">
        <v>2712.9960000000001</v>
      </c>
      <c r="R98" s="34">
        <v>2712.5619999999999</v>
      </c>
      <c r="S98" s="34">
        <v>207245.76444</v>
      </c>
      <c r="T98" s="34">
        <v>207212.61118000001</v>
      </c>
      <c r="U98" s="35">
        <v>1.1255072806604019E-2</v>
      </c>
      <c r="V98" s="36">
        <v>1.129378105080278E-2</v>
      </c>
      <c r="W98" s="36">
        <v>3.8708244198760317E-5</v>
      </c>
      <c r="X98" s="37">
        <v>81.254173726984277</v>
      </c>
      <c r="Y98" s="38">
        <v>1063675.5298728142</v>
      </c>
      <c r="Z98" s="39">
        <v>1.0317841783330364E-2</v>
      </c>
      <c r="AA98" s="40">
        <v>1.0356640083804112E-2</v>
      </c>
      <c r="AB98" s="40">
        <v>3.8798300473747924E-5</v>
      </c>
      <c r="AC98" s="41">
        <v>0.76372248550783028</v>
      </c>
      <c r="AD98" s="42">
        <v>9997.6762077213025</v>
      </c>
      <c r="AE98" s="39">
        <v>1.2331269043053776E-2</v>
      </c>
      <c r="AF98" s="40">
        <v>1.2369134562621094E-2</v>
      </c>
      <c r="AG98" s="40">
        <v>3.7865519567317762E-5</v>
      </c>
      <c r="AH98" s="41">
        <v>0.48683662798649946</v>
      </c>
      <c r="AI98" s="42">
        <v>6373.0413403128605</v>
      </c>
      <c r="AJ98" s="41">
        <v>82.50473284047861</v>
      </c>
      <c r="AK98" s="30">
        <v>1080046.2474208483</v>
      </c>
      <c r="AL98" s="43">
        <f>+$AL$6*W98/H98*10^6</f>
        <v>253.35936771017356</v>
      </c>
      <c r="AM98" s="30">
        <v>9128537</v>
      </c>
      <c r="AN98" s="44">
        <v>0.11831537161111888</v>
      </c>
      <c r="AP98" s="32"/>
      <c r="AR98" s="32"/>
    </row>
    <row r="99" spans="1:44">
      <c r="A99" s="5" t="s">
        <v>1456</v>
      </c>
      <c r="B99" s="5" t="s">
        <v>1451</v>
      </c>
      <c r="C99" s="5" t="s">
        <v>2192</v>
      </c>
      <c r="D99" s="29" t="s">
        <v>2193</v>
      </c>
      <c r="E99" s="5" t="s">
        <v>656</v>
      </c>
      <c r="F99" s="30" t="s">
        <v>1154</v>
      </c>
      <c r="G99" s="5" t="s">
        <v>969</v>
      </c>
      <c r="H99" s="31">
        <v>49.26</v>
      </c>
      <c r="I99" s="32">
        <v>119.935</v>
      </c>
      <c r="J99" s="32">
        <v>120.0878</v>
      </c>
      <c r="K99" s="33">
        <v>1</v>
      </c>
      <c r="L99" s="33">
        <v>1</v>
      </c>
      <c r="M99" s="6">
        <v>0.4</v>
      </c>
      <c r="N99" s="6">
        <v>0.4</v>
      </c>
      <c r="O99" s="6">
        <v>0.6</v>
      </c>
      <c r="P99" s="6">
        <v>0.6</v>
      </c>
      <c r="Q99" s="34">
        <v>119.935</v>
      </c>
      <c r="R99" s="34">
        <v>120.0878</v>
      </c>
      <c r="S99" s="34">
        <v>5907.9980999999998</v>
      </c>
      <c r="T99" s="34">
        <v>5915.525028</v>
      </c>
      <c r="U99" s="35">
        <v>3.2085070079214693E-4</v>
      </c>
      <c r="V99" s="36">
        <v>3.2241591902309997E-4</v>
      </c>
      <c r="W99" s="36">
        <v>1.5652182309530325E-6</v>
      </c>
      <c r="X99" s="37">
        <v>3.2856182627517327</v>
      </c>
      <c r="Y99" s="38">
        <v>66699.518123258895</v>
      </c>
      <c r="Z99" s="39">
        <v>2.4010845806611434E-4</v>
      </c>
      <c r="AA99" s="40">
        <v>2.4135700484932839E-4</v>
      </c>
      <c r="AB99" s="40">
        <v>1.2485467832140554E-6</v>
      </c>
      <c r="AC99" s="41">
        <v>2.4576933548783663E-2</v>
      </c>
      <c r="AD99" s="42">
        <v>498.9227273403099</v>
      </c>
      <c r="AE99" s="39">
        <v>4.1356476550668837E-4</v>
      </c>
      <c r="AF99" s="40">
        <v>4.154296609152194E-4</v>
      </c>
      <c r="AG99" s="40">
        <v>1.8648954085310337E-6</v>
      </c>
      <c r="AH99" s="41">
        <v>2.3976942680601007E-2</v>
      </c>
      <c r="AI99" s="42">
        <v>486.74264475438503</v>
      </c>
      <c r="AJ99" s="41">
        <v>3.3341721389811174</v>
      </c>
      <c r="AK99" s="30">
        <v>67685.183495353587</v>
      </c>
      <c r="AL99" s="43">
        <f>+$AL$6*W99/H99*10^6</f>
        <v>15.887314565093712</v>
      </c>
      <c r="AM99" s="30">
        <v>576512.625</v>
      </c>
      <c r="AN99" s="44">
        <v>0.11740451216545966</v>
      </c>
      <c r="AP99" s="32"/>
      <c r="AR99" s="32"/>
    </row>
    <row r="100" spans="1:44">
      <c r="A100" s="5" t="s">
        <v>1676</v>
      </c>
      <c r="B100" s="5" t="s">
        <v>1660</v>
      </c>
      <c r="C100" s="5" t="s">
        <v>1808</v>
      </c>
      <c r="D100" s="29" t="s">
        <v>1809</v>
      </c>
      <c r="E100" s="5" t="s">
        <v>1697</v>
      </c>
      <c r="F100" s="30" t="s">
        <v>1153</v>
      </c>
      <c r="G100" s="5" t="s">
        <v>969</v>
      </c>
      <c r="H100" s="31">
        <v>76.69</v>
      </c>
      <c r="I100" s="32">
        <v>1208.7349999999999</v>
      </c>
      <c r="J100" s="32">
        <v>1212.8329999999999</v>
      </c>
      <c r="K100" s="33">
        <v>0.49</v>
      </c>
      <c r="L100" s="33">
        <v>0.49</v>
      </c>
      <c r="M100" s="6">
        <v>0.5</v>
      </c>
      <c r="N100" s="6">
        <v>0.5</v>
      </c>
      <c r="O100" s="6">
        <v>0.5</v>
      </c>
      <c r="P100" s="6">
        <v>0.5</v>
      </c>
      <c r="Q100" s="34">
        <v>592.28014999999994</v>
      </c>
      <c r="R100" s="34">
        <v>594.28816999999992</v>
      </c>
      <c r="S100" s="34">
        <v>45421.964703499994</v>
      </c>
      <c r="T100" s="34">
        <v>45575.959757299992</v>
      </c>
      <c r="U100" s="35">
        <v>2.4667694470778753E-3</v>
      </c>
      <c r="V100" s="36">
        <v>2.4840423936939682E-3</v>
      </c>
      <c r="W100" s="36">
        <v>1.7272946616092837E-5</v>
      </c>
      <c r="X100" s="37">
        <v>36.258400094672382</v>
      </c>
      <c r="Y100" s="38">
        <v>472791.76026434195</v>
      </c>
      <c r="Z100" s="39">
        <v>2.3075070697997631E-3</v>
      </c>
      <c r="AA100" s="40">
        <v>2.3244084608062469E-3</v>
      </c>
      <c r="AB100" s="40">
        <v>1.6901391006483857E-5</v>
      </c>
      <c r="AC100" s="41">
        <v>0.33269427243972849</v>
      </c>
      <c r="AD100" s="42">
        <v>4338.1701974146363</v>
      </c>
      <c r="AE100" s="39">
        <v>2.6496459916848501E-3</v>
      </c>
      <c r="AF100" s="40">
        <v>2.6672196491776923E-3</v>
      </c>
      <c r="AG100" s="40">
        <v>1.7573657492842183E-5</v>
      </c>
      <c r="AH100" s="41">
        <v>0.22594434865722365</v>
      </c>
      <c r="AI100" s="42">
        <v>2946.2035292374972</v>
      </c>
      <c r="AJ100" s="41">
        <v>36.817038715769336</v>
      </c>
      <c r="AK100" s="30">
        <v>480076.13399099407</v>
      </c>
      <c r="AL100" s="43">
        <f>+$AL$6*W100/H100*10^6</f>
        <v>112.61537759872759</v>
      </c>
      <c r="AM100" s="30">
        <v>4128304</v>
      </c>
      <c r="AN100" s="44">
        <v>0.11628894916435274</v>
      </c>
      <c r="AP100" s="32"/>
      <c r="AR100" s="32"/>
    </row>
    <row r="101" spans="1:44">
      <c r="A101" s="5" t="s">
        <v>1327</v>
      </c>
      <c r="B101" s="5" t="s">
        <v>499</v>
      </c>
      <c r="C101" s="5" t="s">
        <v>1880</v>
      </c>
      <c r="D101" s="29" t="s">
        <v>1881</v>
      </c>
      <c r="E101" s="5" t="s">
        <v>33</v>
      </c>
      <c r="F101" s="30" t="s">
        <v>1162</v>
      </c>
      <c r="G101" s="5" t="s">
        <v>969</v>
      </c>
      <c r="H101" s="31">
        <v>115.65</v>
      </c>
      <c r="I101" s="32">
        <v>364.09899999999999</v>
      </c>
      <c r="J101" s="32">
        <v>364.27499999999998</v>
      </c>
      <c r="K101" s="33">
        <v>1</v>
      </c>
      <c r="L101" s="33">
        <v>1</v>
      </c>
      <c r="M101" s="6">
        <v>0.56000000000000005</v>
      </c>
      <c r="N101" s="6">
        <v>0.56000000000000005</v>
      </c>
      <c r="O101" s="6">
        <v>0.44</v>
      </c>
      <c r="P101" s="6">
        <v>0.44</v>
      </c>
      <c r="Q101" s="34">
        <v>364.09899999999999</v>
      </c>
      <c r="R101" s="34">
        <v>364.27499999999998</v>
      </c>
      <c r="S101" s="34">
        <v>42108.049350000001</v>
      </c>
      <c r="T101" s="34">
        <v>42128.403749999998</v>
      </c>
      <c r="U101" s="35">
        <v>2.2867978144640584E-3</v>
      </c>
      <c r="V101" s="36">
        <v>2.2961390489839141E-3</v>
      </c>
      <c r="W101" s="36">
        <v>9.3412345198557421E-6</v>
      </c>
      <c r="X101" s="37">
        <v>19.608595228537116</v>
      </c>
      <c r="Y101" s="38">
        <v>169551.19090823273</v>
      </c>
      <c r="Z101" s="39">
        <v>2.395853567089077E-3</v>
      </c>
      <c r="AA101" s="40">
        <v>2.4064101529580237E-3</v>
      </c>
      <c r="AB101" s="40">
        <v>1.0556585868946779E-5</v>
      </c>
      <c r="AC101" s="41">
        <v>0.2078003907352608</v>
      </c>
      <c r="AD101" s="42">
        <v>1796.8040703438028</v>
      </c>
      <c r="AE101" s="39">
        <v>2.1615721362440851E-3</v>
      </c>
      <c r="AF101" s="40">
        <v>2.1696048101805276E-3</v>
      </c>
      <c r="AG101" s="40">
        <v>8.0326739364425075E-6</v>
      </c>
      <c r="AH101" s="41">
        <v>0.10327601304876859</v>
      </c>
      <c r="AI101" s="42">
        <v>893.00486855831025</v>
      </c>
      <c r="AJ101" s="41">
        <v>19.919671632321148</v>
      </c>
      <c r="AK101" s="30">
        <v>172240.99984713487</v>
      </c>
      <c r="AL101" s="43">
        <f>+$AL$6*W101/H101*10^6</f>
        <v>40.385795589518992</v>
      </c>
      <c r="AM101" s="30">
        <v>1481776.25</v>
      </c>
      <c r="AN101" s="44">
        <v>0.11623954685947684</v>
      </c>
      <c r="AP101" s="32"/>
      <c r="AR101" s="32"/>
    </row>
    <row r="102" spans="1:44">
      <c r="A102" s="5" t="s">
        <v>1249</v>
      </c>
      <c r="B102" s="5" t="s">
        <v>422</v>
      </c>
      <c r="C102" s="5" t="s">
        <v>2207</v>
      </c>
      <c r="D102" s="29" t="s">
        <v>2208</v>
      </c>
      <c r="E102" s="5" t="s">
        <v>766</v>
      </c>
      <c r="F102" s="30" t="s">
        <v>1163</v>
      </c>
      <c r="G102" s="5" t="s">
        <v>969</v>
      </c>
      <c r="H102" s="31">
        <v>115.79</v>
      </c>
      <c r="I102" s="32">
        <v>36.034999999999997</v>
      </c>
      <c r="J102" s="32">
        <v>36.111019999999996</v>
      </c>
      <c r="K102" s="33">
        <v>1</v>
      </c>
      <c r="L102" s="33">
        <v>1</v>
      </c>
      <c r="M102" s="6">
        <v>0.64</v>
      </c>
      <c r="N102" s="6">
        <v>0.64</v>
      </c>
      <c r="O102" s="6">
        <v>0.36</v>
      </c>
      <c r="P102" s="6">
        <v>0.36</v>
      </c>
      <c r="Q102" s="34">
        <v>36.034999999999997</v>
      </c>
      <c r="R102" s="34">
        <v>36.111019999999996</v>
      </c>
      <c r="S102" s="34">
        <v>4172.4926500000001</v>
      </c>
      <c r="T102" s="34">
        <v>4181.2950057999997</v>
      </c>
      <c r="U102" s="35">
        <v>2.2659912344971512E-4</v>
      </c>
      <c r="V102" s="36">
        <v>2.278945766640589E-4</v>
      </c>
      <c r="W102" s="36">
        <v>1.2954532143437739E-6</v>
      </c>
      <c r="X102" s="37">
        <v>2.7193426804112271</v>
      </c>
      <c r="Y102" s="38">
        <v>23485.125489344733</v>
      </c>
      <c r="Z102" s="39">
        <v>2.7132054128011868E-4</v>
      </c>
      <c r="AA102" s="40">
        <v>2.7295899091683276E-4</v>
      </c>
      <c r="AB102" s="40">
        <v>1.6384496367140788E-6</v>
      </c>
      <c r="AC102" s="41">
        <v>3.2251949535195709E-2</v>
      </c>
      <c r="AD102" s="42">
        <v>278.53829808442617</v>
      </c>
      <c r="AE102" s="39">
        <v>1.7524676702678331E-4</v>
      </c>
      <c r="AF102" s="40">
        <v>1.7618391857602609E-4</v>
      </c>
      <c r="AG102" s="40">
        <v>9.3715154924278125E-7</v>
      </c>
      <c r="AH102" s="41">
        <v>1.2048948630813617E-2</v>
      </c>
      <c r="AI102" s="42">
        <v>104.05862881780479</v>
      </c>
      <c r="AJ102" s="41">
        <v>2.7636435785772364</v>
      </c>
      <c r="AK102" s="30">
        <v>23867.722416246965</v>
      </c>
      <c r="AL102" s="43">
        <f>+$AL$6*W102/H102*10^6</f>
        <v>5.5939770893158904</v>
      </c>
      <c r="AM102" s="30">
        <v>208946.65625</v>
      </c>
      <c r="AN102" s="44">
        <v>0.11422878377000573</v>
      </c>
      <c r="AP102" s="32"/>
      <c r="AR102" s="32"/>
    </row>
    <row r="103" spans="1:44">
      <c r="A103" s="5" t="s">
        <v>1029</v>
      </c>
      <c r="B103" s="5" t="s">
        <v>1114</v>
      </c>
      <c r="C103" s="5" t="s">
        <v>1821</v>
      </c>
      <c r="D103" s="29" t="s">
        <v>1822</v>
      </c>
      <c r="E103" s="5" t="s">
        <v>912</v>
      </c>
      <c r="F103" s="30" t="s">
        <v>1155</v>
      </c>
      <c r="G103" s="5" t="s">
        <v>969</v>
      </c>
      <c r="H103" s="31">
        <v>54.18</v>
      </c>
      <c r="I103" s="32">
        <v>1115.819</v>
      </c>
      <c r="J103" s="32">
        <v>1116.8809999999999</v>
      </c>
      <c r="K103" s="33">
        <v>1</v>
      </c>
      <c r="L103" s="33">
        <v>1</v>
      </c>
      <c r="M103" s="6">
        <v>0</v>
      </c>
      <c r="N103" s="6">
        <v>0</v>
      </c>
      <c r="O103" s="6">
        <v>1</v>
      </c>
      <c r="P103" s="6">
        <v>1</v>
      </c>
      <c r="Q103" s="34">
        <v>1115.819</v>
      </c>
      <c r="R103" s="34">
        <v>1116.8809999999999</v>
      </c>
      <c r="S103" s="34">
        <v>60455.073420000001</v>
      </c>
      <c r="T103" s="34">
        <v>60512.612579999994</v>
      </c>
      <c r="U103" s="35">
        <v>3.2831853268957037E-3</v>
      </c>
      <c r="V103" s="36">
        <v>3.2981399799885181E-3</v>
      </c>
      <c r="W103" s="36">
        <v>1.4954653092814386E-5</v>
      </c>
      <c r="X103" s="37">
        <v>31.391968444521673</v>
      </c>
      <c r="Y103" s="38">
        <v>579401.41093616968</v>
      </c>
      <c r="Z103" s="39">
        <v>0</v>
      </c>
      <c r="AA103" s="40">
        <v>0</v>
      </c>
      <c r="AB103" s="40">
        <v>0</v>
      </c>
      <c r="AC103" s="41">
        <v>0</v>
      </c>
      <c r="AD103" s="42">
        <v>0</v>
      </c>
      <c r="AE103" s="39">
        <v>7.0531754409986266E-3</v>
      </c>
      <c r="AF103" s="40">
        <v>7.0827001847438382E-3</v>
      </c>
      <c r="AG103" s="40">
        <v>2.9524743745211642E-5</v>
      </c>
      <c r="AH103" s="41">
        <v>0.37959935189930638</v>
      </c>
      <c r="AI103" s="42">
        <v>7006.2634163770099</v>
      </c>
      <c r="AJ103" s="41">
        <v>31.771567796420978</v>
      </c>
      <c r="AK103" s="30">
        <v>586407.67435254669</v>
      </c>
      <c r="AL103" s="43">
        <f>+$AL$6*W103/H103*10^6</f>
        <v>138.00898018470272</v>
      </c>
      <c r="AM103" s="30">
        <v>5153935</v>
      </c>
      <c r="AN103" s="44">
        <v>0.11377863212332842</v>
      </c>
      <c r="AP103" s="32"/>
      <c r="AR103" s="32"/>
    </row>
    <row r="104" spans="1:44">
      <c r="A104" s="5" t="s">
        <v>1266</v>
      </c>
      <c r="B104" s="5" t="s">
        <v>439</v>
      </c>
      <c r="C104" s="5" t="s">
        <v>1951</v>
      </c>
      <c r="D104" s="29" t="s">
        <v>1952</v>
      </c>
      <c r="E104" s="5" t="s">
        <v>782</v>
      </c>
      <c r="F104" s="30" t="s">
        <v>1156</v>
      </c>
      <c r="G104" s="5" t="s">
        <v>969</v>
      </c>
      <c r="H104" s="31">
        <v>76.849999999999994</v>
      </c>
      <c r="I104" s="32">
        <v>363.98899999999998</v>
      </c>
      <c r="J104" s="32">
        <v>364.08229999999998</v>
      </c>
      <c r="K104" s="33">
        <v>1</v>
      </c>
      <c r="L104" s="33">
        <v>1</v>
      </c>
      <c r="M104" s="6">
        <v>1</v>
      </c>
      <c r="N104" s="6">
        <v>1</v>
      </c>
      <c r="O104" s="6">
        <v>0</v>
      </c>
      <c r="P104" s="6">
        <v>0</v>
      </c>
      <c r="Q104" s="34">
        <v>363.98899999999998</v>
      </c>
      <c r="R104" s="34">
        <v>364.08229999999998</v>
      </c>
      <c r="S104" s="34">
        <v>27972.554649999995</v>
      </c>
      <c r="T104" s="34">
        <v>27979.724754999996</v>
      </c>
      <c r="U104" s="35">
        <v>1.5191294259893427E-3</v>
      </c>
      <c r="V104" s="36">
        <v>1.5249886744113197E-3</v>
      </c>
      <c r="W104" s="36">
        <v>5.8592484219769855E-6</v>
      </c>
      <c r="X104" s="37">
        <v>12.299405437876302</v>
      </c>
      <c r="Y104" s="38">
        <v>160044.31278954202</v>
      </c>
      <c r="Z104" s="39">
        <v>2.8420993251426466E-3</v>
      </c>
      <c r="AA104" s="40">
        <v>2.8539743012711864E-3</v>
      </c>
      <c r="AB104" s="40">
        <v>1.1874976128539803E-5</v>
      </c>
      <c r="AC104" s="41">
        <v>0.23375215340607636</v>
      </c>
      <c r="AD104" s="42">
        <v>3041.6675784785475</v>
      </c>
      <c r="AE104" s="39">
        <v>0</v>
      </c>
      <c r="AF104" s="40">
        <v>0</v>
      </c>
      <c r="AG104" s="40">
        <v>0</v>
      </c>
      <c r="AH104" s="41">
        <v>0</v>
      </c>
      <c r="AI104" s="42">
        <v>0</v>
      </c>
      <c r="AJ104" s="41">
        <v>12.533157591282379</v>
      </c>
      <c r="AK104" s="30">
        <v>163085.98036802057</v>
      </c>
      <c r="AL104" s="43">
        <f>+$AL$6*W104/H104*10^6</f>
        <v>38.121330006356445</v>
      </c>
      <c r="AM104" s="30">
        <v>1446150.625</v>
      </c>
      <c r="AN104" s="44">
        <v>0.11277247165593181</v>
      </c>
      <c r="AP104" s="32"/>
      <c r="AR104" s="32"/>
    </row>
    <row r="105" spans="1:44">
      <c r="A105" s="5" t="s">
        <v>1236</v>
      </c>
      <c r="B105" s="5" t="s">
        <v>408</v>
      </c>
      <c r="C105" s="5" t="s">
        <v>1870</v>
      </c>
      <c r="D105" s="29" t="s">
        <v>1871</v>
      </c>
      <c r="E105" s="5" t="s">
        <v>755</v>
      </c>
      <c r="F105" s="30" t="s">
        <v>1151</v>
      </c>
      <c r="G105" s="5" t="s">
        <v>969</v>
      </c>
      <c r="H105" s="31">
        <v>71.040000000000006</v>
      </c>
      <c r="I105" s="32">
        <v>655.55600000000004</v>
      </c>
      <c r="J105" s="32">
        <v>656</v>
      </c>
      <c r="K105" s="33">
        <v>0.93</v>
      </c>
      <c r="L105" s="33">
        <v>0.93</v>
      </c>
      <c r="M105" s="6">
        <v>0.68</v>
      </c>
      <c r="N105" s="6">
        <v>0.68</v>
      </c>
      <c r="O105" s="6">
        <v>0.32</v>
      </c>
      <c r="P105" s="6">
        <v>0.32</v>
      </c>
      <c r="Q105" s="34">
        <v>609.66708000000006</v>
      </c>
      <c r="R105" s="34">
        <v>610.08000000000004</v>
      </c>
      <c r="S105" s="34">
        <v>43310.749363200004</v>
      </c>
      <c r="T105" s="34">
        <v>43340.083200000008</v>
      </c>
      <c r="U105" s="35">
        <v>2.3521138717048258E-3</v>
      </c>
      <c r="V105" s="36">
        <v>2.3621796356747015E-3</v>
      </c>
      <c r="W105" s="36">
        <v>1.0065763969875716E-5</v>
      </c>
      <c r="X105" s="37">
        <v>21.129486785900102</v>
      </c>
      <c r="Y105" s="38">
        <v>297430.83876548568</v>
      </c>
      <c r="Z105" s="39">
        <v>2.9923454647668261E-3</v>
      </c>
      <c r="AA105" s="40">
        <v>3.0061128059897346E-3</v>
      </c>
      <c r="AB105" s="40">
        <v>1.3767341222908468E-5</v>
      </c>
      <c r="AC105" s="41">
        <v>0.27100228435800788</v>
      </c>
      <c r="AD105" s="42">
        <v>3814.7844081926783</v>
      </c>
      <c r="AE105" s="39">
        <v>1.616953795053817E-3</v>
      </c>
      <c r="AF105" s="40">
        <v>1.6232771434570425E-3</v>
      </c>
      <c r="AG105" s="40">
        <v>6.3233484032254594E-6</v>
      </c>
      <c r="AH105" s="41">
        <v>8.1299230787978918E-2</v>
      </c>
      <c r="AI105" s="42">
        <v>1144.4148478037571</v>
      </c>
      <c r="AJ105" s="41">
        <v>21.481788301046091</v>
      </c>
      <c r="AK105" s="30">
        <v>302390.03802148212</v>
      </c>
      <c r="AL105" s="43">
        <f>+$AL$6*W105/H105*10^6</f>
        <v>70.845748661850479</v>
      </c>
      <c r="AM105" s="30">
        <v>2687342.25</v>
      </c>
      <c r="AN105" s="44">
        <v>0.11252382833689387</v>
      </c>
      <c r="AP105" s="32"/>
      <c r="AR105" s="32"/>
    </row>
    <row r="106" spans="1:44">
      <c r="A106" s="5" t="s">
        <v>1182</v>
      </c>
      <c r="B106" s="5" t="s">
        <v>350</v>
      </c>
      <c r="C106" s="5" t="s">
        <v>1749</v>
      </c>
      <c r="D106" s="29" t="s">
        <v>1750</v>
      </c>
      <c r="E106" s="5" t="s">
        <v>1686</v>
      </c>
      <c r="F106" s="30" t="s">
        <v>1150</v>
      </c>
      <c r="G106" s="5" t="s">
        <v>969</v>
      </c>
      <c r="H106" s="31">
        <v>315.81</v>
      </c>
      <c r="I106" s="32">
        <v>392.44499999999999</v>
      </c>
      <c r="J106" s="32">
        <v>393.63559999999995</v>
      </c>
      <c r="K106" s="33">
        <v>1</v>
      </c>
      <c r="L106" s="33">
        <v>1</v>
      </c>
      <c r="M106" s="6">
        <v>1</v>
      </c>
      <c r="N106" s="6">
        <v>1</v>
      </c>
      <c r="O106" s="6">
        <v>0</v>
      </c>
      <c r="P106" s="6">
        <v>0</v>
      </c>
      <c r="Q106" s="34">
        <v>392.44499999999999</v>
      </c>
      <c r="R106" s="34">
        <v>393.63559999999995</v>
      </c>
      <c r="S106" s="34">
        <v>123938.05545</v>
      </c>
      <c r="T106" s="34">
        <v>124314.05883599998</v>
      </c>
      <c r="U106" s="35">
        <v>6.7308098738130045E-3</v>
      </c>
      <c r="V106" s="36">
        <v>6.7755324062337237E-3</v>
      </c>
      <c r="W106" s="36">
        <v>4.4722532420719135E-5</v>
      </c>
      <c r="X106" s="37">
        <v>93.87903001139432</v>
      </c>
      <c r="Y106" s="38">
        <v>297264.27285834623</v>
      </c>
      <c r="Z106" s="39">
        <v>1.2592495328414239E-2</v>
      </c>
      <c r="AA106" s="40">
        <v>1.2680222279215137E-2</v>
      </c>
      <c r="AB106" s="40">
        <v>8.772695080089786E-5</v>
      </c>
      <c r="AC106" s="41">
        <v>1.7268551481273873</v>
      </c>
      <c r="AD106" s="42">
        <v>5468.0192144877847</v>
      </c>
      <c r="AE106" s="39">
        <v>0</v>
      </c>
      <c r="AF106" s="40">
        <v>0</v>
      </c>
      <c r="AG106" s="40">
        <v>0</v>
      </c>
      <c r="AH106" s="41">
        <v>0</v>
      </c>
      <c r="AI106" s="42">
        <v>0</v>
      </c>
      <c r="AJ106" s="41">
        <v>95.605885159521705</v>
      </c>
      <c r="AK106" s="30">
        <v>302732.29207283404</v>
      </c>
      <c r="AL106" s="43">
        <f>+$AL$6*W106/H106*10^6</f>
        <v>70.806073937999329</v>
      </c>
      <c r="AM106" s="30">
        <v>2697256.25</v>
      </c>
      <c r="AN106" s="44">
        <v>0.11223712692215804</v>
      </c>
      <c r="AP106" s="32"/>
      <c r="AR106" s="32"/>
    </row>
    <row r="107" spans="1:44">
      <c r="A107" s="5" t="s">
        <v>1003</v>
      </c>
      <c r="B107" s="5" t="s">
        <v>1091</v>
      </c>
      <c r="C107" s="5" t="s">
        <v>1789</v>
      </c>
      <c r="D107" s="29" t="s">
        <v>1790</v>
      </c>
      <c r="E107" s="5" t="s">
        <v>888</v>
      </c>
      <c r="F107" s="30" t="s">
        <v>1148</v>
      </c>
      <c r="G107" s="5" t="s">
        <v>969</v>
      </c>
      <c r="H107" s="31">
        <v>45.7</v>
      </c>
      <c r="I107" s="32">
        <v>1152.8810000000001</v>
      </c>
      <c r="J107" s="32">
        <v>1158.1019999999999</v>
      </c>
      <c r="K107" s="33">
        <v>0.94</v>
      </c>
      <c r="L107" s="33">
        <v>0.94</v>
      </c>
      <c r="M107" s="6">
        <v>0</v>
      </c>
      <c r="N107" s="6">
        <v>0</v>
      </c>
      <c r="O107" s="6">
        <v>1</v>
      </c>
      <c r="P107" s="6">
        <v>1</v>
      </c>
      <c r="Q107" s="34">
        <v>1083.70814</v>
      </c>
      <c r="R107" s="34">
        <v>1088.6158799999998</v>
      </c>
      <c r="S107" s="34">
        <v>49525.461997999999</v>
      </c>
      <c r="T107" s="34">
        <v>49749.745715999998</v>
      </c>
      <c r="U107" s="35">
        <v>2.6896215808046966E-3</v>
      </c>
      <c r="V107" s="36">
        <v>2.7115277021510171E-3</v>
      </c>
      <c r="W107" s="36">
        <v>2.1906121346320501E-5</v>
      </c>
      <c r="X107" s="37">
        <v>45.984100452051258</v>
      </c>
      <c r="Y107" s="38">
        <v>1006216.640088649</v>
      </c>
      <c r="Z107" s="39">
        <v>0</v>
      </c>
      <c r="AA107" s="40">
        <v>0</v>
      </c>
      <c r="AB107" s="40">
        <v>0</v>
      </c>
      <c r="AC107" s="41">
        <v>0</v>
      </c>
      <c r="AD107" s="42">
        <v>0</v>
      </c>
      <c r="AE107" s="39">
        <v>5.7780390049587405E-3</v>
      </c>
      <c r="AF107" s="40">
        <v>5.8229601755805096E-3</v>
      </c>
      <c r="AG107" s="40">
        <v>4.4921170621769167E-5</v>
      </c>
      <c r="AH107" s="41">
        <v>0.57755106705531556</v>
      </c>
      <c r="AI107" s="42">
        <v>12637.878929000341</v>
      </c>
      <c r="AJ107" s="41">
        <v>46.561651519106576</v>
      </c>
      <c r="AK107" s="30">
        <v>1018854.5190176493</v>
      </c>
      <c r="AL107" s="43">
        <f>+$AL$6*W107/H107*10^6</f>
        <v>239.67310006915207</v>
      </c>
      <c r="AM107" s="30">
        <v>9124681</v>
      </c>
      <c r="AN107" s="44">
        <v>0.1116591932383882</v>
      </c>
      <c r="AP107" s="32"/>
      <c r="AR107" s="32"/>
    </row>
    <row r="108" spans="1:44">
      <c r="A108" s="5" t="s">
        <v>1305</v>
      </c>
      <c r="B108" s="5" t="s">
        <v>477</v>
      </c>
      <c r="C108" s="5" t="s">
        <v>2057</v>
      </c>
      <c r="D108" s="29" t="s">
        <v>2058</v>
      </c>
      <c r="E108" s="5" t="s">
        <v>13</v>
      </c>
      <c r="F108" s="30" t="s">
        <v>1147</v>
      </c>
      <c r="G108" s="5" t="s">
        <v>969</v>
      </c>
      <c r="H108" s="31">
        <v>83.41</v>
      </c>
      <c r="I108" s="32">
        <v>123.233</v>
      </c>
      <c r="J108" s="32">
        <v>123.59179999999999</v>
      </c>
      <c r="K108" s="33">
        <v>1</v>
      </c>
      <c r="L108" s="33">
        <v>1</v>
      </c>
      <c r="M108" s="6">
        <v>0</v>
      </c>
      <c r="N108" s="6">
        <v>0</v>
      </c>
      <c r="O108" s="6">
        <v>1</v>
      </c>
      <c r="P108" s="6">
        <v>1</v>
      </c>
      <c r="Q108" s="34">
        <v>123.233</v>
      </c>
      <c r="R108" s="34">
        <v>123.59179999999999</v>
      </c>
      <c r="S108" s="34">
        <v>10278.864530000001</v>
      </c>
      <c r="T108" s="34">
        <v>10308.792038</v>
      </c>
      <c r="U108" s="35">
        <v>5.5822307860898645E-4</v>
      </c>
      <c r="V108" s="36">
        <v>5.6186367959185405E-4</v>
      </c>
      <c r="W108" s="36">
        <v>3.6406009828675963E-6</v>
      </c>
      <c r="X108" s="37">
        <v>7.642145254990079</v>
      </c>
      <c r="Y108" s="38">
        <v>91621.451324662266</v>
      </c>
      <c r="Z108" s="39">
        <v>0</v>
      </c>
      <c r="AA108" s="40">
        <v>0</v>
      </c>
      <c r="AB108" s="40">
        <v>0</v>
      </c>
      <c r="AC108" s="41">
        <v>0</v>
      </c>
      <c r="AD108" s="42">
        <v>0</v>
      </c>
      <c r="AE108" s="39">
        <v>1.1992150660487593E-3</v>
      </c>
      <c r="AF108" s="40">
        <v>1.2065928103087763E-3</v>
      </c>
      <c r="AG108" s="40">
        <v>7.3777442600169319E-6</v>
      </c>
      <c r="AH108" s="41">
        <v>9.4855588375274483E-2</v>
      </c>
      <c r="AI108" s="42">
        <v>1137.2208173513307</v>
      </c>
      <c r="AJ108" s="41">
        <v>7.7370008433653537</v>
      </c>
      <c r="AK108" s="30">
        <v>92758.672142013602</v>
      </c>
      <c r="AL108" s="43">
        <f>+$AL$6*W108/H108*10^6</f>
        <v>21.823528251214459</v>
      </c>
      <c r="AM108" s="30">
        <v>834458.4375</v>
      </c>
      <c r="AN108" s="44">
        <v>0.11116032623495835</v>
      </c>
      <c r="AP108" s="32"/>
      <c r="AR108" s="32"/>
    </row>
    <row r="109" spans="1:44">
      <c r="A109" s="5" t="s">
        <v>1323</v>
      </c>
      <c r="B109" s="5" t="s">
        <v>495</v>
      </c>
      <c r="C109" s="5" t="s">
        <v>1970</v>
      </c>
      <c r="D109" s="29" t="s">
        <v>1971</v>
      </c>
      <c r="E109" s="5" t="s">
        <v>29</v>
      </c>
      <c r="F109" s="30" t="s">
        <v>1153</v>
      </c>
      <c r="G109" s="5" t="s">
        <v>969</v>
      </c>
      <c r="H109" s="31">
        <v>68.900000000000006</v>
      </c>
      <c r="I109" s="32">
        <v>352.89800000000002</v>
      </c>
      <c r="J109" s="32">
        <v>353.58099999999996</v>
      </c>
      <c r="K109" s="33">
        <v>0.71</v>
      </c>
      <c r="L109" s="33">
        <v>0.71</v>
      </c>
      <c r="M109" s="6">
        <v>0.49</v>
      </c>
      <c r="N109" s="6">
        <v>0.49</v>
      </c>
      <c r="O109" s="6">
        <v>0.51</v>
      </c>
      <c r="P109" s="6">
        <v>0.51</v>
      </c>
      <c r="Q109" s="34">
        <v>250.55758</v>
      </c>
      <c r="R109" s="34">
        <v>251.04250999999996</v>
      </c>
      <c r="S109" s="34">
        <v>17263.417262000003</v>
      </c>
      <c r="T109" s="34">
        <v>17296.828938999999</v>
      </c>
      <c r="U109" s="35">
        <v>9.3753915164257549E-4</v>
      </c>
      <c r="V109" s="36">
        <v>9.4273508643044428E-4</v>
      </c>
      <c r="W109" s="36">
        <v>5.1959347878687955E-6</v>
      </c>
      <c r="X109" s="37">
        <v>10.907014685545814</v>
      </c>
      <c r="Y109" s="38">
        <v>158302.09993535289</v>
      </c>
      <c r="Z109" s="39">
        <v>8.5946850798245575E-4</v>
      </c>
      <c r="AA109" s="40">
        <v>8.6450834672769403E-4</v>
      </c>
      <c r="AB109" s="40">
        <v>5.0398387452382787E-6</v>
      </c>
      <c r="AC109" s="41">
        <v>9.9206360229010943E-2</v>
      </c>
      <c r="AD109" s="42">
        <v>1439.8600904065447</v>
      </c>
      <c r="AE109" s="39">
        <v>1.027185493684007E-3</v>
      </c>
      <c r="AF109" s="40">
        <v>1.0324989557092153E-3</v>
      </c>
      <c r="AG109" s="40">
        <v>5.3134620252083022E-6</v>
      </c>
      <c r="AH109" s="41">
        <v>6.8315131149538424E-2</v>
      </c>
      <c r="AI109" s="42">
        <v>991.51133743887397</v>
      </c>
      <c r="AJ109" s="41">
        <v>11.074536176924363</v>
      </c>
      <c r="AK109" s="30">
        <v>160733.4713631983</v>
      </c>
      <c r="AL109" s="43">
        <f>+$AL$6*W109/H109*10^6</f>
        <v>37.7063482428795</v>
      </c>
      <c r="AM109" s="30">
        <v>1447547.125</v>
      </c>
      <c r="AN109" s="44">
        <v>0.11103850685565646</v>
      </c>
      <c r="AP109" s="32"/>
      <c r="AR109" s="32"/>
    </row>
    <row r="110" spans="1:44">
      <c r="A110" s="5" t="s">
        <v>1312</v>
      </c>
      <c r="B110" s="5" t="s">
        <v>485</v>
      </c>
      <c r="C110" s="5" t="s">
        <v>1957</v>
      </c>
      <c r="D110" s="29" t="s">
        <v>1958</v>
      </c>
      <c r="E110" s="5" t="s">
        <v>18</v>
      </c>
      <c r="F110" s="30" t="s">
        <v>1151</v>
      </c>
      <c r="G110" s="5" t="s">
        <v>971</v>
      </c>
      <c r="H110" s="31">
        <v>104.72</v>
      </c>
      <c r="I110" s="32">
        <v>275.66899999999998</v>
      </c>
      <c r="J110" s="32">
        <v>275.66890000000001</v>
      </c>
      <c r="K110" s="33">
        <v>1</v>
      </c>
      <c r="L110" s="33">
        <v>1</v>
      </c>
      <c r="M110" s="6">
        <v>1</v>
      </c>
      <c r="N110" s="6">
        <v>1</v>
      </c>
      <c r="O110" s="6">
        <v>0</v>
      </c>
      <c r="P110" s="6">
        <v>0</v>
      </c>
      <c r="Q110" s="34">
        <v>275.66899999999998</v>
      </c>
      <c r="R110" s="34">
        <v>275.66890000000001</v>
      </c>
      <c r="S110" s="34">
        <v>28868.057679999998</v>
      </c>
      <c r="T110" s="34">
        <v>28868.047208</v>
      </c>
      <c r="U110" s="35">
        <v>1.5677622741849086E-3</v>
      </c>
      <c r="V110" s="36">
        <v>1.573405222176258E-3</v>
      </c>
      <c r="W110" s="36">
        <v>5.6429479913494129E-6</v>
      </c>
      <c r="X110" s="37">
        <v>11.84535971373578</v>
      </c>
      <c r="Y110" s="38">
        <v>113114.58855744635</v>
      </c>
      <c r="Z110" s="39">
        <v>2.9330852429135215E-3</v>
      </c>
      <c r="AA110" s="40">
        <v>2.9445845368722763E-3</v>
      </c>
      <c r="AB110" s="40">
        <v>1.1499293958754792E-5</v>
      </c>
      <c r="AC110" s="41">
        <v>0.22635706349322515</v>
      </c>
      <c r="AD110" s="42">
        <v>2161.545678888705</v>
      </c>
      <c r="AE110" s="39">
        <v>0</v>
      </c>
      <c r="AF110" s="40">
        <v>0</v>
      </c>
      <c r="AG110" s="40">
        <v>0</v>
      </c>
      <c r="AH110" s="41">
        <v>0</v>
      </c>
      <c r="AI110" s="42">
        <v>0</v>
      </c>
      <c r="AJ110" s="41">
        <v>12.071716777229005</v>
      </c>
      <c r="AK110" s="30">
        <v>115276.13423633506</v>
      </c>
      <c r="AL110" s="43">
        <f>+$AL$6*W110/H110*10^6</f>
        <v>26.943028988490322</v>
      </c>
      <c r="AM110" s="30">
        <v>1039639.625</v>
      </c>
      <c r="AN110" s="44">
        <v>0.11088085858244875</v>
      </c>
      <c r="AP110" s="32"/>
      <c r="AR110" s="32"/>
    </row>
    <row r="111" spans="1:44">
      <c r="A111" s="5" t="s">
        <v>1297</v>
      </c>
      <c r="B111" s="5" t="s">
        <v>469</v>
      </c>
      <c r="C111" s="5" t="s">
        <v>1909</v>
      </c>
      <c r="D111" s="29" t="s">
        <v>1910</v>
      </c>
      <c r="E111" s="5" t="s">
        <v>5</v>
      </c>
      <c r="F111" s="30" t="s">
        <v>1156</v>
      </c>
      <c r="G111" s="5" t="s">
        <v>969</v>
      </c>
      <c r="H111" s="31">
        <v>68.2</v>
      </c>
      <c r="I111" s="32">
        <v>351.03199999999998</v>
      </c>
      <c r="J111" s="32">
        <v>351.88489999999996</v>
      </c>
      <c r="K111" s="33">
        <v>1</v>
      </c>
      <c r="L111" s="33">
        <v>1</v>
      </c>
      <c r="M111" s="6">
        <v>1</v>
      </c>
      <c r="N111" s="6">
        <v>1</v>
      </c>
      <c r="O111" s="6">
        <v>0</v>
      </c>
      <c r="P111" s="6">
        <v>0</v>
      </c>
      <c r="Q111" s="34">
        <v>351.03199999999998</v>
      </c>
      <c r="R111" s="34">
        <v>351.88489999999996</v>
      </c>
      <c r="S111" s="34">
        <v>23940.382399999999</v>
      </c>
      <c r="T111" s="34">
        <v>23998.550179999998</v>
      </c>
      <c r="U111" s="35">
        <v>1.3001508023964973E-3</v>
      </c>
      <c r="V111" s="36">
        <v>1.3080013312229504E-3</v>
      </c>
      <c r="W111" s="36">
        <v>7.850528826453115E-6</v>
      </c>
      <c r="X111" s="37">
        <v>16.479389502604942</v>
      </c>
      <c r="Y111" s="38">
        <v>241633.27716429534</v>
      </c>
      <c r="Z111" s="39">
        <v>2.432417972331923E-3</v>
      </c>
      <c r="AA111" s="40">
        <v>2.447888464994552E-3</v>
      </c>
      <c r="AB111" s="40">
        <v>1.5470492662629075E-5</v>
      </c>
      <c r="AC111" s="41">
        <v>0.30452785209826955</v>
      </c>
      <c r="AD111" s="42">
        <v>4465.2177727018998</v>
      </c>
      <c r="AE111" s="39">
        <v>0</v>
      </c>
      <c r="AF111" s="40">
        <v>0</v>
      </c>
      <c r="AG111" s="40">
        <v>0</v>
      </c>
      <c r="AH111" s="41">
        <v>0</v>
      </c>
      <c r="AI111" s="42">
        <v>0</v>
      </c>
      <c r="AJ111" s="41">
        <v>16.783917354703213</v>
      </c>
      <c r="AK111" s="30">
        <v>246098.49493699725</v>
      </c>
      <c r="AL111" s="43">
        <f>+$AL$6*W111/H111*10^6</f>
        <v>57.555196674876207</v>
      </c>
      <c r="AM111" s="30">
        <v>2232994</v>
      </c>
      <c r="AN111" s="44">
        <v>0.11021010129762876</v>
      </c>
      <c r="AP111" s="32"/>
      <c r="AR111" s="32"/>
    </row>
    <row r="112" spans="1:44">
      <c r="A112" s="5" t="s">
        <v>1306</v>
      </c>
      <c r="B112" s="5" t="s">
        <v>478</v>
      </c>
      <c r="C112" s="5" t="s">
        <v>2041</v>
      </c>
      <c r="D112" s="29" t="s">
        <v>643</v>
      </c>
      <c r="E112" s="5" t="s">
        <v>1526</v>
      </c>
      <c r="F112" s="30" t="s">
        <v>1150</v>
      </c>
      <c r="G112" s="5" t="s">
        <v>969</v>
      </c>
      <c r="H112" s="31">
        <v>89.54</v>
      </c>
      <c r="I112" s="32">
        <v>172.779</v>
      </c>
      <c r="J112" s="32">
        <v>172.93439999999998</v>
      </c>
      <c r="K112" s="33">
        <v>1</v>
      </c>
      <c r="L112" s="33">
        <v>1</v>
      </c>
      <c r="M112" s="6">
        <v>1</v>
      </c>
      <c r="N112" s="6">
        <v>1</v>
      </c>
      <c r="O112" s="6">
        <v>0</v>
      </c>
      <c r="P112" s="6">
        <v>0</v>
      </c>
      <c r="Q112" s="34">
        <v>172.779</v>
      </c>
      <c r="R112" s="34">
        <v>172.93439999999998</v>
      </c>
      <c r="S112" s="34">
        <v>15470.631660000001</v>
      </c>
      <c r="T112" s="34">
        <v>15484.546176</v>
      </c>
      <c r="U112" s="35">
        <v>8.4017681214355443E-4</v>
      </c>
      <c r="V112" s="36">
        <v>8.4395960837961115E-4</v>
      </c>
      <c r="W112" s="36">
        <v>3.7827962360567147E-6</v>
      </c>
      <c r="X112" s="37">
        <v>7.9406335497950176</v>
      </c>
      <c r="Y112" s="38">
        <v>88682.527918193169</v>
      </c>
      <c r="Z112" s="39">
        <v>1.5718647206366787E-3</v>
      </c>
      <c r="AA112" s="40">
        <v>1.5794471618329196E-3</v>
      </c>
      <c r="AB112" s="40">
        <v>7.5824411962409008E-6</v>
      </c>
      <c r="AC112" s="41">
        <v>0.14925604384471292</v>
      </c>
      <c r="AD112" s="42">
        <v>1666.920302040573</v>
      </c>
      <c r="AE112" s="39">
        <v>0</v>
      </c>
      <c r="AF112" s="40">
        <v>0</v>
      </c>
      <c r="AG112" s="40">
        <v>0</v>
      </c>
      <c r="AH112" s="41">
        <v>0</v>
      </c>
      <c r="AI112" s="42">
        <v>0</v>
      </c>
      <c r="AJ112" s="41">
        <v>8.0898895936397306</v>
      </c>
      <c r="AK112" s="30">
        <v>90349.448220233739</v>
      </c>
      <c r="AL112" s="43">
        <f>+$AL$6*W112/H112*10^6</f>
        <v>21.123499196206801</v>
      </c>
      <c r="AM112" s="30">
        <v>823971.125</v>
      </c>
      <c r="AN112" s="44">
        <v>0.10965123106739176</v>
      </c>
      <c r="AP112" s="32"/>
      <c r="AR112" s="32"/>
    </row>
    <row r="113" spans="1:44">
      <c r="A113" s="5" t="s">
        <v>1017</v>
      </c>
      <c r="B113" s="5" t="s">
        <v>1103</v>
      </c>
      <c r="C113" s="5" t="s">
        <v>1810</v>
      </c>
      <c r="D113" s="29" t="s">
        <v>1811</v>
      </c>
      <c r="E113" s="5" t="s">
        <v>901</v>
      </c>
      <c r="F113" s="30" t="s">
        <v>1164</v>
      </c>
      <c r="G113" s="5" t="s">
        <v>969</v>
      </c>
      <c r="H113" s="31">
        <v>105.54</v>
      </c>
      <c r="I113" s="32">
        <v>781.70699999999999</v>
      </c>
      <c r="J113" s="32">
        <v>781.76239999999996</v>
      </c>
      <c r="K113" s="33">
        <v>1</v>
      </c>
      <c r="L113" s="33">
        <v>1</v>
      </c>
      <c r="M113" s="6">
        <v>0.51</v>
      </c>
      <c r="N113" s="6">
        <v>0.51</v>
      </c>
      <c r="O113" s="6">
        <v>0.49</v>
      </c>
      <c r="P113" s="6">
        <v>0.49</v>
      </c>
      <c r="Q113" s="34">
        <v>781.70699999999999</v>
      </c>
      <c r="R113" s="34">
        <v>781.76239999999996</v>
      </c>
      <c r="S113" s="34">
        <v>82501.356780000002</v>
      </c>
      <c r="T113" s="34">
        <v>82507.203695999997</v>
      </c>
      <c r="U113" s="35">
        <v>4.4804716743503939E-3</v>
      </c>
      <c r="V113" s="36">
        <v>4.4969188330297354E-3</v>
      </c>
      <c r="W113" s="36">
        <v>1.6447158679341531E-5</v>
      </c>
      <c r="X113" s="37">
        <v>34.524952405082068</v>
      </c>
      <c r="Y113" s="38">
        <v>327126.70461514179</v>
      </c>
      <c r="Z113" s="39">
        <v>4.2750223286514627E-3</v>
      </c>
      <c r="AA113" s="40">
        <v>4.292088465873361E-3</v>
      </c>
      <c r="AB113" s="40">
        <v>1.7066137221898384E-5</v>
      </c>
      <c r="AC113" s="41">
        <v>0.33593720802139204</v>
      </c>
      <c r="AD113" s="42">
        <v>3183.0321017755546</v>
      </c>
      <c r="AE113" s="39">
        <v>4.7163834262362418E-3</v>
      </c>
      <c r="AF113" s="40">
        <v>4.7319582373512321E-3</v>
      </c>
      <c r="AG113" s="40">
        <v>1.5574811114990247E-5</v>
      </c>
      <c r="AH113" s="41">
        <v>0.20024519962728746</v>
      </c>
      <c r="AI113" s="42">
        <v>1897.3393938533964</v>
      </c>
      <c r="AJ113" s="41">
        <v>35.061134812730749</v>
      </c>
      <c r="AK113" s="30">
        <v>332207.07611077075</v>
      </c>
      <c r="AL113" s="43">
        <f>+$AL$6*W113/H113*10^6</f>
        <v>77.91907655553122</v>
      </c>
      <c r="AM113" s="30">
        <v>3042869</v>
      </c>
      <c r="AN113" s="44">
        <v>0.10917560897651879</v>
      </c>
      <c r="AP113" s="32"/>
      <c r="AR113" s="32"/>
    </row>
    <row r="114" spans="1:44">
      <c r="A114" s="5" t="s">
        <v>315</v>
      </c>
      <c r="B114" s="5" t="s">
        <v>615</v>
      </c>
      <c r="C114" s="5" t="s">
        <v>1923</v>
      </c>
      <c r="D114" s="29" t="s">
        <v>1924</v>
      </c>
      <c r="E114" s="5" t="s">
        <v>141</v>
      </c>
      <c r="F114" s="30" t="s">
        <v>1166</v>
      </c>
      <c r="G114" s="5" t="s">
        <v>969</v>
      </c>
      <c r="H114" s="31">
        <v>75.239999999999995</v>
      </c>
      <c r="I114" s="32">
        <v>424.97500000000002</v>
      </c>
      <c r="J114" s="32">
        <v>425.642</v>
      </c>
      <c r="K114" s="33">
        <v>0.8</v>
      </c>
      <c r="L114" s="33">
        <v>0.8</v>
      </c>
      <c r="M114" s="6">
        <v>1</v>
      </c>
      <c r="N114" s="6">
        <v>1</v>
      </c>
      <c r="O114" s="6">
        <v>0</v>
      </c>
      <c r="P114" s="6">
        <v>0</v>
      </c>
      <c r="Q114" s="34">
        <v>339.98</v>
      </c>
      <c r="R114" s="34">
        <v>340.5136</v>
      </c>
      <c r="S114" s="34">
        <v>25580.0952</v>
      </c>
      <c r="T114" s="34">
        <v>25620.243263999997</v>
      </c>
      <c r="U114" s="35">
        <v>1.3892000864471901E-3</v>
      </c>
      <c r="V114" s="36">
        <v>1.3963890336798597E-3</v>
      </c>
      <c r="W114" s="36">
        <v>7.1889472326696745E-6</v>
      </c>
      <c r="X114" s="37">
        <v>15.090634552113636</v>
      </c>
      <c r="Y114" s="38">
        <v>200566.6474230946</v>
      </c>
      <c r="Z114" s="39">
        <v>2.5990179379274058E-3</v>
      </c>
      <c r="AA114" s="40">
        <v>2.6133036156728352E-3</v>
      </c>
      <c r="AB114" s="40">
        <v>1.4285677745429388E-5</v>
      </c>
      <c r="AC114" s="41">
        <v>0.28120544409633241</v>
      </c>
      <c r="AD114" s="42">
        <v>3737.4460937843223</v>
      </c>
      <c r="AE114" s="39">
        <v>0</v>
      </c>
      <c r="AF114" s="40">
        <v>0</v>
      </c>
      <c r="AG114" s="40">
        <v>0</v>
      </c>
      <c r="AH114" s="41">
        <v>0</v>
      </c>
      <c r="AI114" s="42">
        <v>0</v>
      </c>
      <c r="AJ114" s="41">
        <v>15.371839996209969</v>
      </c>
      <c r="AK114" s="30">
        <v>204304.09351687893</v>
      </c>
      <c r="AL114" s="43">
        <f>+$AL$6*W114/H114*10^6</f>
        <v>47.773439876858554</v>
      </c>
      <c r="AM114" s="30">
        <v>1875013.75</v>
      </c>
      <c r="AN114" s="44">
        <v>0.10896138415885159</v>
      </c>
      <c r="AP114" s="32"/>
      <c r="AR114" s="32"/>
    </row>
    <row r="115" spans="1:44">
      <c r="A115" s="5" t="s">
        <v>1021</v>
      </c>
      <c r="B115" s="5" t="s">
        <v>1106</v>
      </c>
      <c r="C115" s="5" t="s">
        <v>1765</v>
      </c>
      <c r="D115" s="29" t="s">
        <v>1766</v>
      </c>
      <c r="E115" s="5" t="s">
        <v>905</v>
      </c>
      <c r="F115" s="30" t="s">
        <v>1150</v>
      </c>
      <c r="G115" s="5" t="s">
        <v>971</v>
      </c>
      <c r="H115" s="31">
        <v>98.71</v>
      </c>
      <c r="I115" s="32">
        <v>2773.0450000000001</v>
      </c>
      <c r="J115" s="32">
        <v>2769.1059999999998</v>
      </c>
      <c r="K115" s="33">
        <v>1</v>
      </c>
      <c r="L115" s="33">
        <v>1</v>
      </c>
      <c r="M115" s="6">
        <v>0.57999999999999996</v>
      </c>
      <c r="N115" s="6">
        <v>0.57999999999999996</v>
      </c>
      <c r="O115" s="6">
        <v>0.42</v>
      </c>
      <c r="P115" s="6">
        <v>0.42</v>
      </c>
      <c r="Q115" s="34">
        <v>2773.0450000000001</v>
      </c>
      <c r="R115" s="34">
        <v>2769.1059999999998</v>
      </c>
      <c r="S115" s="34">
        <v>273727.27194999997</v>
      </c>
      <c r="T115" s="34">
        <v>273338.45325999998</v>
      </c>
      <c r="U115" s="35">
        <v>1.4865540838796154E-2</v>
      </c>
      <c r="V115" s="36">
        <v>1.4897860831462204E-2</v>
      </c>
      <c r="W115" s="36">
        <v>3.2319992666049457E-5</v>
      </c>
      <c r="X115" s="37">
        <v>67.844314649284613</v>
      </c>
      <c r="Y115" s="38">
        <v>687309.43824622245</v>
      </c>
      <c r="Z115" s="39">
        <v>1.6130698846688819E-2</v>
      </c>
      <c r="AA115" s="40">
        <v>1.6170943003577382E-2</v>
      </c>
      <c r="AB115" s="40">
        <v>4.0244156888562949E-5</v>
      </c>
      <c r="AC115" s="41">
        <v>0.7921833469715206</v>
      </c>
      <c r="AD115" s="42">
        <v>8025.3606217355955</v>
      </c>
      <c r="AE115" s="39">
        <v>1.3412795194661806E-2</v>
      </c>
      <c r="AF115" s="40">
        <v>1.3437020431963024E-2</v>
      </c>
      <c r="AG115" s="40">
        <v>2.4225237301217853E-5</v>
      </c>
      <c r="AH115" s="41">
        <v>0.31146364752583494</v>
      </c>
      <c r="AI115" s="42">
        <v>3155.3403659794849</v>
      </c>
      <c r="AJ115" s="41">
        <v>68.94796164378198</v>
      </c>
      <c r="AK115" s="30">
        <v>698490.13923393749</v>
      </c>
      <c r="AL115" s="43">
        <f>+$AL$6*W115/H115*10^6</f>
        <v>163.71184614552456</v>
      </c>
      <c r="AM115" s="30">
        <v>6463344</v>
      </c>
      <c r="AN115" s="44">
        <v>0.10806946670855481</v>
      </c>
      <c r="AP115" s="32"/>
      <c r="AR115" s="32"/>
    </row>
    <row r="116" spans="1:44">
      <c r="A116" s="5" t="s">
        <v>980</v>
      </c>
      <c r="B116" s="5" t="s">
        <v>1072</v>
      </c>
      <c r="C116" s="5" t="s">
        <v>1917</v>
      </c>
      <c r="D116" s="29" t="s">
        <v>1918</v>
      </c>
      <c r="E116" s="5" t="s">
        <v>867</v>
      </c>
      <c r="F116" s="30" t="s">
        <v>1154</v>
      </c>
      <c r="G116" s="5" t="s">
        <v>969</v>
      </c>
      <c r="H116" s="31">
        <v>57.57</v>
      </c>
      <c r="I116" s="32">
        <v>489.94200000000001</v>
      </c>
      <c r="J116" s="32">
        <v>490.55959999999999</v>
      </c>
      <c r="K116" s="33">
        <v>1</v>
      </c>
      <c r="L116" s="33">
        <v>1</v>
      </c>
      <c r="M116" s="6">
        <v>0</v>
      </c>
      <c r="N116" s="6">
        <v>0</v>
      </c>
      <c r="O116" s="6">
        <v>1</v>
      </c>
      <c r="P116" s="6">
        <v>1</v>
      </c>
      <c r="Q116" s="34">
        <v>489.94200000000001</v>
      </c>
      <c r="R116" s="34">
        <v>490.55959999999999</v>
      </c>
      <c r="S116" s="34">
        <v>28205.960940000001</v>
      </c>
      <c r="T116" s="34">
        <v>28241.516172</v>
      </c>
      <c r="U116" s="35">
        <v>1.5318052208098923E-3</v>
      </c>
      <c r="V116" s="36">
        <v>1.5392571831074873E-3</v>
      </c>
      <c r="W116" s="36">
        <v>7.4519622975950228E-6</v>
      </c>
      <c r="X116" s="37">
        <v>15.642741014719418</v>
      </c>
      <c r="Y116" s="38">
        <v>271716.88404932118</v>
      </c>
      <c r="Z116" s="39">
        <v>0</v>
      </c>
      <c r="AA116" s="40">
        <v>0</v>
      </c>
      <c r="AB116" s="40">
        <v>0</v>
      </c>
      <c r="AC116" s="41">
        <v>0</v>
      </c>
      <c r="AD116" s="42">
        <v>0</v>
      </c>
      <c r="AE116" s="39">
        <v>3.2907344204127597E-3</v>
      </c>
      <c r="AF116" s="40">
        <v>3.3055289348882136E-3</v>
      </c>
      <c r="AG116" s="40">
        <v>1.4794514475453824E-5</v>
      </c>
      <c r="AH116" s="41">
        <v>0.1902129330913494</v>
      </c>
      <c r="AI116" s="42">
        <v>3304.0287144580407</v>
      </c>
      <c r="AJ116" s="41">
        <v>15.832953947810767</v>
      </c>
      <c r="AK116" s="30">
        <v>275020.91276377923</v>
      </c>
      <c r="AL116" s="43">
        <f>+$AL$6*W116/H116*10^6</f>
        <v>64.720881514634556</v>
      </c>
      <c r="AM116" s="30">
        <v>2548094.25</v>
      </c>
      <c r="AN116" s="44">
        <v>0.10793200163760788</v>
      </c>
      <c r="AP116" s="32"/>
      <c r="AR116" s="32"/>
    </row>
    <row r="117" spans="1:44">
      <c r="A117" s="5" t="s">
        <v>1197</v>
      </c>
      <c r="B117" s="5" t="s">
        <v>367</v>
      </c>
      <c r="C117" s="5" t="s">
        <v>2094</v>
      </c>
      <c r="D117" s="29" t="s">
        <v>2095</v>
      </c>
      <c r="E117" s="5" t="s">
        <v>722</v>
      </c>
      <c r="F117" s="30" t="s">
        <v>1148</v>
      </c>
      <c r="G117" s="5" t="s">
        <v>969</v>
      </c>
      <c r="H117" s="31">
        <v>63.68</v>
      </c>
      <c r="I117" s="32">
        <v>91.022000000000006</v>
      </c>
      <c r="J117" s="32">
        <v>91.437759999999997</v>
      </c>
      <c r="K117" s="33">
        <v>1</v>
      </c>
      <c r="L117" s="33">
        <v>1</v>
      </c>
      <c r="M117" s="6">
        <v>0</v>
      </c>
      <c r="N117" s="6">
        <v>0</v>
      </c>
      <c r="O117" s="6">
        <v>1</v>
      </c>
      <c r="P117" s="6">
        <v>1</v>
      </c>
      <c r="Q117" s="34">
        <v>91.022000000000006</v>
      </c>
      <c r="R117" s="34">
        <v>91.437759999999997</v>
      </c>
      <c r="S117" s="34">
        <v>5796.2809600000001</v>
      </c>
      <c r="T117" s="34">
        <v>5822.7565568</v>
      </c>
      <c r="U117" s="35">
        <v>3.1478358261560351E-4</v>
      </c>
      <c r="V117" s="36">
        <v>3.1735972675669207E-4</v>
      </c>
      <c r="W117" s="36">
        <v>2.5761441410885612E-6</v>
      </c>
      <c r="X117" s="37">
        <v>5.4076971952260884</v>
      </c>
      <c r="Y117" s="38">
        <v>84919.868015485059</v>
      </c>
      <c r="Z117" s="39">
        <v>0</v>
      </c>
      <c r="AA117" s="40">
        <v>0</v>
      </c>
      <c r="AB117" s="40">
        <v>0</v>
      </c>
      <c r="AC117" s="41">
        <v>0</v>
      </c>
      <c r="AD117" s="42">
        <v>0</v>
      </c>
      <c r="AE117" s="39">
        <v>6.762407884641677E-4</v>
      </c>
      <c r="AF117" s="40">
        <v>6.8152468026469329E-4</v>
      </c>
      <c r="AG117" s="40">
        <v>5.2838918005255944E-6</v>
      </c>
      <c r="AH117" s="41">
        <v>6.7934947049654637E-2</v>
      </c>
      <c r="AI117" s="42">
        <v>1066.8176358300038</v>
      </c>
      <c r="AJ117" s="41">
        <v>5.4756321422757432</v>
      </c>
      <c r="AK117" s="30">
        <v>85986.685651315056</v>
      </c>
      <c r="AL117" s="43">
        <f>+$AL$6*W117/H117*10^6</f>
        <v>20.227262414326017</v>
      </c>
      <c r="AM117" s="30">
        <v>802604.375</v>
      </c>
      <c r="AN117" s="44">
        <v>0.10713458377462129</v>
      </c>
      <c r="AP117" s="32"/>
      <c r="AR117" s="32"/>
    </row>
    <row r="118" spans="1:44">
      <c r="A118" s="5" t="s">
        <v>1210</v>
      </c>
      <c r="B118" s="5" t="s">
        <v>380</v>
      </c>
      <c r="C118" s="5" t="s">
        <v>1984</v>
      </c>
      <c r="D118" s="29" t="s">
        <v>1985</v>
      </c>
      <c r="E118" s="5" t="s">
        <v>732</v>
      </c>
      <c r="F118" s="30" t="s">
        <v>1156</v>
      </c>
      <c r="G118" s="5" t="s">
        <v>969</v>
      </c>
      <c r="H118" s="31">
        <v>119.96</v>
      </c>
      <c r="I118" s="32">
        <v>153.40700000000001</v>
      </c>
      <c r="J118" s="32">
        <v>153.5736</v>
      </c>
      <c r="K118" s="33">
        <v>1</v>
      </c>
      <c r="L118" s="33">
        <v>1</v>
      </c>
      <c r="M118" s="6">
        <v>1</v>
      </c>
      <c r="N118" s="6">
        <v>1</v>
      </c>
      <c r="O118" s="6">
        <v>0</v>
      </c>
      <c r="P118" s="6">
        <v>0</v>
      </c>
      <c r="Q118" s="34">
        <v>153.40700000000001</v>
      </c>
      <c r="R118" s="34">
        <v>153.5736</v>
      </c>
      <c r="S118" s="34">
        <v>18402.703720000001</v>
      </c>
      <c r="T118" s="34">
        <v>18422.689055999999</v>
      </c>
      <c r="U118" s="35">
        <v>9.9941135475860267E-4</v>
      </c>
      <c r="V118" s="36">
        <v>1.0040982321522258E-3</v>
      </c>
      <c r="W118" s="36">
        <v>4.6868773936230897E-6</v>
      </c>
      <c r="X118" s="37">
        <v>9.8384299743237218</v>
      </c>
      <c r="Y118" s="38">
        <v>82014.254537543529</v>
      </c>
      <c r="Z118" s="39">
        <v>1.8697724422324826E-3</v>
      </c>
      <c r="AA118" s="40">
        <v>1.8791421855119655E-3</v>
      </c>
      <c r="AB118" s="40">
        <v>9.3697432794828412E-6</v>
      </c>
      <c r="AC118" s="41">
        <v>0.18443806915766339</v>
      </c>
      <c r="AD118" s="42">
        <v>1537.4964084500116</v>
      </c>
      <c r="AE118" s="39">
        <v>0</v>
      </c>
      <c r="AF118" s="40">
        <v>0</v>
      </c>
      <c r="AG118" s="40">
        <v>0</v>
      </c>
      <c r="AH118" s="41">
        <v>0</v>
      </c>
      <c r="AI118" s="42">
        <v>0</v>
      </c>
      <c r="AJ118" s="41">
        <v>10.022868043481385</v>
      </c>
      <c r="AK118" s="30">
        <v>83551.750945993539</v>
      </c>
      <c r="AL118" s="43">
        <f>+$AL$6*W118/H118*10^6</f>
        <v>19.535167529272631</v>
      </c>
      <c r="AM118" s="30">
        <v>799220.125</v>
      </c>
      <c r="AN118" s="44">
        <v>0.10454160040826492</v>
      </c>
      <c r="AP118" s="32"/>
      <c r="AR118" s="32"/>
    </row>
    <row r="119" spans="1:44">
      <c r="A119" s="5" t="s">
        <v>317</v>
      </c>
      <c r="B119" s="5" t="s">
        <v>617</v>
      </c>
      <c r="C119" s="5" t="s">
        <v>1965</v>
      </c>
      <c r="D119" s="29" t="s">
        <v>1966</v>
      </c>
      <c r="E119" s="5" t="s">
        <v>143</v>
      </c>
      <c r="F119" s="30" t="s">
        <v>1148</v>
      </c>
      <c r="G119" s="5" t="s">
        <v>969</v>
      </c>
      <c r="H119" s="31">
        <v>97.26</v>
      </c>
      <c r="I119" s="32">
        <v>132.66</v>
      </c>
      <c r="J119" s="32">
        <v>133.18639999999999</v>
      </c>
      <c r="K119" s="33">
        <v>1</v>
      </c>
      <c r="L119" s="33">
        <v>1</v>
      </c>
      <c r="M119" s="6">
        <v>0.6</v>
      </c>
      <c r="N119" s="6">
        <v>0.6</v>
      </c>
      <c r="O119" s="6">
        <v>0.4</v>
      </c>
      <c r="P119" s="6">
        <v>0.4</v>
      </c>
      <c r="Q119" s="34">
        <v>132.66</v>
      </c>
      <c r="R119" s="34">
        <v>133.18639999999999</v>
      </c>
      <c r="S119" s="34">
        <v>12902.5116</v>
      </c>
      <c r="T119" s="34">
        <v>12953.709263999999</v>
      </c>
      <c r="U119" s="35">
        <v>7.0070772176429868E-4</v>
      </c>
      <c r="V119" s="36">
        <v>7.060205235109359E-4</v>
      </c>
      <c r="W119" s="36">
        <v>5.3128017466372258E-6</v>
      </c>
      <c r="X119" s="37">
        <v>11.152335246249997</v>
      </c>
      <c r="Y119" s="38">
        <v>114665.17834926996</v>
      </c>
      <c r="Z119" s="39">
        <v>7.8656139855296002E-4</v>
      </c>
      <c r="AA119" s="40">
        <v>7.9277877826131244E-4</v>
      </c>
      <c r="AB119" s="40">
        <v>6.2173797083524187E-6</v>
      </c>
      <c r="AC119" s="41">
        <v>0.12238558458048268</v>
      </c>
      <c r="AD119" s="42">
        <v>1258.3342029660978</v>
      </c>
      <c r="AE119" s="39">
        <v>6.0212433991826855E-4</v>
      </c>
      <c r="AF119" s="40">
        <v>6.0646688407946291E-4</v>
      </c>
      <c r="AG119" s="40">
        <v>4.3425441611943559E-6</v>
      </c>
      <c r="AH119" s="41">
        <v>5.5832049328144923E-2</v>
      </c>
      <c r="AI119" s="42">
        <v>574.04944816106229</v>
      </c>
      <c r="AJ119" s="41">
        <v>11.330552880158626</v>
      </c>
      <c r="AK119" s="30">
        <v>116497.56200039713</v>
      </c>
      <c r="AL119" s="43">
        <f>+$AL$6*W119/H119*10^6</f>
        <v>27.312367605578991</v>
      </c>
      <c r="AM119" s="30">
        <v>1119007.75</v>
      </c>
      <c r="AN119" s="44">
        <v>0.10410791346208025</v>
      </c>
      <c r="AP119" s="32"/>
      <c r="AR119" s="32"/>
    </row>
    <row r="120" spans="1:44">
      <c r="A120" s="5" t="s">
        <v>268</v>
      </c>
      <c r="B120" s="5" t="s">
        <v>569</v>
      </c>
      <c r="C120" s="5" t="s">
        <v>2064</v>
      </c>
      <c r="D120" s="29" t="s">
        <v>2065</v>
      </c>
      <c r="E120" s="5" t="s">
        <v>98</v>
      </c>
      <c r="F120" s="30" t="s">
        <v>1151</v>
      </c>
      <c r="G120" s="5" t="s">
        <v>969</v>
      </c>
      <c r="H120" s="31">
        <v>77.05</v>
      </c>
      <c r="I120" s="32">
        <v>183.31899999999999</v>
      </c>
      <c r="J120" s="32">
        <v>183.48339999999999</v>
      </c>
      <c r="K120" s="33">
        <v>1</v>
      </c>
      <c r="L120" s="33">
        <v>1</v>
      </c>
      <c r="M120" s="6">
        <v>1</v>
      </c>
      <c r="N120" s="6">
        <v>1</v>
      </c>
      <c r="O120" s="6">
        <v>0</v>
      </c>
      <c r="P120" s="6">
        <v>0</v>
      </c>
      <c r="Q120" s="34">
        <v>183.31899999999999</v>
      </c>
      <c r="R120" s="34">
        <v>183.48339999999999</v>
      </c>
      <c r="S120" s="34">
        <v>14124.728949999999</v>
      </c>
      <c r="T120" s="34">
        <v>14137.395969999998</v>
      </c>
      <c r="U120" s="35">
        <v>7.6708372369087687E-4</v>
      </c>
      <c r="V120" s="36">
        <v>7.7053541193487101E-4</v>
      </c>
      <c r="W120" s="36">
        <v>3.4516882439941492E-6</v>
      </c>
      <c r="X120" s="37">
        <v>7.2455902362492628</v>
      </c>
      <c r="Y120" s="38">
        <v>94037.51117779706</v>
      </c>
      <c r="Z120" s="39">
        <v>1.4351167821069146E-3</v>
      </c>
      <c r="AA120" s="40">
        <v>1.4420358005153234E-3</v>
      </c>
      <c r="AB120" s="40">
        <v>6.9190184084088908E-6</v>
      </c>
      <c r="AC120" s="41">
        <v>0.13619694346457062</v>
      </c>
      <c r="AD120" s="42">
        <v>1767.6436530119486</v>
      </c>
      <c r="AE120" s="39">
        <v>0</v>
      </c>
      <c r="AF120" s="40">
        <v>0</v>
      </c>
      <c r="AG120" s="40">
        <v>0</v>
      </c>
      <c r="AH120" s="41">
        <v>0</v>
      </c>
      <c r="AI120" s="42">
        <v>0</v>
      </c>
      <c r="AJ120" s="41">
        <v>7.3817871797138332</v>
      </c>
      <c r="AK120" s="30">
        <v>95805.154830809013</v>
      </c>
      <c r="AL120" s="43">
        <f>+$AL$6*W120/H120*10^6</f>
        <v>22.399015210864047</v>
      </c>
      <c r="AM120" s="30">
        <v>924519.375</v>
      </c>
      <c r="AN120" s="44">
        <v>0.10362698437856861</v>
      </c>
      <c r="AP120" s="32"/>
      <c r="AR120" s="32"/>
    </row>
    <row r="121" spans="1:44">
      <c r="A121" s="5" t="s">
        <v>1279</v>
      </c>
      <c r="B121" s="5" t="s">
        <v>452</v>
      </c>
      <c r="C121" s="5" t="s">
        <v>2233</v>
      </c>
      <c r="D121" s="29" t="s">
        <v>2234</v>
      </c>
      <c r="E121" s="5" t="s">
        <v>793</v>
      </c>
      <c r="F121" s="30" t="s">
        <v>1147</v>
      </c>
      <c r="G121" s="5" t="s">
        <v>969</v>
      </c>
      <c r="H121" s="31">
        <v>30.69</v>
      </c>
      <c r="I121" s="32">
        <v>140.125</v>
      </c>
      <c r="J121" s="32">
        <v>140.2484</v>
      </c>
      <c r="K121" s="33">
        <v>1</v>
      </c>
      <c r="L121" s="33">
        <v>1</v>
      </c>
      <c r="M121" s="6">
        <v>0.47</v>
      </c>
      <c r="N121" s="6">
        <v>0.47</v>
      </c>
      <c r="O121" s="6">
        <v>0.53</v>
      </c>
      <c r="P121" s="6">
        <v>0.53</v>
      </c>
      <c r="Q121" s="34">
        <v>140.125</v>
      </c>
      <c r="R121" s="34">
        <v>140.2484</v>
      </c>
      <c r="S121" s="34">
        <v>4300.4362499999997</v>
      </c>
      <c r="T121" s="34">
        <v>4304.2233960000003</v>
      </c>
      <c r="U121" s="35">
        <v>2.3354746585386554E-4</v>
      </c>
      <c r="V121" s="36">
        <v>2.3459458549045437E-4</v>
      </c>
      <c r="W121" s="36">
        <v>1.0471196365888355E-6</v>
      </c>
      <c r="X121" s="37">
        <v>2.1980547716770573</v>
      </c>
      <c r="Y121" s="38">
        <v>71621.204681559379</v>
      </c>
      <c r="Z121" s="39">
        <v>2.0536077397756262E-4</v>
      </c>
      <c r="AA121" s="40">
        <v>2.0634753348500808E-4</v>
      </c>
      <c r="AB121" s="40">
        <v>9.8675950744545483E-7</v>
      </c>
      <c r="AC121" s="41">
        <v>1.9423799868106082E-2</v>
      </c>
      <c r="AD121" s="42">
        <v>632.90322150883287</v>
      </c>
      <c r="AE121" s="39">
        <v>2.6591345776191301E-4</v>
      </c>
      <c r="AF121" s="40">
        <v>2.6700760300035314E-4</v>
      </c>
      <c r="AG121" s="40">
        <v>1.0941452384401304E-6</v>
      </c>
      <c r="AH121" s="41">
        <v>1.4067415012296098E-2</v>
      </c>
      <c r="AI121" s="42">
        <v>458.37129398162585</v>
      </c>
      <c r="AJ121" s="41">
        <v>2.2315459865574594</v>
      </c>
      <c r="AK121" s="30">
        <v>72712.479197049848</v>
      </c>
      <c r="AL121" s="43">
        <f>+$AL$6*W121/H121*10^6</f>
        <v>17.059622622822342</v>
      </c>
      <c r="AM121" s="30">
        <v>702910.9375</v>
      </c>
      <c r="AN121" s="44">
        <v>0.1034447969406506</v>
      </c>
      <c r="AP121" s="32"/>
      <c r="AR121" s="32"/>
    </row>
    <row r="122" spans="1:44">
      <c r="A122" s="5" t="s">
        <v>1339</v>
      </c>
      <c r="B122" s="5" t="s">
        <v>511</v>
      </c>
      <c r="C122" s="5" t="s">
        <v>2205</v>
      </c>
      <c r="D122" s="29" t="s">
        <v>2206</v>
      </c>
      <c r="E122" s="5" t="s">
        <v>43</v>
      </c>
      <c r="F122" s="30" t="s">
        <v>1157</v>
      </c>
      <c r="G122" s="5" t="s">
        <v>971</v>
      </c>
      <c r="H122" s="31">
        <v>23.14</v>
      </c>
      <c r="I122" s="32">
        <v>366.65899999999999</v>
      </c>
      <c r="J122" s="32">
        <v>366.6026</v>
      </c>
      <c r="K122" s="33">
        <v>0.86</v>
      </c>
      <c r="L122" s="33">
        <v>0.86</v>
      </c>
      <c r="M122" s="6">
        <v>0</v>
      </c>
      <c r="N122" s="6">
        <v>0</v>
      </c>
      <c r="O122" s="6">
        <v>1</v>
      </c>
      <c r="P122" s="6">
        <v>1</v>
      </c>
      <c r="Q122" s="34">
        <v>315.32673999999997</v>
      </c>
      <c r="R122" s="34">
        <v>315.27823599999999</v>
      </c>
      <c r="S122" s="34">
        <v>7296.6607635999999</v>
      </c>
      <c r="T122" s="34">
        <v>7295.5383810399999</v>
      </c>
      <c r="U122" s="35">
        <v>3.9626599058040018E-4</v>
      </c>
      <c r="V122" s="36">
        <v>3.9763126700633248E-4</v>
      </c>
      <c r="W122" s="36">
        <v>1.3652764259322993E-6</v>
      </c>
      <c r="X122" s="37">
        <v>2.8659116473594031</v>
      </c>
      <c r="Y122" s="38">
        <v>123850.97871043229</v>
      </c>
      <c r="Z122" s="39">
        <v>0</v>
      </c>
      <c r="AA122" s="40">
        <v>0</v>
      </c>
      <c r="AB122" s="40">
        <v>0</v>
      </c>
      <c r="AC122" s="41">
        <v>0</v>
      </c>
      <c r="AD122" s="42">
        <v>0</v>
      </c>
      <c r="AE122" s="39">
        <v>8.5128717223749266E-4</v>
      </c>
      <c r="AF122" s="40">
        <v>8.539064640596248E-4</v>
      </c>
      <c r="AG122" s="40">
        <v>2.6192918221321429E-6</v>
      </c>
      <c r="AH122" s="41">
        <v>3.3676210255940614E-2</v>
      </c>
      <c r="AI122" s="42">
        <v>1455.3245573008044</v>
      </c>
      <c r="AJ122" s="41">
        <v>2.8995878576153435</v>
      </c>
      <c r="AK122" s="30">
        <v>125306.30326773309</v>
      </c>
      <c r="AL122" s="43">
        <f>+$AL$6*W122/H122*10^6</f>
        <v>29.500354925071289</v>
      </c>
      <c r="AM122" s="30">
        <v>1240774.75</v>
      </c>
      <c r="AN122" s="44">
        <v>0.10099037175581876</v>
      </c>
      <c r="AP122" s="32"/>
      <c r="AR122" s="32"/>
    </row>
    <row r="123" spans="1:44">
      <c r="A123" s="5" t="s">
        <v>279</v>
      </c>
      <c r="B123" s="5" t="s">
        <v>579</v>
      </c>
      <c r="C123" s="5" t="s">
        <v>1945</v>
      </c>
      <c r="D123" s="29" t="s">
        <v>1946</v>
      </c>
      <c r="E123" s="5" t="s">
        <v>107</v>
      </c>
      <c r="F123" s="30" t="s">
        <v>1148</v>
      </c>
      <c r="G123" s="5" t="s">
        <v>969</v>
      </c>
      <c r="H123" s="31">
        <v>139.63</v>
      </c>
      <c r="I123" s="32">
        <v>119.428</v>
      </c>
      <c r="J123" s="32">
        <v>119.80369999999999</v>
      </c>
      <c r="K123" s="33">
        <v>1</v>
      </c>
      <c r="L123" s="33">
        <v>1</v>
      </c>
      <c r="M123" s="6">
        <v>1</v>
      </c>
      <c r="N123" s="6">
        <v>1</v>
      </c>
      <c r="O123" s="6">
        <v>0</v>
      </c>
      <c r="P123" s="6">
        <v>0</v>
      </c>
      <c r="Q123" s="34">
        <v>119.428</v>
      </c>
      <c r="R123" s="34">
        <v>119.80369999999999</v>
      </c>
      <c r="S123" s="34">
        <v>16675.731639999998</v>
      </c>
      <c r="T123" s="34">
        <v>16728.190630999998</v>
      </c>
      <c r="U123" s="35">
        <v>9.0562320643193463E-4</v>
      </c>
      <c r="V123" s="36">
        <v>9.1174239486075846E-4</v>
      </c>
      <c r="W123" s="36">
        <v>6.1191884288238274E-6</v>
      </c>
      <c r="X123" s="37">
        <v>12.845056911150909</v>
      </c>
      <c r="Y123" s="38">
        <v>91993.532272082724</v>
      </c>
      <c r="Z123" s="39">
        <v>1.6943066599855185E-3</v>
      </c>
      <c r="AA123" s="40">
        <v>1.7063007797854743E-3</v>
      </c>
      <c r="AB123" s="40">
        <v>1.1994119799955743E-5</v>
      </c>
      <c r="AC123" s="41">
        <v>0.23609742883709373</v>
      </c>
      <c r="AD123" s="42">
        <v>1690.8789575098026</v>
      </c>
      <c r="AE123" s="39">
        <v>0</v>
      </c>
      <c r="AF123" s="40">
        <v>0</v>
      </c>
      <c r="AG123" s="40">
        <v>0</v>
      </c>
      <c r="AH123" s="41">
        <v>0</v>
      </c>
      <c r="AI123" s="42">
        <v>0</v>
      </c>
      <c r="AJ123" s="41">
        <v>13.081154339988002</v>
      </c>
      <c r="AK123" s="30">
        <v>93684.41122959253</v>
      </c>
      <c r="AL123" s="43">
        <f>+$AL$6*W123/H123*10^6</f>
        <v>21.912155084236296</v>
      </c>
      <c r="AM123" s="30">
        <v>928264.5</v>
      </c>
      <c r="AN123" s="44">
        <v>0.10092426375197212</v>
      </c>
      <c r="AP123" s="32"/>
      <c r="AR123" s="32"/>
    </row>
    <row r="124" spans="1:44">
      <c r="A124" s="5" t="s">
        <v>828</v>
      </c>
      <c r="B124" s="5" t="s">
        <v>186</v>
      </c>
      <c r="C124" s="5" t="s">
        <v>2061</v>
      </c>
      <c r="D124" s="29" t="s">
        <v>1627</v>
      </c>
      <c r="E124" s="5" t="s">
        <v>1644</v>
      </c>
      <c r="F124" s="30" t="s">
        <v>1164</v>
      </c>
      <c r="G124" s="5" t="s">
        <v>969</v>
      </c>
      <c r="H124" s="31">
        <v>61.29</v>
      </c>
      <c r="I124" s="32">
        <v>179.63900000000001</v>
      </c>
      <c r="J124" s="32">
        <v>180.05589999999998</v>
      </c>
      <c r="K124" s="33">
        <v>1</v>
      </c>
      <c r="L124" s="33">
        <v>1</v>
      </c>
      <c r="M124" s="6">
        <v>0</v>
      </c>
      <c r="N124" s="6">
        <v>0</v>
      </c>
      <c r="O124" s="6">
        <v>1</v>
      </c>
      <c r="P124" s="6">
        <v>1</v>
      </c>
      <c r="Q124" s="34">
        <v>179.63900000000001</v>
      </c>
      <c r="R124" s="34">
        <v>180.05589999999998</v>
      </c>
      <c r="S124" s="34">
        <v>11010.07431</v>
      </c>
      <c r="T124" s="34">
        <v>11035.626110999998</v>
      </c>
      <c r="U124" s="35">
        <v>5.9793351289959187E-4</v>
      </c>
      <c r="V124" s="36">
        <v>6.014785699886288E-4</v>
      </c>
      <c r="W124" s="36">
        <v>3.5450570890369288E-6</v>
      </c>
      <c r="X124" s="37">
        <v>7.4415848754490659</v>
      </c>
      <c r="Y124" s="38">
        <v>121415.97120980691</v>
      </c>
      <c r="Z124" s="39">
        <v>0</v>
      </c>
      <c r="AA124" s="40">
        <v>0</v>
      </c>
      <c r="AB124" s="40">
        <v>0</v>
      </c>
      <c r="AC124" s="41">
        <v>0</v>
      </c>
      <c r="AD124" s="42">
        <v>0</v>
      </c>
      <c r="AE124" s="39">
        <v>1.2845238841637304E-3</v>
      </c>
      <c r="AF124" s="40">
        <v>1.2916651217431804E-3</v>
      </c>
      <c r="AG124" s="40">
        <v>7.1412375794500417E-6</v>
      </c>
      <c r="AH124" s="41">
        <v>9.1814824213600488E-2</v>
      </c>
      <c r="AI124" s="42">
        <v>1498.0392268494124</v>
      </c>
      <c r="AJ124" s="41">
        <v>7.5333996996626666</v>
      </c>
      <c r="AK124" s="30">
        <v>122914.01043665633</v>
      </c>
      <c r="AL124" s="43">
        <f>+$AL$6*W124/H124*10^6</f>
        <v>28.92035478085274</v>
      </c>
      <c r="AM124" s="30">
        <v>1225432.875</v>
      </c>
      <c r="AN124" s="44">
        <v>0.10030252406657225</v>
      </c>
      <c r="AP124" s="32"/>
      <c r="AR124" s="32"/>
    </row>
    <row r="125" spans="1:44">
      <c r="A125" s="5" t="s">
        <v>1316</v>
      </c>
      <c r="B125" s="5" t="s">
        <v>489</v>
      </c>
      <c r="C125" s="5" t="s">
        <v>1893</v>
      </c>
      <c r="D125" s="29" t="s">
        <v>1894</v>
      </c>
      <c r="E125" s="5" t="s">
        <v>22</v>
      </c>
      <c r="F125" s="30" t="s">
        <v>1149</v>
      </c>
      <c r="G125" s="5" t="s">
        <v>969</v>
      </c>
      <c r="H125" s="31">
        <v>529.28</v>
      </c>
      <c r="I125" s="32">
        <v>36.857999999999997</v>
      </c>
      <c r="J125" s="32">
        <v>37.019120000000001</v>
      </c>
      <c r="K125" s="33">
        <v>1</v>
      </c>
      <c r="L125" s="33">
        <v>1</v>
      </c>
      <c r="M125" s="6">
        <v>1</v>
      </c>
      <c r="N125" s="6">
        <v>1</v>
      </c>
      <c r="O125" s="6">
        <v>0</v>
      </c>
      <c r="P125" s="6">
        <v>0</v>
      </c>
      <c r="Q125" s="34">
        <v>36.857999999999997</v>
      </c>
      <c r="R125" s="34">
        <v>37.019120000000001</v>
      </c>
      <c r="S125" s="34">
        <v>19508.202239999999</v>
      </c>
      <c r="T125" s="34">
        <v>19593.479833599999</v>
      </c>
      <c r="U125" s="35">
        <v>1.0594486074562094E-3</v>
      </c>
      <c r="V125" s="36">
        <v>1.0679102493031866E-3</v>
      </c>
      <c r="W125" s="36">
        <v>8.4616418469772321E-6</v>
      </c>
      <c r="X125" s="37">
        <v>17.762203656652236</v>
      </c>
      <c r="Y125" s="38">
        <v>33559.181636661568</v>
      </c>
      <c r="Z125" s="39">
        <v>1.9820945607143636E-3</v>
      </c>
      <c r="AA125" s="40">
        <v>1.9985646180303053E-3</v>
      </c>
      <c r="AB125" s="40">
        <v>1.6470057315941689E-5</v>
      </c>
      <c r="AC125" s="41">
        <v>0.32420371398222536</v>
      </c>
      <c r="AD125" s="42">
        <v>612.53724679229401</v>
      </c>
      <c r="AE125" s="39">
        <v>0</v>
      </c>
      <c r="AF125" s="40">
        <v>0</v>
      </c>
      <c r="AG125" s="40">
        <v>0</v>
      </c>
      <c r="AH125" s="41">
        <v>0</v>
      </c>
      <c r="AI125" s="42">
        <v>0</v>
      </c>
      <c r="AJ125" s="41">
        <v>18.086407370634461</v>
      </c>
      <c r="AK125" s="30">
        <v>34171.718883453861</v>
      </c>
      <c r="AL125" s="43">
        <f>+$AL$6*W125/H125*10^6</f>
        <v>7.9935401365791572</v>
      </c>
      <c r="AM125" s="30">
        <v>350206.5</v>
      </c>
      <c r="AN125" s="44">
        <v>9.7575912735639855E-2</v>
      </c>
      <c r="AP125" s="32"/>
      <c r="AR125" s="32"/>
    </row>
    <row r="126" spans="1:44">
      <c r="A126" s="5" t="s">
        <v>257</v>
      </c>
      <c r="B126" s="5" t="s">
        <v>557</v>
      </c>
      <c r="C126" s="5" t="s">
        <v>2166</v>
      </c>
      <c r="D126" s="29" t="s">
        <v>2167</v>
      </c>
      <c r="E126" s="5" t="s">
        <v>87</v>
      </c>
      <c r="F126" s="30" t="s">
        <v>1154</v>
      </c>
      <c r="G126" s="5" t="s">
        <v>969</v>
      </c>
      <c r="H126" s="31">
        <v>27.18</v>
      </c>
      <c r="I126" s="32">
        <v>252.815</v>
      </c>
      <c r="J126" s="32">
        <v>253.07219999999998</v>
      </c>
      <c r="K126" s="33">
        <v>1</v>
      </c>
      <c r="L126" s="33">
        <v>1</v>
      </c>
      <c r="M126" s="6">
        <v>0</v>
      </c>
      <c r="N126" s="6">
        <v>0</v>
      </c>
      <c r="O126" s="6">
        <v>1</v>
      </c>
      <c r="P126" s="6">
        <v>1</v>
      </c>
      <c r="Q126" s="34">
        <v>252.815</v>
      </c>
      <c r="R126" s="34">
        <v>253.07219999999998</v>
      </c>
      <c r="S126" s="34">
        <v>6871.5117</v>
      </c>
      <c r="T126" s="34">
        <v>6878.5023959999999</v>
      </c>
      <c r="U126" s="35">
        <v>3.7317705712302737E-4</v>
      </c>
      <c r="V126" s="36">
        <v>3.7490140959791323E-4</v>
      </c>
      <c r="W126" s="36">
        <v>1.7243524748858526E-6</v>
      </c>
      <c r="X126" s="37">
        <v>3.6196639362272496</v>
      </c>
      <c r="Y126" s="38">
        <v>133173.80192153237</v>
      </c>
      <c r="Z126" s="39">
        <v>0</v>
      </c>
      <c r="AA126" s="40">
        <v>0</v>
      </c>
      <c r="AB126" s="40">
        <v>0</v>
      </c>
      <c r="AC126" s="41">
        <v>0</v>
      </c>
      <c r="AD126" s="42">
        <v>0</v>
      </c>
      <c r="AE126" s="39">
        <v>8.0168586064343456E-4</v>
      </c>
      <c r="AF126" s="40">
        <v>8.0509447722989277E-4</v>
      </c>
      <c r="AG126" s="40">
        <v>3.4086165864582064E-6</v>
      </c>
      <c r="AH126" s="41">
        <v>4.3824551307159405E-2</v>
      </c>
      <c r="AI126" s="42">
        <v>1612.382314465026</v>
      </c>
      <c r="AJ126" s="41">
        <v>3.6634884875344089</v>
      </c>
      <c r="AK126" s="30">
        <v>134786.18423599741</v>
      </c>
      <c r="AL126" s="43">
        <f>+$AL$6*W126/H126*10^6</f>
        <v>31.720980038371096</v>
      </c>
      <c r="AM126" s="30">
        <v>1394078.375</v>
      </c>
      <c r="AN126" s="44">
        <v>9.668479667507747E-2</v>
      </c>
      <c r="AP126" s="32"/>
      <c r="AR126" s="32"/>
    </row>
    <row r="127" spans="1:44">
      <c r="A127" s="5" t="s">
        <v>161</v>
      </c>
      <c r="B127" s="5" t="s">
        <v>1585</v>
      </c>
      <c r="C127" s="5" t="s">
        <v>1921</v>
      </c>
      <c r="D127" s="29" t="s">
        <v>1922</v>
      </c>
      <c r="E127" s="5" t="s">
        <v>696</v>
      </c>
      <c r="F127" s="30" t="s">
        <v>1160</v>
      </c>
      <c r="G127" s="5" t="s">
        <v>969</v>
      </c>
      <c r="H127" s="31">
        <v>118.8</v>
      </c>
      <c r="I127" s="32">
        <v>93.67</v>
      </c>
      <c r="J127" s="32">
        <v>94.456419999999994</v>
      </c>
      <c r="K127" s="33">
        <v>1</v>
      </c>
      <c r="L127" s="33">
        <v>1</v>
      </c>
      <c r="M127" s="6">
        <v>0.51</v>
      </c>
      <c r="N127" s="6">
        <v>0.51</v>
      </c>
      <c r="O127" s="6">
        <v>0.49</v>
      </c>
      <c r="P127" s="6">
        <v>0.49</v>
      </c>
      <c r="Q127" s="34">
        <v>93.67</v>
      </c>
      <c r="R127" s="34">
        <v>94.456419999999994</v>
      </c>
      <c r="S127" s="34">
        <v>11127.995999999999</v>
      </c>
      <c r="T127" s="34">
        <v>11221.422696</v>
      </c>
      <c r="U127" s="35">
        <v>6.0433758687434376E-4</v>
      </c>
      <c r="V127" s="36">
        <v>6.116051059124202E-4</v>
      </c>
      <c r="W127" s="36">
        <v>7.2675190380764448E-6</v>
      </c>
      <c r="X127" s="37">
        <v>15.255568076191409</v>
      </c>
      <c r="Y127" s="38">
        <v>128413.87269521387</v>
      </c>
      <c r="Z127" s="39">
        <v>5.766260487085307E-4</v>
      </c>
      <c r="AA127" s="40">
        <v>5.8374707621470568E-4</v>
      </c>
      <c r="AB127" s="40">
        <v>7.1210275061749789E-6</v>
      </c>
      <c r="AC127" s="41">
        <v>0.14017337769899027</v>
      </c>
      <c r="AD127" s="42">
        <v>1179.9105866918374</v>
      </c>
      <c r="AE127" s="39">
        <v>6.3615797303283078E-4</v>
      </c>
      <c r="AF127" s="40">
        <v>6.4357172686136689E-4</v>
      </c>
      <c r="AG127" s="40">
        <v>7.4137538285361107E-6</v>
      </c>
      <c r="AH127" s="41">
        <v>9.5318563058137587E-2</v>
      </c>
      <c r="AI127" s="42">
        <v>802.34480688668009</v>
      </c>
      <c r="AJ127" s="41">
        <v>15.491060016948538</v>
      </c>
      <c r="AK127" s="30">
        <v>130396.12808879239</v>
      </c>
      <c r="AL127" s="43">
        <f>+$AL$6*W127/H127*10^6</f>
        <v>30.587201338705579</v>
      </c>
      <c r="AM127" s="30">
        <v>1354119.25</v>
      </c>
      <c r="AN127" s="44">
        <v>9.6295897195754654E-2</v>
      </c>
      <c r="AP127" s="32"/>
      <c r="AR127" s="32"/>
    </row>
    <row r="128" spans="1:44">
      <c r="A128" s="5" t="s">
        <v>1677</v>
      </c>
      <c r="B128" s="5" t="s">
        <v>1661</v>
      </c>
      <c r="C128" s="5" t="s">
        <v>1953</v>
      </c>
      <c r="D128" s="29" t="s">
        <v>1954</v>
      </c>
      <c r="E128" s="5" t="s">
        <v>1698</v>
      </c>
      <c r="F128" s="30" t="s">
        <v>1158</v>
      </c>
      <c r="G128" s="5" t="s">
        <v>969</v>
      </c>
      <c r="H128" s="31">
        <v>48.12</v>
      </c>
      <c r="I128" s="32">
        <v>354.459</v>
      </c>
      <c r="J128" s="32">
        <v>355.8331</v>
      </c>
      <c r="K128" s="33">
        <v>0.83</v>
      </c>
      <c r="L128" s="33">
        <v>0.83</v>
      </c>
      <c r="M128" s="6">
        <v>1</v>
      </c>
      <c r="N128" s="6">
        <v>1</v>
      </c>
      <c r="O128" s="6">
        <v>0</v>
      </c>
      <c r="P128" s="6">
        <v>0</v>
      </c>
      <c r="Q128" s="34">
        <v>294.20096999999998</v>
      </c>
      <c r="R128" s="34">
        <v>295.34147300000001</v>
      </c>
      <c r="S128" s="34">
        <v>14156.950676399998</v>
      </c>
      <c r="T128" s="34">
        <v>14211.83168076</v>
      </c>
      <c r="U128" s="35">
        <v>7.6883361651771656E-4</v>
      </c>
      <c r="V128" s="36">
        <v>7.745924073797771E-4</v>
      </c>
      <c r="W128" s="36">
        <v>5.7587908620605407E-6</v>
      </c>
      <c r="X128" s="37">
        <v>12.088530566266881</v>
      </c>
      <c r="Y128" s="38">
        <v>251216.34593239572</v>
      </c>
      <c r="Z128" s="39">
        <v>1.4383906106149721E-3</v>
      </c>
      <c r="AA128" s="40">
        <v>1.4496283557483031E-3</v>
      </c>
      <c r="AB128" s="40">
        <v>1.1237745133331001E-5</v>
      </c>
      <c r="AC128" s="41">
        <v>0.22120862357201088</v>
      </c>
      <c r="AD128" s="42">
        <v>4597.0204399836011</v>
      </c>
      <c r="AE128" s="39">
        <v>0</v>
      </c>
      <c r="AF128" s="40">
        <v>0</v>
      </c>
      <c r="AG128" s="40">
        <v>0</v>
      </c>
      <c r="AH128" s="41">
        <v>0</v>
      </c>
      <c r="AI128" s="42">
        <v>0</v>
      </c>
      <c r="AJ128" s="41">
        <v>12.309739189838892</v>
      </c>
      <c r="AK128" s="30">
        <v>255813.36637237933</v>
      </c>
      <c r="AL128" s="43">
        <f>+$AL$6*W128/H128*10^6</f>
        <v>59.837810287412111</v>
      </c>
      <c r="AM128" s="30">
        <v>2666503.5</v>
      </c>
      <c r="AN128" s="44">
        <v>9.593588246645067E-2</v>
      </c>
      <c r="AP128" s="32"/>
      <c r="AR128" s="32"/>
    </row>
    <row r="129" spans="1:44">
      <c r="A129" s="5" t="s">
        <v>1000</v>
      </c>
      <c r="B129" s="5" t="s">
        <v>1088</v>
      </c>
      <c r="C129" s="5" t="s">
        <v>1759</v>
      </c>
      <c r="D129" s="29" t="s">
        <v>1760</v>
      </c>
      <c r="E129" s="5" t="s">
        <v>886</v>
      </c>
      <c r="F129" s="30" t="s">
        <v>1160</v>
      </c>
      <c r="G129" s="5" t="s">
        <v>969</v>
      </c>
      <c r="H129" s="31">
        <v>86.79</v>
      </c>
      <c r="I129" s="32">
        <v>1880.4780000000001</v>
      </c>
      <c r="J129" s="32">
        <v>1881.7349999999999</v>
      </c>
      <c r="K129" s="33">
        <v>1</v>
      </c>
      <c r="L129" s="33">
        <v>1</v>
      </c>
      <c r="M129" s="6">
        <v>0</v>
      </c>
      <c r="N129" s="6">
        <v>0</v>
      </c>
      <c r="O129" s="6">
        <v>1</v>
      </c>
      <c r="P129" s="6">
        <v>1</v>
      </c>
      <c r="Q129" s="34">
        <v>1880.4780000000001</v>
      </c>
      <c r="R129" s="34">
        <v>1881.7349999999999</v>
      </c>
      <c r="S129" s="34">
        <v>163206.68562</v>
      </c>
      <c r="T129" s="34">
        <v>163315.78065</v>
      </c>
      <c r="U129" s="35">
        <v>8.8634049247816472E-3</v>
      </c>
      <c r="V129" s="36">
        <v>8.9012568216700234E-3</v>
      </c>
      <c r="W129" s="36">
        <v>3.7851896888376271E-5</v>
      </c>
      <c r="X129" s="37">
        <v>79.456577515404902</v>
      </c>
      <c r="Y129" s="38">
        <v>915503.83126402693</v>
      </c>
      <c r="Z129" s="39">
        <v>0</v>
      </c>
      <c r="AA129" s="40">
        <v>0</v>
      </c>
      <c r="AB129" s="40">
        <v>0</v>
      </c>
      <c r="AC129" s="41">
        <v>0</v>
      </c>
      <c r="AD129" s="42">
        <v>0</v>
      </c>
      <c r="AE129" s="39">
        <v>1.9041005521977378E-2</v>
      </c>
      <c r="AF129" s="40">
        <v>1.9115299446906465E-2</v>
      </c>
      <c r="AG129" s="40">
        <v>7.4293924929087762E-5</v>
      </c>
      <c r="AH129" s="41">
        <v>0.95519629218496638</v>
      </c>
      <c r="AI129" s="42">
        <v>11005.833531339627</v>
      </c>
      <c r="AJ129" s="41">
        <v>80.411773807589867</v>
      </c>
      <c r="AK129" s="30">
        <v>926509.66479536658</v>
      </c>
      <c r="AL129" s="43">
        <f>+$AL$6*W129/H129*10^6</f>
        <v>218.06600350487537</v>
      </c>
      <c r="AM129" s="30">
        <v>9671300</v>
      </c>
      <c r="AN129" s="44">
        <v>9.579990950496485E-2</v>
      </c>
      <c r="AP129" s="32"/>
      <c r="AR129" s="32"/>
    </row>
    <row r="130" spans="1:44">
      <c r="A130" s="5" t="s">
        <v>1604</v>
      </c>
      <c r="B130" s="5" t="s">
        <v>1582</v>
      </c>
      <c r="C130" s="5" t="s">
        <v>2176</v>
      </c>
      <c r="D130" s="29" t="s">
        <v>1615</v>
      </c>
      <c r="E130" s="5" t="s">
        <v>1631</v>
      </c>
      <c r="F130" s="30" t="s">
        <v>1164</v>
      </c>
      <c r="G130" s="5" t="s">
        <v>969</v>
      </c>
      <c r="H130" s="31">
        <v>63.07</v>
      </c>
      <c r="I130" s="32">
        <v>95.677000000000007</v>
      </c>
      <c r="J130" s="32">
        <v>95.81228999999999</v>
      </c>
      <c r="K130" s="33">
        <v>1</v>
      </c>
      <c r="L130" s="33">
        <v>1</v>
      </c>
      <c r="M130" s="6">
        <v>0.65</v>
      </c>
      <c r="N130" s="6">
        <v>0.65</v>
      </c>
      <c r="O130" s="6">
        <v>0.35</v>
      </c>
      <c r="P130" s="6">
        <v>0.35</v>
      </c>
      <c r="Q130" s="34">
        <v>95.677000000000007</v>
      </c>
      <c r="R130" s="34">
        <v>95.81228999999999</v>
      </c>
      <c r="S130" s="34">
        <v>6034.3483900000001</v>
      </c>
      <c r="T130" s="34">
        <v>6042.8811302999993</v>
      </c>
      <c r="U130" s="35">
        <v>3.2771251394875429E-4</v>
      </c>
      <c r="V130" s="36">
        <v>3.2935725298279027E-4</v>
      </c>
      <c r="W130" s="36">
        <v>1.6447390340359807E-6</v>
      </c>
      <c r="X130" s="37">
        <v>3.4525438694889692</v>
      </c>
      <c r="Y130" s="38">
        <v>54741.459798461539</v>
      </c>
      <c r="Z130" s="39">
        <v>3.9852067521053188E-4</v>
      </c>
      <c r="AA130" s="40">
        <v>4.0064896783804363E-4</v>
      </c>
      <c r="AB130" s="40">
        <v>2.1282926275117443E-6</v>
      </c>
      <c r="AC130" s="41">
        <v>4.1894230301945071E-2</v>
      </c>
      <c r="AD130" s="42">
        <v>664.24972731798118</v>
      </c>
      <c r="AE130" s="39">
        <v>2.4640547783114677E-4</v>
      </c>
      <c r="AF130" s="40">
        <v>2.4755120817965352E-4</v>
      </c>
      <c r="AG130" s="40">
        <v>1.1457303485067462E-6</v>
      </c>
      <c r="AH130" s="41">
        <v>1.4730644285949574E-2</v>
      </c>
      <c r="AI130" s="42">
        <v>233.56023919374621</v>
      </c>
      <c r="AJ130" s="41">
        <v>3.509168744076864</v>
      </c>
      <c r="AK130" s="30">
        <v>55639.269764973265</v>
      </c>
      <c r="AL130" s="43">
        <f>+$AL$6*W130/H130*10^6</f>
        <v>13.038996623085307</v>
      </c>
      <c r="AM130" s="30">
        <v>585891.625</v>
      </c>
      <c r="AN130" s="44">
        <v>9.4965122201521937E-2</v>
      </c>
      <c r="AP130" s="32"/>
      <c r="AR130" s="32"/>
    </row>
    <row r="131" spans="1:44">
      <c r="A131" s="5" t="s">
        <v>1207</v>
      </c>
      <c r="B131" s="5" t="s">
        <v>377</v>
      </c>
      <c r="C131" s="5" t="s">
        <v>2074</v>
      </c>
      <c r="D131" s="29" t="s">
        <v>2075</v>
      </c>
      <c r="E131" s="5" t="s">
        <v>729</v>
      </c>
      <c r="F131" s="30" t="s">
        <v>1148</v>
      </c>
      <c r="G131" s="5" t="s">
        <v>969</v>
      </c>
      <c r="H131" s="31">
        <v>69.69</v>
      </c>
      <c r="I131" s="32">
        <v>137.857</v>
      </c>
      <c r="J131" s="32">
        <v>138.167</v>
      </c>
      <c r="K131" s="33">
        <v>1</v>
      </c>
      <c r="L131" s="33">
        <v>1</v>
      </c>
      <c r="M131" s="6">
        <v>0.69</v>
      </c>
      <c r="N131" s="6">
        <v>0.69</v>
      </c>
      <c r="O131" s="6">
        <v>0.31</v>
      </c>
      <c r="P131" s="6">
        <v>0.31</v>
      </c>
      <c r="Q131" s="34">
        <v>137.857</v>
      </c>
      <c r="R131" s="34">
        <v>138.167</v>
      </c>
      <c r="S131" s="34">
        <v>9607.2543299999998</v>
      </c>
      <c r="T131" s="34">
        <v>9628.8582299999998</v>
      </c>
      <c r="U131" s="35">
        <v>5.2174936963315683E-4</v>
      </c>
      <c r="V131" s="36">
        <v>5.2480501065823399E-4</v>
      </c>
      <c r="W131" s="36">
        <v>3.0556410250771665E-6</v>
      </c>
      <c r="X131" s="37">
        <v>6.4142301423961783</v>
      </c>
      <c r="Y131" s="38">
        <v>92039.462511065838</v>
      </c>
      <c r="Z131" s="39">
        <v>6.7352775814342981E-4</v>
      </c>
      <c r="AA131" s="40">
        <v>6.7768910466226137E-4</v>
      </c>
      <c r="AB131" s="40">
        <v>4.1613465188315626E-6</v>
      </c>
      <c r="AC131" s="41">
        <v>8.1913740231271306E-2</v>
      </c>
      <c r="AD131" s="42">
        <v>1175.401639134328</v>
      </c>
      <c r="AE131" s="39">
        <v>3.4746648053434707E-4</v>
      </c>
      <c r="AF131" s="40">
        <v>3.4937308186856178E-4</v>
      </c>
      <c r="AG131" s="40">
        <v>1.906601334214714E-6</v>
      </c>
      <c r="AH131" s="41">
        <v>2.4513155373808659E-2</v>
      </c>
      <c r="AI131" s="42">
        <v>351.74566471242161</v>
      </c>
      <c r="AJ131" s="41">
        <v>6.5206570380012581</v>
      </c>
      <c r="AK131" s="30">
        <v>93566.60981491259</v>
      </c>
      <c r="AL131" s="43">
        <f>+$AL$6*W131/H131*10^6</f>
        <v>21.923095315519923</v>
      </c>
      <c r="AM131" s="30">
        <v>989404.125</v>
      </c>
      <c r="AN131" s="44">
        <v>9.456864738148589E-2</v>
      </c>
      <c r="AP131" s="32"/>
      <c r="AR131" s="32"/>
    </row>
    <row r="132" spans="1:44">
      <c r="A132" s="5" t="s">
        <v>1020</v>
      </c>
      <c r="B132" s="5" t="s">
        <v>484</v>
      </c>
      <c r="C132" s="5" t="s">
        <v>1751</v>
      </c>
      <c r="D132" s="29" t="s">
        <v>1752</v>
      </c>
      <c r="E132" s="5" t="s">
        <v>904</v>
      </c>
      <c r="F132" s="30" t="s">
        <v>1152</v>
      </c>
      <c r="G132" s="5" t="s">
        <v>969</v>
      </c>
      <c r="H132" s="31">
        <v>29.46</v>
      </c>
      <c r="I132" s="32">
        <v>4744</v>
      </c>
      <c r="J132" s="32">
        <v>4754</v>
      </c>
      <c r="K132" s="33">
        <v>1</v>
      </c>
      <c r="L132" s="33">
        <v>1</v>
      </c>
      <c r="M132" s="6">
        <v>1</v>
      </c>
      <c r="N132" s="6">
        <v>1</v>
      </c>
      <c r="O132" s="6">
        <v>0</v>
      </c>
      <c r="P132" s="6">
        <v>0</v>
      </c>
      <c r="Q132" s="34">
        <v>4744</v>
      </c>
      <c r="R132" s="34">
        <v>4754</v>
      </c>
      <c r="S132" s="34">
        <v>139758.24</v>
      </c>
      <c r="T132" s="34">
        <v>140052.84</v>
      </c>
      <c r="U132" s="35">
        <v>7.5899701534225383E-3</v>
      </c>
      <c r="V132" s="36">
        <v>7.6333486726303098E-3</v>
      </c>
      <c r="W132" s="36">
        <v>4.3378519207771561E-5</v>
      </c>
      <c r="X132" s="37">
        <v>91.057752907337445</v>
      </c>
      <c r="Y132" s="38">
        <v>3090894.5318172928</v>
      </c>
      <c r="Z132" s="39">
        <v>1.4199875719507232E-2</v>
      </c>
      <c r="AA132" s="40">
        <v>1.4285601794871743E-2</v>
      </c>
      <c r="AB132" s="40">
        <v>8.5726075364511017E-5</v>
      </c>
      <c r="AC132" s="41">
        <v>1.6874690527879048</v>
      </c>
      <c r="AD132" s="42">
        <v>57280.008580716385</v>
      </c>
      <c r="AE132" s="39">
        <v>0</v>
      </c>
      <c r="AF132" s="40">
        <v>0</v>
      </c>
      <c r="AG132" s="40">
        <v>0</v>
      </c>
      <c r="AH132" s="41">
        <v>0</v>
      </c>
      <c r="AI132" s="42">
        <v>0</v>
      </c>
      <c r="AJ132" s="41">
        <v>92.745221960125349</v>
      </c>
      <c r="AK132" s="30">
        <v>3148174.5403980091</v>
      </c>
      <c r="AL132" s="43">
        <f>+$AL$6*W132/H132*10^6</f>
        <v>736.22741357385542</v>
      </c>
      <c r="AM132" s="30">
        <v>33527726</v>
      </c>
      <c r="AN132" s="44">
        <v>9.3897645799121868E-2</v>
      </c>
      <c r="AP132" s="32"/>
      <c r="AR132" s="32"/>
    </row>
    <row r="133" spans="1:44">
      <c r="A133" s="5" t="s">
        <v>1255</v>
      </c>
      <c r="B133" s="5" t="s">
        <v>428</v>
      </c>
      <c r="C133" s="5" t="s">
        <v>1867</v>
      </c>
      <c r="D133" s="29" t="s">
        <v>1502</v>
      </c>
      <c r="E133" s="5" t="s">
        <v>772</v>
      </c>
      <c r="F133" s="30" t="s">
        <v>1154</v>
      </c>
      <c r="G133" s="5" t="s">
        <v>969</v>
      </c>
      <c r="H133" s="31">
        <v>75.56</v>
      </c>
      <c r="I133" s="32">
        <v>691.53700000000003</v>
      </c>
      <c r="J133" s="32">
        <v>691.53739999999993</v>
      </c>
      <c r="K133" s="33">
        <v>1</v>
      </c>
      <c r="L133" s="33">
        <v>1</v>
      </c>
      <c r="M133" s="6">
        <v>0</v>
      </c>
      <c r="N133" s="6">
        <v>0</v>
      </c>
      <c r="O133" s="6">
        <v>1</v>
      </c>
      <c r="P133" s="6">
        <v>1</v>
      </c>
      <c r="Q133" s="34">
        <v>691.53700000000003</v>
      </c>
      <c r="R133" s="34">
        <v>691.53739999999993</v>
      </c>
      <c r="S133" s="34">
        <v>52252.535720000007</v>
      </c>
      <c r="T133" s="34">
        <v>52252.565943999994</v>
      </c>
      <c r="U133" s="35">
        <v>2.8377231035210883E-3</v>
      </c>
      <c r="V133" s="36">
        <v>2.8479397839426897E-3</v>
      </c>
      <c r="W133" s="36">
        <v>1.0216680421601398E-5</v>
      </c>
      <c r="X133" s="37">
        <v>21.446282131196892</v>
      </c>
      <c r="Y133" s="38">
        <v>283831.15578608908</v>
      </c>
      <c r="Z133" s="39">
        <v>0</v>
      </c>
      <c r="AA133" s="40">
        <v>0</v>
      </c>
      <c r="AB133" s="40">
        <v>0</v>
      </c>
      <c r="AC133" s="41">
        <v>0</v>
      </c>
      <c r="AD133" s="42">
        <v>0</v>
      </c>
      <c r="AE133" s="39">
        <v>6.0962013743627932E-3</v>
      </c>
      <c r="AF133" s="40">
        <v>6.1159028289455549E-3</v>
      </c>
      <c r="AG133" s="40">
        <v>1.9701454582761631E-5</v>
      </c>
      <c r="AH133" s="41">
        <v>0.25330141577614312</v>
      </c>
      <c r="AI133" s="42">
        <v>3352.3215428287867</v>
      </c>
      <c r="AJ133" s="41">
        <v>21.699583546973034</v>
      </c>
      <c r="AK133" s="30">
        <v>287183.47732891788</v>
      </c>
      <c r="AL133" s="43">
        <f>+$AL$6*W133/H133*10^6</f>
        <v>67.606408295403639</v>
      </c>
      <c r="AM133" s="30">
        <v>3097170.75</v>
      </c>
      <c r="AN133" s="44">
        <v>9.2724457419377959E-2</v>
      </c>
      <c r="AP133" s="32"/>
      <c r="AR133" s="32"/>
    </row>
    <row r="134" spans="1:44">
      <c r="A134" s="5" t="s">
        <v>1296</v>
      </c>
      <c r="B134" s="5" t="s">
        <v>468</v>
      </c>
      <c r="C134" s="5" t="s">
        <v>2238</v>
      </c>
      <c r="D134" s="29" t="s">
        <v>2239</v>
      </c>
      <c r="E134" s="5" t="s">
        <v>4</v>
      </c>
      <c r="F134" s="30" t="s">
        <v>1165</v>
      </c>
      <c r="G134" s="5" t="s">
        <v>971</v>
      </c>
      <c r="H134" s="31">
        <v>10.1</v>
      </c>
      <c r="I134" s="32">
        <v>529.53099999999995</v>
      </c>
      <c r="J134" s="32">
        <v>529.52949999999998</v>
      </c>
      <c r="K134" s="33">
        <v>0.91</v>
      </c>
      <c r="L134" s="33">
        <v>0.91</v>
      </c>
      <c r="M134" s="6">
        <v>0</v>
      </c>
      <c r="N134" s="6">
        <v>0</v>
      </c>
      <c r="O134" s="6">
        <v>1</v>
      </c>
      <c r="P134" s="6">
        <v>1</v>
      </c>
      <c r="Q134" s="34">
        <v>481.87320999999997</v>
      </c>
      <c r="R134" s="34">
        <v>481.87184500000001</v>
      </c>
      <c r="S134" s="34">
        <v>4866.9194209999996</v>
      </c>
      <c r="T134" s="34">
        <v>4866.9056344999999</v>
      </c>
      <c r="U134" s="35">
        <v>2.6431195144202232E-4</v>
      </c>
      <c r="V134" s="36">
        <v>2.6526265133165132E-4</v>
      </c>
      <c r="W134" s="36">
        <v>9.5069988962899563E-7</v>
      </c>
      <c r="X134" s="37">
        <v>1.9956558504044257</v>
      </c>
      <c r="Y134" s="38">
        <v>197589.68815885403</v>
      </c>
      <c r="Z134" s="39">
        <v>0</v>
      </c>
      <c r="AA134" s="40">
        <v>0</v>
      </c>
      <c r="AB134" s="40">
        <v>0</v>
      </c>
      <c r="AC134" s="41">
        <v>0</v>
      </c>
      <c r="AD134" s="42">
        <v>0</v>
      </c>
      <c r="AE134" s="39">
        <v>5.6781399130945685E-4</v>
      </c>
      <c r="AF134" s="40">
        <v>5.6964708623400144E-4</v>
      </c>
      <c r="AG134" s="40">
        <v>1.8330949245445914E-6</v>
      </c>
      <c r="AH134" s="41">
        <v>2.3568084157881551E-2</v>
      </c>
      <c r="AI134" s="42">
        <v>2333.4736789981735</v>
      </c>
      <c r="AJ134" s="41">
        <v>2.0192239345623073</v>
      </c>
      <c r="AK134" s="30">
        <v>199923.16183785221</v>
      </c>
      <c r="AL134" s="43">
        <f>+$AL$6*W134/H134*10^6</f>
        <v>47.064350971732459</v>
      </c>
      <c r="AM134" s="30">
        <v>2174479.5</v>
      </c>
      <c r="AN134" s="44">
        <v>9.194069745787542E-2</v>
      </c>
      <c r="AP134" s="32"/>
      <c r="AR134" s="32"/>
    </row>
    <row r="135" spans="1:44">
      <c r="A135" s="5" t="s">
        <v>849</v>
      </c>
      <c r="B135" s="5" t="s">
        <v>1131</v>
      </c>
      <c r="C135" s="5" t="s">
        <v>1745</v>
      </c>
      <c r="D135" s="29" t="s">
        <v>1746</v>
      </c>
      <c r="E135" s="5" t="s">
        <v>1055</v>
      </c>
      <c r="F135" s="30" t="s">
        <v>1158</v>
      </c>
      <c r="G135" s="5" t="s">
        <v>969</v>
      </c>
      <c r="H135" s="31">
        <v>34.020000000000003</v>
      </c>
      <c r="I135" s="32">
        <v>6144.3</v>
      </c>
      <c r="J135" s="32">
        <v>6151</v>
      </c>
      <c r="K135" s="33">
        <v>1</v>
      </c>
      <c r="L135" s="33">
        <v>1</v>
      </c>
      <c r="M135" s="6">
        <v>0</v>
      </c>
      <c r="N135" s="6">
        <v>0</v>
      </c>
      <c r="O135" s="6">
        <v>1</v>
      </c>
      <c r="P135" s="6">
        <v>1</v>
      </c>
      <c r="Q135" s="34">
        <v>6144.3</v>
      </c>
      <c r="R135" s="34">
        <v>6151</v>
      </c>
      <c r="S135" s="34">
        <v>209029.08600000004</v>
      </c>
      <c r="T135" s="34">
        <v>209257.02000000002</v>
      </c>
      <c r="U135" s="35">
        <v>1.135192117428778E-2</v>
      </c>
      <c r="V135" s="36">
        <v>1.1405208176111062E-2</v>
      </c>
      <c r="W135" s="36">
        <v>5.3287001823281929E-5</v>
      </c>
      <c r="X135" s="37">
        <v>111.85708350154889</v>
      </c>
      <c r="Y135" s="38">
        <v>3287980.1146839764</v>
      </c>
      <c r="Z135" s="39">
        <v>0</v>
      </c>
      <c r="AA135" s="40">
        <v>0</v>
      </c>
      <c r="AB135" s="40">
        <v>0</v>
      </c>
      <c r="AC135" s="41">
        <v>0</v>
      </c>
      <c r="AD135" s="42">
        <v>0</v>
      </c>
      <c r="AE135" s="39">
        <v>2.4387015554295066E-2</v>
      </c>
      <c r="AF135" s="40">
        <v>2.4492492903913969E-2</v>
      </c>
      <c r="AG135" s="40">
        <v>1.0547734961890293E-4</v>
      </c>
      <c r="AH135" s="41">
        <v>1.3561212893468617</v>
      </c>
      <c r="AI135" s="42">
        <v>39862.471762106456</v>
      </c>
      <c r="AJ135" s="41">
        <v>113.21320479089574</v>
      </c>
      <c r="AK135" s="30">
        <v>3327842.5864460827</v>
      </c>
      <c r="AL135" s="43">
        <f>+$AL$6*W135/H135*10^6</f>
        <v>783.17169052442568</v>
      </c>
      <c r="AM135" s="30">
        <v>36637636</v>
      </c>
      <c r="AN135" s="44">
        <v>9.0831258502761553E-2</v>
      </c>
      <c r="AP135" s="32"/>
      <c r="AR135" s="32"/>
    </row>
    <row r="136" spans="1:44">
      <c r="A136" s="5" t="s">
        <v>1284</v>
      </c>
      <c r="B136" s="5" t="s">
        <v>1453</v>
      </c>
      <c r="C136" s="5" t="s">
        <v>1959</v>
      </c>
      <c r="D136" s="29" t="s">
        <v>1960</v>
      </c>
      <c r="E136" s="5" t="s">
        <v>682</v>
      </c>
      <c r="F136" s="30" t="s">
        <v>1158</v>
      </c>
      <c r="G136" s="5" t="s">
        <v>969</v>
      </c>
      <c r="H136" s="31">
        <v>5.42</v>
      </c>
      <c r="I136" s="32">
        <v>1153.308</v>
      </c>
      <c r="J136" s="32">
        <v>1168.2069999999999</v>
      </c>
      <c r="K136" s="33">
        <v>1</v>
      </c>
      <c r="L136" s="33">
        <v>1</v>
      </c>
      <c r="M136" s="6">
        <v>0.44</v>
      </c>
      <c r="N136" s="6">
        <v>0.44</v>
      </c>
      <c r="O136" s="6">
        <v>0.56000000000000005</v>
      </c>
      <c r="P136" s="6">
        <v>0.56000000000000005</v>
      </c>
      <c r="Q136" s="34">
        <v>1153.308</v>
      </c>
      <c r="R136" s="34">
        <v>1168.2069999999999</v>
      </c>
      <c r="S136" s="34">
        <v>6250.9293600000001</v>
      </c>
      <c r="T136" s="34">
        <v>6331.6819399999995</v>
      </c>
      <c r="U136" s="35">
        <v>3.3947456173999223E-4</v>
      </c>
      <c r="V136" s="36">
        <v>3.4509786400772956E-4</v>
      </c>
      <c r="W136" s="36">
        <v>5.623302267737326E-6</v>
      </c>
      <c r="X136" s="37">
        <v>11.804120513342911</v>
      </c>
      <c r="Y136" s="38">
        <v>2177882.0135319023</v>
      </c>
      <c r="Z136" s="39">
        <v>2.7945017638390628E-4</v>
      </c>
      <c r="AA136" s="40">
        <v>2.8417010486979941E-4</v>
      </c>
      <c r="AB136" s="40">
        <v>4.7199284858931304E-6</v>
      </c>
      <c r="AC136" s="41">
        <v>9.2909108663266543E-2</v>
      </c>
      <c r="AD136" s="42">
        <v>17141.90196739235</v>
      </c>
      <c r="AE136" s="39">
        <v>4.0839888883897733E-4</v>
      </c>
      <c r="AF136" s="40">
        <v>4.1501144378220875E-4</v>
      </c>
      <c r="AG136" s="40">
        <v>6.6125549432314201E-6</v>
      </c>
      <c r="AH136" s="41">
        <v>8.5017556545475395E-2</v>
      </c>
      <c r="AI136" s="42">
        <v>15685.896041600627</v>
      </c>
      <c r="AJ136" s="41">
        <v>11.982047178551653</v>
      </c>
      <c r="AK136" s="30">
        <v>2210709.8115408951</v>
      </c>
      <c r="AL136" s="43">
        <f>+$AL$6*W136/H136*10^6</f>
        <v>518.75482174698573</v>
      </c>
      <c r="AM136" s="30">
        <v>24824630</v>
      </c>
      <c r="AN136" s="44">
        <v>8.9053082021399513E-2</v>
      </c>
      <c r="AP136" s="32"/>
      <c r="AR136" s="32"/>
    </row>
    <row r="137" spans="1:44">
      <c r="A137" s="5" t="s">
        <v>1401</v>
      </c>
      <c r="B137" s="5" t="s">
        <v>1403</v>
      </c>
      <c r="C137" s="5" t="s">
        <v>2046</v>
      </c>
      <c r="D137" s="29" t="s">
        <v>2047</v>
      </c>
      <c r="E137" s="5" t="s">
        <v>1408</v>
      </c>
      <c r="F137" s="30" t="s">
        <v>1168</v>
      </c>
      <c r="G137" s="5" t="s">
        <v>967</v>
      </c>
      <c r="H137" s="31">
        <v>25.62</v>
      </c>
      <c r="I137" s="32">
        <v>275.58600000000001</v>
      </c>
      <c r="J137" s="32">
        <v>222.33689999999999</v>
      </c>
      <c r="K137" s="33">
        <v>0.8</v>
      </c>
      <c r="L137" s="33">
        <v>1</v>
      </c>
      <c r="M137" s="6">
        <v>0</v>
      </c>
      <c r="N137" s="6">
        <v>0</v>
      </c>
      <c r="O137" s="6">
        <v>1</v>
      </c>
      <c r="P137" s="6">
        <v>1</v>
      </c>
      <c r="Q137" s="34">
        <v>220.46880000000002</v>
      </c>
      <c r="R137" s="34">
        <v>222.33689999999999</v>
      </c>
      <c r="S137" s="34">
        <v>5648.4106560000009</v>
      </c>
      <c r="T137" s="34">
        <v>5696.2713779999995</v>
      </c>
      <c r="U137" s="35">
        <v>3.0675306367133578E-4</v>
      </c>
      <c r="V137" s="36">
        <v>3.1046586104357699E-4</v>
      </c>
      <c r="W137" s="36">
        <v>3.7127973722412134E-6</v>
      </c>
      <c r="X137" s="37">
        <v>7.7936958635504325</v>
      </c>
      <c r="Y137" s="38">
        <v>304203.58561867417</v>
      </c>
      <c r="Z137" s="39">
        <v>0</v>
      </c>
      <c r="AA137" s="40">
        <v>0</v>
      </c>
      <c r="AB137" s="40">
        <v>0</v>
      </c>
      <c r="AC137" s="41">
        <v>0</v>
      </c>
      <c r="AD137" s="42">
        <v>0</v>
      </c>
      <c r="AE137" s="39">
        <v>6.5898904865764943E-4</v>
      </c>
      <c r="AF137" s="40">
        <v>6.6672021949100316E-4</v>
      </c>
      <c r="AG137" s="40">
        <v>7.7311708333537271E-6</v>
      </c>
      <c r="AH137" s="41">
        <v>9.9399590495678938E-2</v>
      </c>
      <c r="AI137" s="42">
        <v>3879.76543698981</v>
      </c>
      <c r="AJ137" s="41">
        <v>7.8930954540461116</v>
      </c>
      <c r="AK137" s="30">
        <v>308083.35105566401</v>
      </c>
      <c r="AL137" s="43">
        <f>+$AL$6*W137/H137*10^6</f>
        <v>72.458965110093942</v>
      </c>
      <c r="AM137" s="30">
        <v>3486455.75</v>
      </c>
      <c r="AN137" s="44">
        <v>8.8365771186301165E-2</v>
      </c>
      <c r="AP137" s="32"/>
      <c r="AR137" s="32"/>
    </row>
    <row r="138" spans="1:44">
      <c r="A138" s="5" t="s">
        <v>287</v>
      </c>
      <c r="B138" s="5" t="s">
        <v>587</v>
      </c>
      <c r="C138" s="5" t="s">
        <v>1980</v>
      </c>
      <c r="D138" s="29" t="s">
        <v>1981</v>
      </c>
      <c r="E138" s="5" t="s">
        <v>114</v>
      </c>
      <c r="F138" s="30" t="s">
        <v>1154</v>
      </c>
      <c r="G138" s="5" t="s">
        <v>971</v>
      </c>
      <c r="H138" s="31">
        <v>105.33</v>
      </c>
      <c r="I138" s="32">
        <v>247.589</v>
      </c>
      <c r="J138" s="32">
        <v>247.58009999999999</v>
      </c>
      <c r="K138" s="33">
        <v>0.94</v>
      </c>
      <c r="L138" s="33">
        <v>0.94</v>
      </c>
      <c r="M138" s="6">
        <v>0.55000000000000004</v>
      </c>
      <c r="N138" s="6">
        <v>0.55000000000000004</v>
      </c>
      <c r="O138" s="6">
        <v>0.45</v>
      </c>
      <c r="P138" s="6">
        <v>0.45</v>
      </c>
      <c r="Q138" s="34">
        <v>232.73365999999999</v>
      </c>
      <c r="R138" s="34">
        <v>232.72529399999996</v>
      </c>
      <c r="S138" s="34">
        <v>24513.836407799998</v>
      </c>
      <c r="T138" s="34">
        <v>24512.955217019997</v>
      </c>
      <c r="U138" s="35">
        <v>1.331293859174849E-3</v>
      </c>
      <c r="V138" s="36">
        <v>1.3360381279528915E-3</v>
      </c>
      <c r="W138" s="36">
        <v>4.7442687780424597E-6</v>
      </c>
      <c r="X138" s="37">
        <v>9.9589027474130525</v>
      </c>
      <c r="Y138" s="38">
        <v>94549.537144337344</v>
      </c>
      <c r="Z138" s="39">
        <v>1.3698754844043569E-3</v>
      </c>
      <c r="AA138" s="40">
        <v>1.3751972068201499E-3</v>
      </c>
      <c r="AB138" s="40">
        <v>5.3217224157929566E-6</v>
      </c>
      <c r="AC138" s="41">
        <v>0.10475508001496535</v>
      </c>
      <c r="AD138" s="42">
        <v>994.54172614606807</v>
      </c>
      <c r="AE138" s="39">
        <v>1.2869916553029772E-3</v>
      </c>
      <c r="AF138" s="40">
        <v>1.2911037429858766E-3</v>
      </c>
      <c r="AG138" s="40">
        <v>4.1120876828994787E-6</v>
      </c>
      <c r="AH138" s="41">
        <v>5.2869072560025814E-2</v>
      </c>
      <c r="AI138" s="42">
        <v>501.93745903375873</v>
      </c>
      <c r="AJ138" s="41">
        <v>10.116526899988044</v>
      </c>
      <c r="AK138" s="30">
        <v>96046.016329517166</v>
      </c>
      <c r="AL138" s="43">
        <f>+$AL$6*W138/H138*10^6</f>
        <v>22.520975876020412</v>
      </c>
      <c r="AM138" s="30">
        <v>1087472.625</v>
      </c>
      <c r="AN138" s="44">
        <v>8.8320399172822556E-2</v>
      </c>
      <c r="AP138" s="32"/>
      <c r="AR138" s="32"/>
    </row>
    <row r="139" spans="1:44">
      <c r="A139" s="5" t="s">
        <v>1275</v>
      </c>
      <c r="B139" s="5" t="s">
        <v>448</v>
      </c>
      <c r="C139" s="5" t="s">
        <v>2054</v>
      </c>
      <c r="D139" s="29" t="s">
        <v>2055</v>
      </c>
      <c r="E139" s="5" t="s">
        <v>789</v>
      </c>
      <c r="F139" s="30" t="s">
        <v>1154</v>
      </c>
      <c r="G139" s="5" t="s">
        <v>969</v>
      </c>
      <c r="H139" s="31">
        <v>34.61</v>
      </c>
      <c r="I139" s="32">
        <v>422.02600000000001</v>
      </c>
      <c r="J139" s="32">
        <v>422.45339999999999</v>
      </c>
      <c r="K139" s="33">
        <v>1</v>
      </c>
      <c r="L139" s="33">
        <v>1</v>
      </c>
      <c r="M139" s="6">
        <v>0</v>
      </c>
      <c r="N139" s="6">
        <v>0</v>
      </c>
      <c r="O139" s="6">
        <v>1</v>
      </c>
      <c r="P139" s="6">
        <v>1</v>
      </c>
      <c r="Q139" s="34">
        <v>422.02600000000001</v>
      </c>
      <c r="R139" s="34">
        <v>422.45339999999999</v>
      </c>
      <c r="S139" s="34">
        <v>14606.31986</v>
      </c>
      <c r="T139" s="34">
        <v>14621.112174</v>
      </c>
      <c r="U139" s="35">
        <v>7.9323789272634567E-4</v>
      </c>
      <c r="V139" s="36">
        <v>7.9689956451994663E-4</v>
      </c>
      <c r="W139" s="36">
        <v>3.6616717936009636E-6</v>
      </c>
      <c r="X139" s="37">
        <v>7.6863759182851155</v>
      </c>
      <c r="Y139" s="38">
        <v>222085.40648035586</v>
      </c>
      <c r="Z139" s="39">
        <v>0</v>
      </c>
      <c r="AA139" s="40">
        <v>0</v>
      </c>
      <c r="AB139" s="40">
        <v>0</v>
      </c>
      <c r="AC139" s="41">
        <v>0</v>
      </c>
      <c r="AD139" s="42">
        <v>0</v>
      </c>
      <c r="AE139" s="39">
        <v>1.7040908345971949E-3</v>
      </c>
      <c r="AF139" s="40">
        <v>1.7113284236248091E-3</v>
      </c>
      <c r="AG139" s="40">
        <v>7.237589027614226E-6</v>
      </c>
      <c r="AH139" s="41">
        <v>9.3053613874005778E-2</v>
      </c>
      <c r="AI139" s="42">
        <v>2688.6337438314299</v>
      </c>
      <c r="AJ139" s="41">
        <v>7.7794295321591216</v>
      </c>
      <c r="AK139" s="30">
        <v>224774.04022418728</v>
      </c>
      <c r="AL139" s="43">
        <f>+$AL$6*W139/H139*10^6</f>
        <v>52.899043536564051</v>
      </c>
      <c r="AM139" s="30">
        <v>2553578.5</v>
      </c>
      <c r="AN139" s="44">
        <v>8.8023156611080206E-2</v>
      </c>
      <c r="AP139" s="32"/>
      <c r="AR139" s="32"/>
    </row>
    <row r="140" spans="1:44">
      <c r="A140" s="5" t="s">
        <v>998</v>
      </c>
      <c r="B140" s="5" t="s">
        <v>410</v>
      </c>
      <c r="C140" s="5" t="s">
        <v>1778</v>
      </c>
      <c r="D140" s="29" t="s">
        <v>1779</v>
      </c>
      <c r="E140" s="5" t="s">
        <v>885</v>
      </c>
      <c r="F140" s="30" t="s">
        <v>1147</v>
      </c>
      <c r="G140" s="5" t="s">
        <v>971</v>
      </c>
      <c r="H140" s="31">
        <v>27.9</v>
      </c>
      <c r="I140" s="32">
        <v>5085.8890000000001</v>
      </c>
      <c r="J140" s="32">
        <v>5085.8890000000001</v>
      </c>
      <c r="K140" s="33">
        <v>1</v>
      </c>
      <c r="L140" s="33">
        <v>1</v>
      </c>
      <c r="M140" s="6">
        <v>0.64</v>
      </c>
      <c r="N140" s="6">
        <v>0.64</v>
      </c>
      <c r="O140" s="6">
        <v>0.36</v>
      </c>
      <c r="P140" s="6">
        <v>0.36</v>
      </c>
      <c r="Q140" s="34">
        <v>5085.8890000000001</v>
      </c>
      <c r="R140" s="34">
        <v>5085.8890000000001</v>
      </c>
      <c r="S140" s="34">
        <v>141896.30309999999</v>
      </c>
      <c r="T140" s="34">
        <v>141896.30309999999</v>
      </c>
      <c r="U140" s="35">
        <v>7.7060837730211678E-3</v>
      </c>
      <c r="V140" s="36">
        <v>7.7338235834384589E-3</v>
      </c>
      <c r="W140" s="36">
        <v>2.773981041729115E-5</v>
      </c>
      <c r="X140" s="37">
        <v>58.229853134810234</v>
      </c>
      <c r="Y140" s="38">
        <v>2087091.5102082521</v>
      </c>
      <c r="Z140" s="39">
        <v>9.2269501691608202E-3</v>
      </c>
      <c r="AA140" s="40">
        <v>9.2631282067586491E-3</v>
      </c>
      <c r="AB140" s="40">
        <v>3.6178037597828921E-5</v>
      </c>
      <c r="AC140" s="41">
        <v>0.71214410058257316</v>
      </c>
      <c r="AD140" s="42">
        <v>25524.878157081475</v>
      </c>
      <c r="AE140" s="39">
        <v>5.9597153206075821E-3</v>
      </c>
      <c r="AF140" s="40">
        <v>5.9789722267698121E-3</v>
      </c>
      <c r="AG140" s="40">
        <v>1.9256906162229935E-5</v>
      </c>
      <c r="AH140" s="41">
        <v>0.24758586092567772</v>
      </c>
      <c r="AI140" s="42">
        <v>8874.0451944687375</v>
      </c>
      <c r="AJ140" s="41">
        <v>59.189583096318479</v>
      </c>
      <c r="AK140" s="30">
        <v>2121490.4335598024</v>
      </c>
      <c r="AL140" s="43">
        <f>+$AL$6*W140/H140*10^6</f>
        <v>497.12921894787007</v>
      </c>
      <c r="AM140" s="30">
        <v>24279806</v>
      </c>
      <c r="AN140" s="44">
        <v>8.7376745660974489E-2</v>
      </c>
      <c r="AP140" s="32"/>
      <c r="AR140" s="32"/>
    </row>
    <row r="141" spans="1:44">
      <c r="A141" s="5" t="s">
        <v>1442</v>
      </c>
      <c r="B141" s="5" t="s">
        <v>1433</v>
      </c>
      <c r="C141" s="5" t="s">
        <v>2202</v>
      </c>
      <c r="D141" s="29" t="s">
        <v>1446</v>
      </c>
      <c r="E141" s="5" t="s">
        <v>1437</v>
      </c>
      <c r="F141" s="30" t="s">
        <v>1164</v>
      </c>
      <c r="G141" s="5" t="s">
        <v>969</v>
      </c>
      <c r="H141" s="31">
        <v>33.659999999999997</v>
      </c>
      <c r="I141" s="32">
        <v>181.37100000000001</v>
      </c>
      <c r="J141" s="32">
        <v>181.4992</v>
      </c>
      <c r="K141" s="33">
        <v>1</v>
      </c>
      <c r="L141" s="33">
        <v>1</v>
      </c>
      <c r="M141" s="6">
        <v>0</v>
      </c>
      <c r="N141" s="6">
        <v>0</v>
      </c>
      <c r="O141" s="6">
        <v>1</v>
      </c>
      <c r="P141" s="6">
        <v>1</v>
      </c>
      <c r="Q141" s="34">
        <v>181.37100000000001</v>
      </c>
      <c r="R141" s="34">
        <v>181.4992</v>
      </c>
      <c r="S141" s="34">
        <v>6104.9478599999993</v>
      </c>
      <c r="T141" s="34">
        <v>6109.2630719999997</v>
      </c>
      <c r="U141" s="35">
        <v>3.315466196884047E-4</v>
      </c>
      <c r="V141" s="36">
        <v>3.3297529105015344E-4</v>
      </c>
      <c r="W141" s="36">
        <v>1.4286713617487332E-6</v>
      </c>
      <c r="X141" s="37">
        <v>2.9989867385929267</v>
      </c>
      <c r="Y141" s="38">
        <v>89096.456880360274</v>
      </c>
      <c r="Z141" s="39">
        <v>0</v>
      </c>
      <c r="AA141" s="40">
        <v>0</v>
      </c>
      <c r="AB141" s="40">
        <v>0</v>
      </c>
      <c r="AC141" s="41">
        <v>0</v>
      </c>
      <c r="AD141" s="42">
        <v>0</v>
      </c>
      <c r="AE141" s="39">
        <v>7.1225235333986163E-4</v>
      </c>
      <c r="AF141" s="40">
        <v>7.1505884217936224E-4</v>
      </c>
      <c r="AG141" s="40">
        <v>2.8064888395006168E-6</v>
      </c>
      <c r="AH141" s="41">
        <v>3.6083000542886982E-2</v>
      </c>
      <c r="AI141" s="42">
        <v>1071.984567524866</v>
      </c>
      <c r="AJ141" s="41">
        <v>3.0350697391358139</v>
      </c>
      <c r="AK141" s="30">
        <v>90168.441447885139</v>
      </c>
      <c r="AL141" s="43">
        <f>+$AL$6*W141/H141*10^6</f>
        <v>21.222093905952665</v>
      </c>
      <c r="AM141" s="30">
        <v>1034591.6875</v>
      </c>
      <c r="AN141" s="44">
        <v>8.7153649635219155E-2</v>
      </c>
      <c r="AP141" s="32"/>
      <c r="AR141" s="32"/>
    </row>
    <row r="142" spans="1:44">
      <c r="A142" s="5" t="s">
        <v>323</v>
      </c>
      <c r="B142" s="5" t="s">
        <v>622</v>
      </c>
      <c r="C142" s="5" t="s">
        <v>2002</v>
      </c>
      <c r="D142" s="29" t="s">
        <v>2003</v>
      </c>
      <c r="E142" s="5" t="s">
        <v>1708</v>
      </c>
      <c r="F142" s="30" t="s">
        <v>1154</v>
      </c>
      <c r="G142" s="5" t="s">
        <v>969</v>
      </c>
      <c r="H142" s="31">
        <v>50.96</v>
      </c>
      <c r="I142" s="32">
        <v>315.21800000000002</v>
      </c>
      <c r="J142" s="32">
        <v>315.68450000000001</v>
      </c>
      <c r="K142" s="33">
        <v>1</v>
      </c>
      <c r="L142" s="33">
        <v>1</v>
      </c>
      <c r="M142" s="6">
        <v>0.49</v>
      </c>
      <c r="N142" s="6">
        <v>0.49</v>
      </c>
      <c r="O142" s="6">
        <v>0.51</v>
      </c>
      <c r="P142" s="6">
        <v>0.51</v>
      </c>
      <c r="Q142" s="34">
        <v>315.21800000000002</v>
      </c>
      <c r="R142" s="34">
        <v>315.68450000000001</v>
      </c>
      <c r="S142" s="34">
        <v>16063.509280000002</v>
      </c>
      <c r="T142" s="34">
        <v>16087.282120000002</v>
      </c>
      <c r="U142" s="35">
        <v>8.7237472362578395E-4</v>
      </c>
      <c r="V142" s="36">
        <v>8.7681073526914082E-4</v>
      </c>
      <c r="W142" s="36">
        <v>4.4360116433568748E-6</v>
      </c>
      <c r="X142" s="37">
        <v>9.3118266711717261</v>
      </c>
      <c r="Y142" s="38">
        <v>182728.1528879852</v>
      </c>
      <c r="Z142" s="39">
        <v>7.9973044411280547E-4</v>
      </c>
      <c r="AA142" s="40">
        <v>8.0405429908282655E-4</v>
      </c>
      <c r="AB142" s="40">
        <v>4.3238549700210828E-6</v>
      </c>
      <c r="AC142" s="41">
        <v>8.5112626696477831E-2</v>
      </c>
      <c r="AD142" s="42">
        <v>1670.1849822699733</v>
      </c>
      <c r="AE142" s="39">
        <v>9.5579012310583779E-4</v>
      </c>
      <c r="AF142" s="40">
        <v>9.6029752318634119E-4</v>
      </c>
      <c r="AG142" s="40">
        <v>4.5074000805033973E-6</v>
      </c>
      <c r="AH142" s="41">
        <v>5.7951600328028728E-2</v>
      </c>
      <c r="AI142" s="42">
        <v>1137.1978086347867</v>
      </c>
      <c r="AJ142" s="41">
        <v>9.4548908981962327</v>
      </c>
      <c r="AK142" s="30">
        <v>185535.53567888995</v>
      </c>
      <c r="AL142" s="43">
        <f>+$AL$6*W142/H142*10^6</f>
        <v>43.524447050204813</v>
      </c>
      <c r="AM142" s="30">
        <v>2140011.25</v>
      </c>
      <c r="AN142" s="44">
        <v>8.6698392673818861E-2</v>
      </c>
      <c r="AP142" s="32"/>
      <c r="AR142" s="32"/>
    </row>
    <row r="143" spans="1:44">
      <c r="A143" s="5" t="s">
        <v>1298</v>
      </c>
      <c r="B143" s="5" t="s">
        <v>470</v>
      </c>
      <c r="C143" s="5" t="s">
        <v>1961</v>
      </c>
      <c r="D143" s="29" t="s">
        <v>1962</v>
      </c>
      <c r="E143" s="5" t="s">
        <v>6</v>
      </c>
      <c r="F143" s="30" t="s">
        <v>1156</v>
      </c>
      <c r="G143" s="5" t="s">
        <v>969</v>
      </c>
      <c r="H143" s="31">
        <v>39.590000000000003</v>
      </c>
      <c r="I143" s="32">
        <v>461.67599999999999</v>
      </c>
      <c r="J143" s="32">
        <v>462.58659999999998</v>
      </c>
      <c r="K143" s="33">
        <v>1</v>
      </c>
      <c r="L143" s="33">
        <v>1</v>
      </c>
      <c r="M143" s="6">
        <v>0.56000000000000005</v>
      </c>
      <c r="N143" s="6">
        <v>0.56000000000000005</v>
      </c>
      <c r="O143" s="6">
        <v>0.44</v>
      </c>
      <c r="P143" s="6">
        <v>0.44</v>
      </c>
      <c r="Q143" s="34">
        <v>461.67599999999999</v>
      </c>
      <c r="R143" s="34">
        <v>462.58659999999998</v>
      </c>
      <c r="S143" s="34">
        <v>18277.752840000001</v>
      </c>
      <c r="T143" s="34">
        <v>18313.803494</v>
      </c>
      <c r="U143" s="35">
        <v>9.9262554055656437E-4</v>
      </c>
      <c r="V143" s="36">
        <v>9.9816360447769017E-4</v>
      </c>
      <c r="W143" s="36">
        <v>5.5380639211257982E-6</v>
      </c>
      <c r="X143" s="37">
        <v>11.625192960126849</v>
      </c>
      <c r="Y143" s="38">
        <v>293639.63021285296</v>
      </c>
      <c r="Z143" s="39">
        <v>1.0399631428209702E-3</v>
      </c>
      <c r="AA143" s="40">
        <v>1.0460999882351283E-3</v>
      </c>
      <c r="AB143" s="40">
        <v>6.1368454141580691E-6</v>
      </c>
      <c r="AC143" s="41">
        <v>0.1208003127881694</v>
      </c>
      <c r="AD143" s="42">
        <v>3051.2834753263296</v>
      </c>
      <c r="AE143" s="39">
        <v>9.3826909253634657E-4</v>
      </c>
      <c r="AF143" s="40">
        <v>9.4315740964392373E-4</v>
      </c>
      <c r="AG143" s="40">
        <v>4.8883171075771604E-6</v>
      </c>
      <c r="AH143" s="41">
        <v>6.2849046952880863E-2</v>
      </c>
      <c r="AI143" s="42">
        <v>1587.4980286153286</v>
      </c>
      <c r="AJ143" s="41">
        <v>11.8088423198679</v>
      </c>
      <c r="AK143" s="30">
        <v>298278.4117167946</v>
      </c>
      <c r="AL143" s="43">
        <f>+$AL$6*W143/H143*10^6</f>
        <v>69.942711810126269</v>
      </c>
      <c r="AM143" s="30">
        <v>3442126.75</v>
      </c>
      <c r="AN143" s="44">
        <v>8.6655266752392129E-2</v>
      </c>
      <c r="AP143" s="32"/>
      <c r="AR143" s="32"/>
    </row>
    <row r="144" spans="1:44">
      <c r="A144" s="5" t="s">
        <v>1304</v>
      </c>
      <c r="B144" s="5" t="s">
        <v>476</v>
      </c>
      <c r="C144" s="5" t="s">
        <v>2183</v>
      </c>
      <c r="D144" s="29" t="s">
        <v>2184</v>
      </c>
      <c r="E144" s="5" t="s">
        <v>12</v>
      </c>
      <c r="F144" s="30" t="s">
        <v>1153</v>
      </c>
      <c r="G144" s="5" t="s">
        <v>969</v>
      </c>
      <c r="H144" s="31">
        <v>60.89</v>
      </c>
      <c r="I144" s="32">
        <v>264.27499999999998</v>
      </c>
      <c r="J144" s="32">
        <v>264.27510000000001</v>
      </c>
      <c r="K144" s="33">
        <v>0.51</v>
      </c>
      <c r="L144" s="33">
        <v>0.51</v>
      </c>
      <c r="M144" s="6">
        <v>0.56999999999999995</v>
      </c>
      <c r="N144" s="6">
        <v>0.56999999999999995</v>
      </c>
      <c r="O144" s="6">
        <v>0.43</v>
      </c>
      <c r="P144" s="6">
        <v>0.43</v>
      </c>
      <c r="Q144" s="34">
        <v>134.78025</v>
      </c>
      <c r="R144" s="34">
        <v>134.78030100000001</v>
      </c>
      <c r="S144" s="34">
        <v>8206.7694224999996</v>
      </c>
      <c r="T144" s="34">
        <v>8206.7725278899998</v>
      </c>
      <c r="U144" s="35">
        <v>4.4569203914413718E-4</v>
      </c>
      <c r="V144" s="36">
        <v>4.4729657879374689E-4</v>
      </c>
      <c r="W144" s="36">
        <v>1.6045396496097144E-6</v>
      </c>
      <c r="X144" s="37">
        <v>3.3681595778864515</v>
      </c>
      <c r="Y144" s="38">
        <v>55315.480011273634</v>
      </c>
      <c r="Z144" s="39">
        <v>4.7528510905079166E-4</v>
      </c>
      <c r="AA144" s="40">
        <v>4.7714883955285594E-4</v>
      </c>
      <c r="AB144" s="40">
        <v>1.8637305020642808E-6</v>
      </c>
      <c r="AC144" s="41">
        <v>3.6686475283018778E-2</v>
      </c>
      <c r="AD144" s="42">
        <v>602.5041104125271</v>
      </c>
      <c r="AE144" s="39">
        <v>4.1171114258002758E-4</v>
      </c>
      <c r="AF144" s="40">
        <v>4.1304161121311116E-4</v>
      </c>
      <c r="AG144" s="40">
        <v>1.3304686330835812E-6</v>
      </c>
      <c r="AH144" s="41">
        <v>1.7105822668580902E-2</v>
      </c>
      <c r="AI144" s="42">
        <v>280.92991736871249</v>
      </c>
      <c r="AJ144" s="41">
        <v>3.4219518758380509</v>
      </c>
      <c r="AK144" s="30">
        <v>56198.914039054871</v>
      </c>
      <c r="AL144" s="43">
        <f>+$AL$6*W144/H144*10^6</f>
        <v>13.175723843075335</v>
      </c>
      <c r="AM144" s="30">
        <v>648888.375</v>
      </c>
      <c r="AN144" s="44">
        <v>8.6607984060517146E-2</v>
      </c>
      <c r="AP144" s="32"/>
      <c r="AR144" s="32"/>
    </row>
    <row r="145" spans="1:44">
      <c r="A145" s="5" t="s">
        <v>252</v>
      </c>
      <c r="B145" s="5" t="s">
        <v>552</v>
      </c>
      <c r="C145" s="5" t="s">
        <v>2179</v>
      </c>
      <c r="D145" s="29" t="s">
        <v>2180</v>
      </c>
      <c r="E145" s="5" t="s">
        <v>83</v>
      </c>
      <c r="F145" s="30" t="s">
        <v>1150</v>
      </c>
      <c r="G145" s="5" t="s">
        <v>969</v>
      </c>
      <c r="H145" s="31">
        <v>50.08</v>
      </c>
      <c r="I145" s="32">
        <v>113.194</v>
      </c>
      <c r="J145" s="32">
        <v>113.38339999999999</v>
      </c>
      <c r="K145" s="33">
        <v>1</v>
      </c>
      <c r="L145" s="33">
        <v>1</v>
      </c>
      <c r="M145" s="6">
        <v>0.6</v>
      </c>
      <c r="N145" s="6">
        <v>0.6</v>
      </c>
      <c r="O145" s="6">
        <v>0.4</v>
      </c>
      <c r="P145" s="6">
        <v>0.4</v>
      </c>
      <c r="Q145" s="34">
        <v>113.194</v>
      </c>
      <c r="R145" s="34">
        <v>113.38339999999999</v>
      </c>
      <c r="S145" s="34">
        <v>5668.7555199999997</v>
      </c>
      <c r="T145" s="34">
        <v>5678.2406719999999</v>
      </c>
      <c r="U145" s="35">
        <v>3.0785794958386182E-4</v>
      </c>
      <c r="V145" s="36">
        <v>3.094831272003241E-4</v>
      </c>
      <c r="W145" s="36">
        <v>1.6251776164622812E-6</v>
      </c>
      <c r="X145" s="37">
        <v>3.411481639600217</v>
      </c>
      <c r="Y145" s="38">
        <v>68120.639768374938</v>
      </c>
      <c r="Z145" s="39">
        <v>3.4557800900299228E-4</v>
      </c>
      <c r="AA145" s="40">
        <v>3.4751348906157247E-4</v>
      </c>
      <c r="AB145" s="40">
        <v>1.9354800585801826E-6</v>
      </c>
      <c r="AC145" s="41">
        <v>3.809882450881763E-2</v>
      </c>
      <c r="AD145" s="42">
        <v>760.75927533581535</v>
      </c>
      <c r="AE145" s="39">
        <v>2.6454505769543668E-4</v>
      </c>
      <c r="AF145" s="40">
        <v>2.6584392603063101E-4</v>
      </c>
      <c r="AG145" s="40">
        <v>1.2988683351943301E-6</v>
      </c>
      <c r="AH145" s="41">
        <v>1.6699537936625177E-2</v>
      </c>
      <c r="AI145" s="42">
        <v>333.4572271690331</v>
      </c>
      <c r="AJ145" s="41">
        <v>3.4662800020456599</v>
      </c>
      <c r="AK145" s="30">
        <v>69214.856270879784</v>
      </c>
      <c r="AL145" s="43">
        <f>+$AL$6*W145/H145*10^6</f>
        <v>16.22581486084546</v>
      </c>
      <c r="AM145" s="30">
        <v>809105.875</v>
      </c>
      <c r="AN145" s="44">
        <v>8.5544869230964105E-2</v>
      </c>
      <c r="AP145" s="32"/>
      <c r="AR145" s="32"/>
    </row>
    <row r="146" spans="1:44">
      <c r="A146" s="5" t="s">
        <v>848</v>
      </c>
      <c r="B146" s="5" t="s">
        <v>1130</v>
      </c>
      <c r="C146" s="5" t="s">
        <v>1891</v>
      </c>
      <c r="D146" s="29" t="s">
        <v>1892</v>
      </c>
      <c r="E146" s="5" t="s">
        <v>1054</v>
      </c>
      <c r="F146" s="30" t="s">
        <v>1154</v>
      </c>
      <c r="G146" s="5" t="s">
        <v>969</v>
      </c>
      <c r="H146" s="31">
        <v>46.57</v>
      </c>
      <c r="I146" s="32">
        <v>908.26099999999997</v>
      </c>
      <c r="J146" s="32">
        <v>908.4248</v>
      </c>
      <c r="K146" s="33">
        <v>1</v>
      </c>
      <c r="L146" s="33">
        <v>1</v>
      </c>
      <c r="M146" s="6">
        <v>0</v>
      </c>
      <c r="N146" s="6">
        <v>0</v>
      </c>
      <c r="O146" s="6">
        <v>1</v>
      </c>
      <c r="P146" s="6">
        <v>1</v>
      </c>
      <c r="Q146" s="34">
        <v>908.26099999999997</v>
      </c>
      <c r="R146" s="34">
        <v>908.4248</v>
      </c>
      <c r="S146" s="34">
        <v>42297.714769999999</v>
      </c>
      <c r="T146" s="34">
        <v>42305.342936000001</v>
      </c>
      <c r="U146" s="35">
        <v>2.2970981364839717E-3</v>
      </c>
      <c r="V146" s="36">
        <v>2.3057828270079041E-3</v>
      </c>
      <c r="W146" s="36">
        <v>8.6846905239324271E-6</v>
      </c>
      <c r="X146" s="37">
        <v>18.230414920739275</v>
      </c>
      <c r="Y146" s="38">
        <v>391462.63518873253</v>
      </c>
      <c r="Z146" s="39">
        <v>0</v>
      </c>
      <c r="AA146" s="40">
        <v>0</v>
      </c>
      <c r="AB146" s="40">
        <v>0</v>
      </c>
      <c r="AC146" s="41">
        <v>0</v>
      </c>
      <c r="AD146" s="42">
        <v>0</v>
      </c>
      <c r="AE146" s="39">
        <v>4.9347918404385399E-3</v>
      </c>
      <c r="AF146" s="40">
        <v>4.9516298743890498E-3</v>
      </c>
      <c r="AG146" s="40">
        <v>1.6838033950509861E-5</v>
      </c>
      <c r="AH146" s="41">
        <v>0.2164864437107494</v>
      </c>
      <c r="AI146" s="42">
        <v>4648.6245160135159</v>
      </c>
      <c r="AJ146" s="41">
        <v>18.446901364450024</v>
      </c>
      <c r="AK146" s="30">
        <v>396111.25970474607</v>
      </c>
      <c r="AL146" s="43">
        <f>+$AL$6*W146/H146*10^6</f>
        <v>93.243402661932862</v>
      </c>
      <c r="AM146" s="30">
        <v>4689513</v>
      </c>
      <c r="AN146" s="44">
        <v>8.4467461696928037E-2</v>
      </c>
      <c r="AP146" s="32"/>
      <c r="AR146" s="32"/>
    </row>
    <row r="147" spans="1:44">
      <c r="A147" s="5" t="s">
        <v>310</v>
      </c>
      <c r="B147" s="5" t="s">
        <v>610</v>
      </c>
      <c r="C147" s="5" t="s">
        <v>1836</v>
      </c>
      <c r="D147" s="29" t="s">
        <v>650</v>
      </c>
      <c r="E147" s="5" t="s">
        <v>136</v>
      </c>
      <c r="F147" s="30" t="s">
        <v>1168</v>
      </c>
      <c r="G147" s="5" t="s">
        <v>969</v>
      </c>
      <c r="H147" s="31">
        <v>186.51</v>
      </c>
      <c r="I147" s="32">
        <v>282.68599999999998</v>
      </c>
      <c r="J147" s="32">
        <v>282.97429999999997</v>
      </c>
      <c r="K147" s="33">
        <v>1</v>
      </c>
      <c r="L147" s="33">
        <v>1</v>
      </c>
      <c r="M147" s="6">
        <v>0.67</v>
      </c>
      <c r="N147" s="6">
        <v>0.67</v>
      </c>
      <c r="O147" s="6">
        <v>0.33</v>
      </c>
      <c r="P147" s="6">
        <v>0.33</v>
      </c>
      <c r="Q147" s="34">
        <v>282.68599999999998</v>
      </c>
      <c r="R147" s="34">
        <v>282.97429999999997</v>
      </c>
      <c r="S147" s="34">
        <v>52723.765859999992</v>
      </c>
      <c r="T147" s="34">
        <v>52777.536692999995</v>
      </c>
      <c r="U147" s="35">
        <v>2.8633146013676055E-3</v>
      </c>
      <c r="V147" s="36">
        <v>2.876552447349222E-3</v>
      </c>
      <c r="W147" s="36">
        <v>1.3237845981616501E-5</v>
      </c>
      <c r="X147" s="37">
        <v>27.788143312265671</v>
      </c>
      <c r="Y147" s="38">
        <v>148990.0987199918</v>
      </c>
      <c r="Z147" s="39">
        <v>3.5891230326969403E-3</v>
      </c>
      <c r="AA147" s="40">
        <v>3.6068704129811873E-3</v>
      </c>
      <c r="AB147" s="40">
        <v>1.774738028424705E-5</v>
      </c>
      <c r="AC147" s="41">
        <v>0.3493470903734277</v>
      </c>
      <c r="AD147" s="42">
        <v>1873.074314371496</v>
      </c>
      <c r="AE147" s="39">
        <v>2.0298890288211568E-3</v>
      </c>
      <c r="AF147" s="40">
        <v>2.0385248541243172E-3</v>
      </c>
      <c r="AG147" s="40">
        <v>8.6358253031603403E-6</v>
      </c>
      <c r="AH147" s="41">
        <v>0.11103072448264521</v>
      </c>
      <c r="AI147" s="42">
        <v>595.30708531791981</v>
      </c>
      <c r="AJ147" s="41">
        <v>28.248521127121744</v>
      </c>
      <c r="AK147" s="30">
        <v>151458.48011968122</v>
      </c>
      <c r="AL147" s="43">
        <f>+$AL$6*W147/H147*10^6</f>
        <v>35.488300846111471</v>
      </c>
      <c r="AM147" s="30">
        <v>1816599.75</v>
      </c>
      <c r="AN147" s="44">
        <v>8.3374711528877626E-2</v>
      </c>
      <c r="AP147" s="32"/>
      <c r="AR147" s="32"/>
    </row>
    <row r="148" spans="1:44">
      <c r="A148" s="5" t="s">
        <v>1025</v>
      </c>
      <c r="B148" s="5" t="s">
        <v>1110</v>
      </c>
      <c r="C148" s="5" t="s">
        <v>1839</v>
      </c>
      <c r="D148" s="29" t="s">
        <v>1840</v>
      </c>
      <c r="E148" s="5" t="s">
        <v>909</v>
      </c>
      <c r="F148" s="30" t="s">
        <v>1159</v>
      </c>
      <c r="G148" s="5" t="s">
        <v>971</v>
      </c>
      <c r="H148" s="31">
        <v>68.97</v>
      </c>
      <c r="I148" s="32">
        <v>932.68600000000004</v>
      </c>
      <c r="J148" s="32">
        <v>932.6857</v>
      </c>
      <c r="K148" s="33">
        <v>1</v>
      </c>
      <c r="L148" s="33">
        <v>1</v>
      </c>
      <c r="M148" s="6">
        <v>1</v>
      </c>
      <c r="N148" s="6">
        <v>1</v>
      </c>
      <c r="O148" s="6">
        <v>0</v>
      </c>
      <c r="P148" s="6">
        <v>0</v>
      </c>
      <c r="Q148" s="34">
        <v>932.68600000000004</v>
      </c>
      <c r="R148" s="34">
        <v>932.6857</v>
      </c>
      <c r="S148" s="34">
        <v>64327.353419999999</v>
      </c>
      <c r="T148" s="34">
        <v>64327.332729000002</v>
      </c>
      <c r="U148" s="35">
        <v>3.493480545450939E-3</v>
      </c>
      <c r="V148" s="36">
        <v>3.5060549996755543E-3</v>
      </c>
      <c r="W148" s="36">
        <v>1.2574454224615391E-5</v>
      </c>
      <c r="X148" s="37">
        <v>26.395588568743001</v>
      </c>
      <c r="Y148" s="38">
        <v>382711.15802150214</v>
      </c>
      <c r="Z148" s="39">
        <v>6.5358609548089508E-3</v>
      </c>
      <c r="AA148" s="40">
        <v>6.5614853643290224E-3</v>
      </c>
      <c r="AB148" s="40">
        <v>2.5624409520071632E-5</v>
      </c>
      <c r="AC148" s="41">
        <v>0.50440193228518382</v>
      </c>
      <c r="AD148" s="42">
        <v>7313.3526502129016</v>
      </c>
      <c r="AE148" s="39">
        <v>0</v>
      </c>
      <c r="AF148" s="40">
        <v>0</v>
      </c>
      <c r="AG148" s="40">
        <v>0</v>
      </c>
      <c r="AH148" s="41">
        <v>0</v>
      </c>
      <c r="AI148" s="42">
        <v>0</v>
      </c>
      <c r="AJ148" s="41">
        <v>26.899990501028185</v>
      </c>
      <c r="AK148" s="30">
        <v>390024.51067171502</v>
      </c>
      <c r="AL148" s="43">
        <f>+$AL$6*W148/H148*10^6</f>
        <v>91.158867802054459</v>
      </c>
      <c r="AM148" s="30">
        <v>4683080</v>
      </c>
      <c r="AN148" s="44">
        <v>8.3283759976706576E-2</v>
      </c>
      <c r="AP148" s="32"/>
      <c r="AR148" s="32"/>
    </row>
    <row r="149" spans="1:44">
      <c r="A149" s="5" t="s">
        <v>329</v>
      </c>
      <c r="B149" s="5" t="s">
        <v>628</v>
      </c>
      <c r="C149" s="5" t="s">
        <v>2023</v>
      </c>
      <c r="D149" s="29" t="s">
        <v>2024</v>
      </c>
      <c r="E149" s="5" t="s">
        <v>155</v>
      </c>
      <c r="F149" s="30" t="s">
        <v>1154</v>
      </c>
      <c r="G149" s="5" t="s">
        <v>969</v>
      </c>
      <c r="H149" s="31">
        <v>35.72</v>
      </c>
      <c r="I149" s="32">
        <v>506.91399999999999</v>
      </c>
      <c r="J149" s="32">
        <v>507.21129999999999</v>
      </c>
      <c r="K149" s="33">
        <v>1</v>
      </c>
      <c r="L149" s="33">
        <v>1</v>
      </c>
      <c r="M149" s="6">
        <v>0</v>
      </c>
      <c r="N149" s="6">
        <v>0</v>
      </c>
      <c r="O149" s="6">
        <v>1</v>
      </c>
      <c r="P149" s="6">
        <v>1</v>
      </c>
      <c r="Q149" s="34">
        <v>506.91399999999999</v>
      </c>
      <c r="R149" s="34">
        <v>507.21129999999999</v>
      </c>
      <c r="S149" s="34">
        <v>18106.968079999999</v>
      </c>
      <c r="T149" s="34">
        <v>18117.587636</v>
      </c>
      <c r="U149" s="35">
        <v>9.8335058667148789E-4</v>
      </c>
      <c r="V149" s="36">
        <v>9.8746918329199133E-4</v>
      </c>
      <c r="W149" s="36">
        <v>4.118596620503439E-6</v>
      </c>
      <c r="X149" s="37">
        <v>8.6455268700737022</v>
      </c>
      <c r="Y149" s="38">
        <v>242036.026597808</v>
      </c>
      <c r="Z149" s="39">
        <v>0</v>
      </c>
      <c r="AA149" s="40">
        <v>0</v>
      </c>
      <c r="AB149" s="40">
        <v>0</v>
      </c>
      <c r="AC149" s="41">
        <v>0</v>
      </c>
      <c r="AD149" s="42">
        <v>0</v>
      </c>
      <c r="AE149" s="39">
        <v>2.1125046310927474E-3</v>
      </c>
      <c r="AF149" s="40">
        <v>2.1205734775864124E-3</v>
      </c>
      <c r="AG149" s="40">
        <v>8.0688464936650578E-6</v>
      </c>
      <c r="AH149" s="41">
        <v>0.10374108327585388</v>
      </c>
      <c r="AI149" s="42">
        <v>2904.2856460205458</v>
      </c>
      <c r="AJ149" s="41">
        <v>8.7492679533495554</v>
      </c>
      <c r="AK149" s="30">
        <v>244940.31224382855</v>
      </c>
      <c r="AL149" s="43">
        <f>+$AL$6*W149/H149*10^6</f>
        <v>57.651128506487112</v>
      </c>
      <c r="AM149" s="30">
        <v>2987641.25</v>
      </c>
      <c r="AN149" s="44">
        <v>8.1984512780384378E-2</v>
      </c>
      <c r="AP149" s="32"/>
      <c r="AR149" s="32"/>
    </row>
    <row r="150" spans="1:44">
      <c r="A150" s="5" t="s">
        <v>1190</v>
      </c>
      <c r="B150" s="5" t="s">
        <v>359</v>
      </c>
      <c r="C150" s="5" t="s">
        <v>1882</v>
      </c>
      <c r="D150" s="29" t="s">
        <v>1459</v>
      </c>
      <c r="E150" s="5" t="s">
        <v>715</v>
      </c>
      <c r="F150" s="30" t="s">
        <v>1156</v>
      </c>
      <c r="G150" s="5" t="s">
        <v>969</v>
      </c>
      <c r="H150" s="31">
        <v>99.97</v>
      </c>
      <c r="I150" s="32">
        <v>423.089</v>
      </c>
      <c r="J150" s="32">
        <v>423.279</v>
      </c>
      <c r="K150" s="33">
        <v>1</v>
      </c>
      <c r="L150" s="33">
        <v>1</v>
      </c>
      <c r="M150" s="6">
        <v>1</v>
      </c>
      <c r="N150" s="6">
        <v>1</v>
      </c>
      <c r="O150" s="6">
        <v>0</v>
      </c>
      <c r="P150" s="6">
        <v>0</v>
      </c>
      <c r="Q150" s="34">
        <v>423.089</v>
      </c>
      <c r="R150" s="34">
        <v>423.279</v>
      </c>
      <c r="S150" s="34">
        <v>42296.207329999997</v>
      </c>
      <c r="T150" s="34">
        <v>42315.201629999996</v>
      </c>
      <c r="U150" s="35">
        <v>2.2970162706518883E-3</v>
      </c>
      <c r="V150" s="36">
        <v>2.3063201588375101E-3</v>
      </c>
      <c r="W150" s="36">
        <v>9.3038881856218406E-6</v>
      </c>
      <c r="X150" s="37">
        <v>19.53019989977135</v>
      </c>
      <c r="Y150" s="38">
        <v>195360.60717986748</v>
      </c>
      <c r="Z150" s="39">
        <v>4.2974273824034331E-3</v>
      </c>
      <c r="AA150" s="40">
        <v>4.3162146540968943E-3</v>
      </c>
      <c r="AB150" s="40">
        <v>1.8787271693461276E-5</v>
      </c>
      <c r="AC150" s="41">
        <v>0.36981676151896414</v>
      </c>
      <c r="AD150" s="42">
        <v>3699.2773984091641</v>
      </c>
      <c r="AE150" s="39">
        <v>0</v>
      </c>
      <c r="AF150" s="40">
        <v>0</v>
      </c>
      <c r="AG150" s="40">
        <v>0</v>
      </c>
      <c r="AH150" s="41">
        <v>0</v>
      </c>
      <c r="AI150" s="42">
        <v>0</v>
      </c>
      <c r="AJ150" s="41">
        <v>19.900016661290316</v>
      </c>
      <c r="AK150" s="30">
        <v>199059.88457827666</v>
      </c>
      <c r="AL150" s="43">
        <f>+$AL$6*W150/H150*10^6</f>
        <v>46.533400948393719</v>
      </c>
      <c r="AM150" s="30">
        <v>2433014.25</v>
      </c>
      <c r="AN150" s="44">
        <v>8.1816160582814781E-2</v>
      </c>
      <c r="AP150" s="32"/>
      <c r="AR150" s="32"/>
    </row>
    <row r="151" spans="1:44">
      <c r="A151" s="5" t="s">
        <v>832</v>
      </c>
      <c r="B151" s="5" t="s">
        <v>189</v>
      </c>
      <c r="C151" s="5" t="s">
        <v>2113</v>
      </c>
      <c r="D151" s="29" t="s">
        <v>1574</v>
      </c>
      <c r="E151" s="5" t="s">
        <v>690</v>
      </c>
      <c r="F151" s="30" t="s">
        <v>1156</v>
      </c>
      <c r="G151" s="5" t="s">
        <v>969</v>
      </c>
      <c r="H151" s="31">
        <v>114.73</v>
      </c>
      <c r="I151" s="32">
        <v>99.582999999999998</v>
      </c>
      <c r="J151" s="32">
        <v>99.614409999999992</v>
      </c>
      <c r="K151" s="33">
        <v>1</v>
      </c>
      <c r="L151" s="33">
        <v>1</v>
      </c>
      <c r="M151" s="6">
        <v>0.63</v>
      </c>
      <c r="N151" s="6">
        <v>0.63</v>
      </c>
      <c r="O151" s="6">
        <v>0.37</v>
      </c>
      <c r="P151" s="6">
        <v>0.37</v>
      </c>
      <c r="Q151" s="34">
        <v>99.582999999999998</v>
      </c>
      <c r="R151" s="34">
        <v>99.614409999999992</v>
      </c>
      <c r="S151" s="34">
        <v>11425.157590000001</v>
      </c>
      <c r="T151" s="34">
        <v>11428.761259299999</v>
      </c>
      <c r="U151" s="35">
        <v>6.2047579524648411E-4</v>
      </c>
      <c r="V151" s="36">
        <v>6.2290575177544679E-4</v>
      </c>
      <c r="W151" s="36">
        <v>2.4299565289626719E-6</v>
      </c>
      <c r="X151" s="37">
        <v>5.1008283646116936</v>
      </c>
      <c r="Y151" s="38">
        <v>44459.412225326356</v>
      </c>
      <c r="Z151" s="39">
        <v>7.3132407254044131E-4</v>
      </c>
      <c r="AA151" s="40">
        <v>7.3442310335285264E-4</v>
      </c>
      <c r="AB151" s="40">
        <v>3.0990308124113301E-6</v>
      </c>
      <c r="AC151" s="41">
        <v>6.1002659544883361E-2</v>
      </c>
      <c r="AD151" s="42">
        <v>531.70626292062548</v>
      </c>
      <c r="AE151" s="39">
        <v>4.9319181095836993E-4</v>
      </c>
      <c r="AF151" s="40">
        <v>4.9494146478935267E-4</v>
      </c>
      <c r="AG151" s="40">
        <v>1.7496538309827361E-6</v>
      </c>
      <c r="AH151" s="41">
        <v>2.2495282804847399E-2</v>
      </c>
      <c r="AI151" s="42">
        <v>196.07149659938463</v>
      </c>
      <c r="AJ151" s="41">
        <v>5.1843263069614238</v>
      </c>
      <c r="AK151" s="30">
        <v>45187.189984846365</v>
      </c>
      <c r="AL151" s="43">
        <f>+$AL$6*W151/H151*10^6</f>
        <v>10.589891610575577</v>
      </c>
      <c r="AM151" s="30">
        <v>554844.1875</v>
      </c>
      <c r="AN151" s="44">
        <v>8.1441224406530108E-2</v>
      </c>
      <c r="AP151" s="32"/>
      <c r="AR151" s="32"/>
    </row>
    <row r="152" spans="1:44">
      <c r="A152" s="5" t="s">
        <v>253</v>
      </c>
      <c r="B152" s="5" t="s">
        <v>553</v>
      </c>
      <c r="C152" s="5" t="s">
        <v>2012</v>
      </c>
      <c r="D152" s="29" t="s">
        <v>1416</v>
      </c>
      <c r="E152" s="5" t="s">
        <v>1529</v>
      </c>
      <c r="F152" s="30" t="s">
        <v>1156</v>
      </c>
      <c r="G152" s="5" t="s">
        <v>971</v>
      </c>
      <c r="H152" s="31">
        <v>41.18</v>
      </c>
      <c r="I152" s="32">
        <v>524.04700000000003</v>
      </c>
      <c r="J152" s="32">
        <v>524.04700000000003</v>
      </c>
      <c r="K152" s="33">
        <v>1</v>
      </c>
      <c r="L152" s="33">
        <v>1</v>
      </c>
      <c r="M152" s="6">
        <v>0</v>
      </c>
      <c r="N152" s="6">
        <v>0</v>
      </c>
      <c r="O152" s="6">
        <v>1</v>
      </c>
      <c r="P152" s="6">
        <v>1</v>
      </c>
      <c r="Q152" s="34">
        <v>524.04700000000003</v>
      </c>
      <c r="R152" s="34">
        <v>524.04700000000003</v>
      </c>
      <c r="S152" s="34">
        <v>21580.25546</v>
      </c>
      <c r="T152" s="34">
        <v>21580.25546</v>
      </c>
      <c r="U152" s="35">
        <v>1.1719773721008062E-3</v>
      </c>
      <c r="V152" s="36">
        <v>1.1761961726060965E-3</v>
      </c>
      <c r="W152" s="36">
        <v>4.2188005052903703E-6</v>
      </c>
      <c r="X152" s="37">
        <v>8.8558692410887314</v>
      </c>
      <c r="Y152" s="38">
        <v>215052.67705412171</v>
      </c>
      <c r="Z152" s="39">
        <v>0</v>
      </c>
      <c r="AA152" s="40">
        <v>0</v>
      </c>
      <c r="AB152" s="40">
        <v>0</v>
      </c>
      <c r="AC152" s="41">
        <v>0</v>
      </c>
      <c r="AD152" s="42">
        <v>0</v>
      </c>
      <c r="AE152" s="39">
        <v>2.5177262917787475E-3</v>
      </c>
      <c r="AF152" s="40">
        <v>2.5258615157508248E-3</v>
      </c>
      <c r="AG152" s="40">
        <v>8.1352239720772559E-6</v>
      </c>
      <c r="AH152" s="41">
        <v>0.10459449788982718</v>
      </c>
      <c r="AI152" s="42">
        <v>2539.9343829486929</v>
      </c>
      <c r="AJ152" s="41">
        <v>8.9604637389785591</v>
      </c>
      <c r="AK152" s="30">
        <v>217592.61143707042</v>
      </c>
      <c r="AL152" s="43">
        <f>+$AL$6*W152/H152*10^6</f>
        <v>51.223901229849083</v>
      </c>
      <c r="AM152" s="30">
        <v>2711028</v>
      </c>
      <c r="AN152" s="44">
        <v>8.0262030284110095E-2</v>
      </c>
      <c r="AP152" s="32"/>
      <c r="AR152" s="32"/>
    </row>
    <row r="153" spans="1:44">
      <c r="A153" s="5" t="s">
        <v>804</v>
      </c>
      <c r="B153" s="5" t="s">
        <v>165</v>
      </c>
      <c r="C153" s="5" t="s">
        <v>1934</v>
      </c>
      <c r="D153" s="29" t="s">
        <v>1935</v>
      </c>
      <c r="E153" s="5" t="s">
        <v>663</v>
      </c>
      <c r="F153" s="30" t="s">
        <v>1149</v>
      </c>
      <c r="G153" s="5" t="s">
        <v>969</v>
      </c>
      <c r="H153" s="31">
        <v>63.12</v>
      </c>
      <c r="I153" s="32">
        <v>344.07799999999997</v>
      </c>
      <c r="J153" s="32">
        <v>345.07409999999999</v>
      </c>
      <c r="K153" s="33">
        <v>0.89</v>
      </c>
      <c r="L153" s="33">
        <v>0.89</v>
      </c>
      <c r="M153" s="6">
        <v>1</v>
      </c>
      <c r="N153" s="6">
        <v>1</v>
      </c>
      <c r="O153" s="6">
        <v>0</v>
      </c>
      <c r="P153" s="6">
        <v>0</v>
      </c>
      <c r="Q153" s="34">
        <v>306.22942</v>
      </c>
      <c r="R153" s="34">
        <v>307.115949</v>
      </c>
      <c r="S153" s="34">
        <v>19329.200990400001</v>
      </c>
      <c r="T153" s="34">
        <v>19385.158700879998</v>
      </c>
      <c r="U153" s="35">
        <v>1.0497274336500042E-3</v>
      </c>
      <c r="V153" s="36">
        <v>1.0565560501171575E-3</v>
      </c>
      <c r="W153" s="36">
        <v>6.8286164671533221E-6</v>
      </c>
      <c r="X153" s="37">
        <v>14.334248432657962</v>
      </c>
      <c r="Y153" s="38">
        <v>227095.19063146328</v>
      </c>
      <c r="Z153" s="39">
        <v>1.9639074720821906E-3</v>
      </c>
      <c r="AA153" s="40">
        <v>1.9773155469833023E-3</v>
      </c>
      <c r="AB153" s="40">
        <v>1.3408074901111698E-5</v>
      </c>
      <c r="AC153" s="41">
        <v>0.2639303310793446</v>
      </c>
      <c r="AD153" s="42">
        <v>4181.4057522076137</v>
      </c>
      <c r="AE153" s="39">
        <v>0</v>
      </c>
      <c r="AF153" s="40">
        <v>0</v>
      </c>
      <c r="AG153" s="40">
        <v>0</v>
      </c>
      <c r="AH153" s="41">
        <v>0</v>
      </c>
      <c r="AI153" s="42">
        <v>0</v>
      </c>
      <c r="AJ153" s="41">
        <v>14.598178763737305</v>
      </c>
      <c r="AK153" s="30">
        <v>231276.5963836709</v>
      </c>
      <c r="AL153" s="43">
        <f>+$AL$6*W153/H153*10^6</f>
        <v>54.092335766423652</v>
      </c>
      <c r="AM153" s="30">
        <v>2952029.5</v>
      </c>
      <c r="AN153" s="44">
        <v>7.8344947563590034E-2</v>
      </c>
      <c r="AP153" s="32"/>
      <c r="AR153" s="32"/>
    </row>
    <row r="154" spans="1:44">
      <c r="A154" s="5" t="s">
        <v>1684</v>
      </c>
      <c r="B154" s="5" t="s">
        <v>1669</v>
      </c>
      <c r="C154" s="5" t="s">
        <v>1986</v>
      </c>
      <c r="D154" s="29" t="s">
        <v>1987</v>
      </c>
      <c r="E154" s="5" t="s">
        <v>1710</v>
      </c>
      <c r="F154" s="30" t="s">
        <v>1149</v>
      </c>
      <c r="G154" s="5" t="s">
        <v>969</v>
      </c>
      <c r="H154" s="31">
        <v>103.68</v>
      </c>
      <c r="I154" s="32">
        <v>203.107</v>
      </c>
      <c r="J154" s="32">
        <v>203.36519999999999</v>
      </c>
      <c r="K154" s="33">
        <v>0.84</v>
      </c>
      <c r="L154" s="33">
        <v>0.84</v>
      </c>
      <c r="M154" s="6">
        <v>0.67</v>
      </c>
      <c r="N154" s="6">
        <v>0.67</v>
      </c>
      <c r="O154" s="6">
        <v>0.33</v>
      </c>
      <c r="P154" s="6">
        <v>0.33</v>
      </c>
      <c r="Q154" s="34">
        <v>170.60988</v>
      </c>
      <c r="R154" s="34">
        <v>170.82676799999999</v>
      </c>
      <c r="S154" s="34">
        <v>17688.832358400003</v>
      </c>
      <c r="T154" s="34">
        <v>17711.319306239999</v>
      </c>
      <c r="U154" s="35">
        <v>9.6064253277052458E-4</v>
      </c>
      <c r="V154" s="36">
        <v>9.6532619914611287E-4</v>
      </c>
      <c r="W154" s="36">
        <v>4.6836663755882909E-6</v>
      </c>
      <c r="X154" s="37">
        <v>9.8316895854830317</v>
      </c>
      <c r="Y154" s="38">
        <v>94827.252946402688</v>
      </c>
      <c r="Z154" s="39">
        <v>1.2041513841714114E-3</v>
      </c>
      <c r="AA154" s="40">
        <v>1.2104095337403726E-3</v>
      </c>
      <c r="AB154" s="40">
        <v>6.2581495689612542E-6</v>
      </c>
      <c r="AC154" s="41">
        <v>0.12318811610629155</v>
      </c>
      <c r="AD154" s="42">
        <v>1188.1569840498798</v>
      </c>
      <c r="AE154" s="39">
        <v>6.8102811229980777E-4</v>
      </c>
      <c r="AF154" s="40">
        <v>6.840971911046159E-4</v>
      </c>
      <c r="AG154" s="40">
        <v>3.0690788048081319E-6</v>
      </c>
      <c r="AH154" s="41">
        <v>3.9459117250492955E-2</v>
      </c>
      <c r="AI154" s="42">
        <v>380.58562162898295</v>
      </c>
      <c r="AJ154" s="41">
        <v>9.9943368188398161</v>
      </c>
      <c r="AK154" s="30">
        <v>96395.995552081557</v>
      </c>
      <c r="AL154" s="43">
        <f>+$AL$6*W154/H154*10^6</f>
        <v>22.587125653878715</v>
      </c>
      <c r="AM154" s="30">
        <v>1235763.875</v>
      </c>
      <c r="AN154" s="44">
        <v>7.8005189747176865E-2</v>
      </c>
      <c r="AP154" s="32"/>
      <c r="AR154" s="32"/>
    </row>
    <row r="155" spans="1:44">
      <c r="A155" s="5" t="s">
        <v>271</v>
      </c>
      <c r="B155" s="5" t="s">
        <v>572</v>
      </c>
      <c r="C155" s="5" t="s">
        <v>1919</v>
      </c>
      <c r="D155" s="29" t="s">
        <v>1920</v>
      </c>
      <c r="E155" s="5" t="s">
        <v>100</v>
      </c>
      <c r="F155" s="30" t="s">
        <v>1160</v>
      </c>
      <c r="G155" s="5" t="s">
        <v>969</v>
      </c>
      <c r="H155" s="31">
        <v>38.659999999999997</v>
      </c>
      <c r="I155" s="32">
        <v>166.51400000000001</v>
      </c>
      <c r="J155" s="32">
        <v>169.36149999999998</v>
      </c>
      <c r="K155" s="33">
        <v>1</v>
      </c>
      <c r="L155" s="33">
        <v>1</v>
      </c>
      <c r="M155" s="6">
        <v>1</v>
      </c>
      <c r="N155" s="6">
        <v>1</v>
      </c>
      <c r="O155" s="6">
        <v>0</v>
      </c>
      <c r="P155" s="6">
        <v>0</v>
      </c>
      <c r="Q155" s="34">
        <v>166.51400000000001</v>
      </c>
      <c r="R155" s="34">
        <v>169.36149999999998</v>
      </c>
      <c r="S155" s="34">
        <v>6437.4312399999999</v>
      </c>
      <c r="T155" s="34">
        <v>6547.5155899999982</v>
      </c>
      <c r="U155" s="35">
        <v>3.4960307869009972E-4</v>
      </c>
      <c r="V155" s="36">
        <v>3.5686152053719688E-4</v>
      </c>
      <c r="W155" s="36">
        <v>7.2584418470971628E-6</v>
      </c>
      <c r="X155" s="37">
        <v>15.236513746343835</v>
      </c>
      <c r="Y155" s="38">
        <v>394115.72028825234</v>
      </c>
      <c r="Z155" s="39">
        <v>6.5406321345255443E-4</v>
      </c>
      <c r="AA155" s="40">
        <v>6.6785650661889255E-4</v>
      </c>
      <c r="AB155" s="40">
        <v>1.3793293166338111E-5</v>
      </c>
      <c r="AC155" s="41">
        <v>0.27151313360907897</v>
      </c>
      <c r="AD155" s="42">
        <v>7023.1022661427569</v>
      </c>
      <c r="AE155" s="39">
        <v>0</v>
      </c>
      <c r="AF155" s="40">
        <v>0</v>
      </c>
      <c r="AG155" s="40">
        <v>0</v>
      </c>
      <c r="AH155" s="41">
        <v>0</v>
      </c>
      <c r="AI155" s="42">
        <v>0</v>
      </c>
      <c r="AJ155" s="41">
        <v>15.508026879952913</v>
      </c>
      <c r="AK155" s="30">
        <v>401138.82255439513</v>
      </c>
      <c r="AL155" s="43">
        <f>+$AL$6*W155/H155*10^6</f>
        <v>93.875347220604795</v>
      </c>
      <c r="AM155" s="30">
        <v>5152860</v>
      </c>
      <c r="AN155" s="44">
        <v>7.7847801522726245E-2</v>
      </c>
      <c r="AP155" s="32"/>
      <c r="AR155" s="32"/>
    </row>
    <row r="156" spans="1:44">
      <c r="A156" s="5" t="s">
        <v>1282</v>
      </c>
      <c r="B156" s="5" t="s">
        <v>455</v>
      </c>
      <c r="C156" s="5" t="s">
        <v>2200</v>
      </c>
      <c r="D156" s="29" t="s">
        <v>2201</v>
      </c>
      <c r="E156" s="5" t="s">
        <v>796</v>
      </c>
      <c r="F156" s="30" t="s">
        <v>1148</v>
      </c>
      <c r="G156" s="5" t="s">
        <v>969</v>
      </c>
      <c r="H156" s="31">
        <v>47.39</v>
      </c>
      <c r="I156" s="32">
        <v>133.53399999999999</v>
      </c>
      <c r="J156" s="32">
        <v>133.61509999999998</v>
      </c>
      <c r="K156" s="33">
        <v>1</v>
      </c>
      <c r="L156" s="33">
        <v>1</v>
      </c>
      <c r="M156" s="6">
        <v>0</v>
      </c>
      <c r="N156" s="6">
        <v>0</v>
      </c>
      <c r="O156" s="6">
        <v>1</v>
      </c>
      <c r="P156" s="6">
        <v>1</v>
      </c>
      <c r="Q156" s="34">
        <v>133.53399999999999</v>
      </c>
      <c r="R156" s="34">
        <v>133.61509999999998</v>
      </c>
      <c r="S156" s="34">
        <v>6328.1762599999993</v>
      </c>
      <c r="T156" s="34">
        <v>6332.0195889999995</v>
      </c>
      <c r="U156" s="35">
        <v>3.4366967514042149E-4</v>
      </c>
      <c r="V156" s="36">
        <v>3.4511626700866807E-4</v>
      </c>
      <c r="W156" s="36">
        <v>1.4465918682465785E-6</v>
      </c>
      <c r="X156" s="37">
        <v>3.0366044600471618</v>
      </c>
      <c r="Y156" s="38">
        <v>64076.903567148373</v>
      </c>
      <c r="Z156" s="39">
        <v>0</v>
      </c>
      <c r="AA156" s="40">
        <v>0</v>
      </c>
      <c r="AB156" s="40">
        <v>0</v>
      </c>
      <c r="AC156" s="41">
        <v>0</v>
      </c>
      <c r="AD156" s="42">
        <v>0</v>
      </c>
      <c r="AE156" s="39">
        <v>7.3829597514931831E-4</v>
      </c>
      <c r="AF156" s="40">
        <v>7.4113138403207081E-4</v>
      </c>
      <c r="AG156" s="40">
        <v>2.8354088827524946E-6</v>
      </c>
      <c r="AH156" s="41">
        <v>3.6454825266246119E-2</v>
      </c>
      <c r="AI156" s="42">
        <v>769.25142996932084</v>
      </c>
      <c r="AJ156" s="41">
        <v>3.0730592853134078</v>
      </c>
      <c r="AK156" s="30">
        <v>64846.154997117694</v>
      </c>
      <c r="AL156" s="43">
        <f>+$AL$6*W156/H156*10^6</f>
        <v>15.262627856579222</v>
      </c>
      <c r="AM156" s="30">
        <v>848784.6875</v>
      </c>
      <c r="AN156" s="44">
        <v>7.6398827585020132E-2</v>
      </c>
      <c r="AP156" s="32"/>
      <c r="AR156" s="32"/>
    </row>
    <row r="157" spans="1:44">
      <c r="A157" s="5" t="s">
        <v>274</v>
      </c>
      <c r="B157" s="5" t="s">
        <v>575</v>
      </c>
      <c r="C157" s="5" t="s">
        <v>2188</v>
      </c>
      <c r="D157" s="29" t="s">
        <v>2189</v>
      </c>
      <c r="E157" s="5" t="s">
        <v>103</v>
      </c>
      <c r="F157" s="30" t="s">
        <v>1154</v>
      </c>
      <c r="G157" s="5" t="s">
        <v>971</v>
      </c>
      <c r="H157" s="31">
        <v>56.78</v>
      </c>
      <c r="I157" s="32">
        <v>142.917</v>
      </c>
      <c r="J157" s="32">
        <v>142.9169</v>
      </c>
      <c r="K157" s="33">
        <v>1</v>
      </c>
      <c r="L157" s="33">
        <v>1</v>
      </c>
      <c r="M157" s="6">
        <v>0</v>
      </c>
      <c r="N157" s="6">
        <v>0</v>
      </c>
      <c r="O157" s="6">
        <v>1</v>
      </c>
      <c r="P157" s="6">
        <v>1</v>
      </c>
      <c r="Q157" s="34">
        <v>142.917</v>
      </c>
      <c r="R157" s="34">
        <v>142.9169</v>
      </c>
      <c r="S157" s="34">
        <v>8114.82726</v>
      </c>
      <c r="T157" s="34">
        <v>8114.8215820000005</v>
      </c>
      <c r="U157" s="35">
        <v>4.4069885756703572E-4</v>
      </c>
      <c r="V157" s="36">
        <v>4.4228494439378381E-4</v>
      </c>
      <c r="W157" s="36">
        <v>1.5860868267480836E-6</v>
      </c>
      <c r="X157" s="37">
        <v>3.329424447797543</v>
      </c>
      <c r="Y157" s="38">
        <v>58637.274529720729</v>
      </c>
      <c r="Z157" s="39">
        <v>0</v>
      </c>
      <c r="AA157" s="40">
        <v>0</v>
      </c>
      <c r="AB157" s="40">
        <v>0</v>
      </c>
      <c r="AC157" s="41">
        <v>0</v>
      </c>
      <c r="AD157" s="42">
        <v>0</v>
      </c>
      <c r="AE157" s="39">
        <v>9.4674106076336935E-4</v>
      </c>
      <c r="AF157" s="40">
        <v>9.4979948588421522E-4</v>
      </c>
      <c r="AG157" s="40">
        <v>3.0584251208458715E-6</v>
      </c>
      <c r="AH157" s="41">
        <v>3.9322142936259664E-2</v>
      </c>
      <c r="AI157" s="42">
        <v>692.53509926487607</v>
      </c>
      <c r="AJ157" s="41">
        <v>3.3687465907338026</v>
      </c>
      <c r="AK157" s="30">
        <v>59329.809628985604</v>
      </c>
      <c r="AL157" s="43">
        <f>+$AL$6*W157/H157*10^6</f>
        <v>13.966949865692881</v>
      </c>
      <c r="AM157" s="30">
        <v>782591.5625</v>
      </c>
      <c r="AN157" s="44">
        <v>7.5811972006771547E-2</v>
      </c>
      <c r="AP157" s="32"/>
      <c r="AR157" s="32"/>
    </row>
    <row r="158" spans="1:44">
      <c r="A158" s="5" t="s">
        <v>1230</v>
      </c>
      <c r="B158" s="5" t="s">
        <v>401</v>
      </c>
      <c r="C158" s="5" t="s">
        <v>2072</v>
      </c>
      <c r="D158" s="29" t="s">
        <v>2073</v>
      </c>
      <c r="E158" s="5" t="s">
        <v>749</v>
      </c>
      <c r="F158" s="30" t="s">
        <v>1154</v>
      </c>
      <c r="G158" s="5" t="s">
        <v>969</v>
      </c>
      <c r="H158" s="31">
        <v>35.17</v>
      </c>
      <c r="I158" s="32">
        <v>275.99299999999999</v>
      </c>
      <c r="J158" s="32">
        <v>276.66839999999996</v>
      </c>
      <c r="K158" s="33">
        <v>1</v>
      </c>
      <c r="L158" s="33">
        <v>1</v>
      </c>
      <c r="M158" s="6">
        <v>0</v>
      </c>
      <c r="N158" s="6">
        <v>0</v>
      </c>
      <c r="O158" s="6">
        <v>1</v>
      </c>
      <c r="P158" s="6">
        <v>1</v>
      </c>
      <c r="Q158" s="34">
        <v>275.99299999999999</v>
      </c>
      <c r="R158" s="34">
        <v>276.66839999999996</v>
      </c>
      <c r="S158" s="34">
        <v>9706.6738100000002</v>
      </c>
      <c r="T158" s="34">
        <v>9730.4276279999995</v>
      </c>
      <c r="U158" s="35">
        <v>5.2714862828058106E-4</v>
      </c>
      <c r="V158" s="36">
        <v>5.3034088290047595E-4</v>
      </c>
      <c r="W158" s="36">
        <v>3.19225461989489E-6</v>
      </c>
      <c r="X158" s="37">
        <v>6.7010017332177183</v>
      </c>
      <c r="Y158" s="38">
        <v>190531.75243723963</v>
      </c>
      <c r="Z158" s="39">
        <v>0</v>
      </c>
      <c r="AA158" s="40">
        <v>0</v>
      </c>
      <c r="AB158" s="40">
        <v>0</v>
      </c>
      <c r="AC158" s="41">
        <v>0</v>
      </c>
      <c r="AD158" s="42">
        <v>0</v>
      </c>
      <c r="AE158" s="39">
        <v>1.1324586913466124E-3</v>
      </c>
      <c r="AF158" s="40">
        <v>1.1388981341263411E-3</v>
      </c>
      <c r="AG158" s="40">
        <v>6.4394427797286914E-6</v>
      </c>
      <c r="AH158" s="41">
        <v>8.2791855091853814E-2</v>
      </c>
      <c r="AI158" s="42">
        <v>2354.0476284291672</v>
      </c>
      <c r="AJ158" s="41">
        <v>6.7837935883095719</v>
      </c>
      <c r="AK158" s="30">
        <v>192885.80006566879</v>
      </c>
      <c r="AL158" s="43">
        <f>+$AL$6*W158/H158*10^6</f>
        <v>45.38320471843744</v>
      </c>
      <c r="AM158" s="30">
        <v>2560531.25</v>
      </c>
      <c r="AN158" s="44">
        <v>7.5330383124856917E-2</v>
      </c>
      <c r="AP158" s="32"/>
      <c r="AR158" s="32"/>
    </row>
    <row r="159" spans="1:44">
      <c r="A159" s="5" t="s">
        <v>1270</v>
      </c>
      <c r="B159" s="5" t="s">
        <v>443</v>
      </c>
      <c r="C159" s="5" t="s">
        <v>1936</v>
      </c>
      <c r="D159" s="29" t="s">
        <v>1503</v>
      </c>
      <c r="E159" s="5" t="s">
        <v>1514</v>
      </c>
      <c r="F159" s="30" t="s">
        <v>1164</v>
      </c>
      <c r="G159" s="5" t="s">
        <v>969</v>
      </c>
      <c r="H159" s="31">
        <v>60.3</v>
      </c>
      <c r="I159" s="32">
        <v>467.1</v>
      </c>
      <c r="J159" s="32">
        <v>467.5</v>
      </c>
      <c r="K159" s="33">
        <v>1</v>
      </c>
      <c r="L159" s="33">
        <v>1</v>
      </c>
      <c r="M159" s="6">
        <v>0</v>
      </c>
      <c r="N159" s="6">
        <v>0</v>
      </c>
      <c r="O159" s="6">
        <v>1</v>
      </c>
      <c r="P159" s="6">
        <v>1</v>
      </c>
      <c r="Q159" s="34">
        <v>467.1</v>
      </c>
      <c r="R159" s="34">
        <v>467.5</v>
      </c>
      <c r="S159" s="34">
        <v>28166.13</v>
      </c>
      <c r="T159" s="34">
        <v>28190.25</v>
      </c>
      <c r="U159" s="35">
        <v>1.5296420879185311E-3</v>
      </c>
      <c r="V159" s="36">
        <v>1.5364630050959094E-3</v>
      </c>
      <c r="W159" s="36">
        <v>6.820917177378363E-6</v>
      </c>
      <c r="X159" s="37">
        <v>14.318086515683982</v>
      </c>
      <c r="Y159" s="38">
        <v>237447.53757353206</v>
      </c>
      <c r="Z159" s="39">
        <v>0</v>
      </c>
      <c r="AA159" s="40">
        <v>0</v>
      </c>
      <c r="AB159" s="40">
        <v>0</v>
      </c>
      <c r="AC159" s="41">
        <v>0</v>
      </c>
      <c r="AD159" s="42">
        <v>0</v>
      </c>
      <c r="AE159" s="39">
        <v>3.2860874223709555E-3</v>
      </c>
      <c r="AF159" s="40">
        <v>3.2995284845620029E-3</v>
      </c>
      <c r="AG159" s="40">
        <v>1.3441062191047338E-5</v>
      </c>
      <c r="AH159" s="41">
        <v>0.17281160983445706</v>
      </c>
      <c r="AI159" s="42">
        <v>2865.8641763591554</v>
      </c>
      <c r="AJ159" s="41">
        <v>14.49089812551844</v>
      </c>
      <c r="AK159" s="30">
        <v>240313.4017498912</v>
      </c>
      <c r="AL159" s="43">
        <f>+$AL$6*W159/H159*10^6</f>
        <v>56.558185550401021</v>
      </c>
      <c r="AM159" s="30">
        <v>3227042</v>
      </c>
      <c r="AN159" s="44">
        <v>7.4468631567203403E-2</v>
      </c>
      <c r="AP159" s="32"/>
      <c r="AR159" s="32"/>
    </row>
    <row r="160" spans="1:44">
      <c r="A160" s="5" t="s">
        <v>1303</v>
      </c>
      <c r="B160" s="5" t="s">
        <v>475</v>
      </c>
      <c r="C160" s="5" t="s">
        <v>2028</v>
      </c>
      <c r="D160" s="29" t="s">
        <v>2029</v>
      </c>
      <c r="E160" s="5" t="s">
        <v>11</v>
      </c>
      <c r="F160" s="30" t="s">
        <v>1161</v>
      </c>
      <c r="G160" s="5" t="s">
        <v>969</v>
      </c>
      <c r="H160" s="31">
        <v>35.5</v>
      </c>
      <c r="I160" s="32">
        <v>275.24799999999999</v>
      </c>
      <c r="J160" s="32">
        <v>276.2851</v>
      </c>
      <c r="K160" s="33">
        <v>1</v>
      </c>
      <c r="L160" s="33">
        <v>1</v>
      </c>
      <c r="M160" s="6">
        <v>0.67</v>
      </c>
      <c r="N160" s="6">
        <v>0.67</v>
      </c>
      <c r="O160" s="6">
        <v>0.33</v>
      </c>
      <c r="P160" s="6">
        <v>0.33</v>
      </c>
      <c r="Q160" s="34">
        <v>275.24799999999999</v>
      </c>
      <c r="R160" s="34">
        <v>276.2851</v>
      </c>
      <c r="S160" s="34">
        <v>9771.3040000000001</v>
      </c>
      <c r="T160" s="34">
        <v>9808.1210499999997</v>
      </c>
      <c r="U160" s="35">
        <v>5.3065855523093495E-4</v>
      </c>
      <c r="V160" s="36">
        <v>5.3457543451467958E-4</v>
      </c>
      <c r="W160" s="36">
        <v>3.9168792837446318E-6</v>
      </c>
      <c r="X160" s="37">
        <v>8.2220931581082901</v>
      </c>
      <c r="Y160" s="38">
        <v>231608.25797488142</v>
      </c>
      <c r="Z160" s="39">
        <v>6.6517274845290708E-4</v>
      </c>
      <c r="AA160" s="40">
        <v>6.7029694523191067E-4</v>
      </c>
      <c r="AB160" s="40">
        <v>5.1241967790035875E-6</v>
      </c>
      <c r="AC160" s="41">
        <v>0.10086690016073779</v>
      </c>
      <c r="AD160" s="42">
        <v>2841.3211312883886</v>
      </c>
      <c r="AE160" s="39">
        <v>3.761996599321878E-4</v>
      </c>
      <c r="AF160" s="40">
        <v>3.7883728164480164E-4</v>
      </c>
      <c r="AG160" s="40">
        <v>2.6376217126138405E-6</v>
      </c>
      <c r="AH160" s="41">
        <v>3.3911877485003905E-2</v>
      </c>
      <c r="AI160" s="42">
        <v>955.26415450715228</v>
      </c>
      <c r="AJ160" s="41">
        <v>8.3568719357540306</v>
      </c>
      <c r="AK160" s="30">
        <v>235404.84326067695</v>
      </c>
      <c r="AL160" s="43">
        <f>+$AL$6*W160/H160*10^6</f>
        <v>55.167313855558199</v>
      </c>
      <c r="AM160" s="30">
        <v>3184723.5</v>
      </c>
      <c r="AN160" s="44">
        <v>7.3916885802072591E-2</v>
      </c>
      <c r="AP160" s="32"/>
      <c r="AR160" s="32"/>
    </row>
    <row r="161" spans="1:44">
      <c r="A161" s="5" t="s">
        <v>1325</v>
      </c>
      <c r="B161" s="5" t="s">
        <v>497</v>
      </c>
      <c r="C161" s="5" t="s">
        <v>2096</v>
      </c>
      <c r="D161" s="29" t="s">
        <v>2097</v>
      </c>
      <c r="E161" s="5" t="s">
        <v>31</v>
      </c>
      <c r="F161" s="30" t="s">
        <v>1156</v>
      </c>
      <c r="G161" s="5" t="s">
        <v>969</v>
      </c>
      <c r="H161" s="31">
        <v>25.16</v>
      </c>
      <c r="I161" s="32">
        <v>412.75299999999999</v>
      </c>
      <c r="J161" s="32">
        <v>413.1354</v>
      </c>
      <c r="K161" s="33">
        <v>1</v>
      </c>
      <c r="L161" s="33">
        <v>1</v>
      </c>
      <c r="M161" s="6">
        <v>1</v>
      </c>
      <c r="N161" s="6">
        <v>1</v>
      </c>
      <c r="O161" s="6">
        <v>0</v>
      </c>
      <c r="P161" s="6">
        <v>0</v>
      </c>
      <c r="Q161" s="34">
        <v>412.75299999999999</v>
      </c>
      <c r="R161" s="34">
        <v>413.1354</v>
      </c>
      <c r="S161" s="34">
        <v>10384.86548</v>
      </c>
      <c r="T161" s="34">
        <v>10394.486664</v>
      </c>
      <c r="U161" s="35">
        <v>5.6397976277111118E-4</v>
      </c>
      <c r="V161" s="36">
        <v>5.665343236118444E-4</v>
      </c>
      <c r="W161" s="36">
        <v>2.5545608407332191E-6</v>
      </c>
      <c r="X161" s="37">
        <v>5.3623907424800139</v>
      </c>
      <c r="Y161" s="38">
        <v>213131.58753895125</v>
      </c>
      <c r="Z161" s="39">
        <v>1.0551349185550765E-3</v>
      </c>
      <c r="AA161" s="40">
        <v>1.0602533825376822E-3</v>
      </c>
      <c r="AB161" s="40">
        <v>5.1184639826057279E-6</v>
      </c>
      <c r="AC161" s="41">
        <v>0.10075405332310773</v>
      </c>
      <c r="AD161" s="42">
        <v>4004.5331209502274</v>
      </c>
      <c r="AE161" s="39">
        <v>0</v>
      </c>
      <c r="AF161" s="40">
        <v>0</v>
      </c>
      <c r="AG161" s="40">
        <v>0</v>
      </c>
      <c r="AH161" s="41">
        <v>0</v>
      </c>
      <c r="AI161" s="42">
        <v>0</v>
      </c>
      <c r="AJ161" s="41">
        <v>5.4631447958031218</v>
      </c>
      <c r="AK161" s="30">
        <v>217136.12065990147</v>
      </c>
      <c r="AL161" s="43">
        <f>+$AL$6*W161/H161*10^6</f>
        <v>50.766312415207054</v>
      </c>
      <c r="AM161" s="30">
        <v>2987602.25</v>
      </c>
      <c r="AN161" s="44">
        <v>7.2679059155180872E-2</v>
      </c>
      <c r="AP161" s="32"/>
      <c r="AR161" s="32"/>
    </row>
    <row r="162" spans="1:44">
      <c r="A162" s="5" t="s">
        <v>332</v>
      </c>
      <c r="B162" s="5" t="s">
        <v>631</v>
      </c>
      <c r="C162" s="5" t="s">
        <v>2196</v>
      </c>
      <c r="D162" s="29" t="s">
        <v>2197</v>
      </c>
      <c r="E162" s="5" t="s">
        <v>157</v>
      </c>
      <c r="F162" s="30" t="s">
        <v>1149</v>
      </c>
      <c r="G162" s="5" t="s">
        <v>971</v>
      </c>
      <c r="H162" s="31">
        <v>57.29</v>
      </c>
      <c r="I162" s="32">
        <v>139.815</v>
      </c>
      <c r="J162" s="32">
        <v>139.8082</v>
      </c>
      <c r="K162" s="33">
        <v>1</v>
      </c>
      <c r="L162" s="33">
        <v>1</v>
      </c>
      <c r="M162" s="6">
        <v>0.62</v>
      </c>
      <c r="N162" s="6">
        <v>0.62</v>
      </c>
      <c r="O162" s="6">
        <v>0.38</v>
      </c>
      <c r="P162" s="6">
        <v>0.38</v>
      </c>
      <c r="Q162" s="34">
        <v>139.815</v>
      </c>
      <c r="R162" s="34">
        <v>139.8082</v>
      </c>
      <c r="S162" s="34">
        <v>8010.0013499999995</v>
      </c>
      <c r="T162" s="34">
        <v>8009.6117779999995</v>
      </c>
      <c r="U162" s="35">
        <v>4.3500598730618128E-4</v>
      </c>
      <c r="V162" s="36">
        <v>4.3655065783657364E-4</v>
      </c>
      <c r="W162" s="36">
        <v>1.5446705303923569E-6</v>
      </c>
      <c r="X162" s="37">
        <v>3.2424856829717217</v>
      </c>
      <c r="Y162" s="38">
        <v>56597.760219440075</v>
      </c>
      <c r="Z162" s="39">
        <v>5.0458158805887074E-4</v>
      </c>
      <c r="AA162" s="40">
        <v>5.0653536995789626E-4</v>
      </c>
      <c r="AB162" s="40">
        <v>1.9537818990255197E-6</v>
      </c>
      <c r="AC162" s="41">
        <v>3.8459085832216008E-2</v>
      </c>
      <c r="AD162" s="42">
        <v>671.30539068277199</v>
      </c>
      <c r="AE162" s="39">
        <v>3.5511426603426028E-4</v>
      </c>
      <c r="AF162" s="40">
        <v>3.5624437670761478E-4</v>
      </c>
      <c r="AG162" s="40">
        <v>1.1301106733544982E-6</v>
      </c>
      <c r="AH162" s="41">
        <v>1.4529822269818353E-2</v>
      </c>
      <c r="AI162" s="42">
        <v>253.61882125708419</v>
      </c>
      <c r="AJ162" s="41">
        <v>3.2954745910737562</v>
      </c>
      <c r="AK162" s="30">
        <v>57522.68443137993</v>
      </c>
      <c r="AL162" s="43">
        <f>+$AL$6*W162/H162*10^6</f>
        <v>13.481153171516468</v>
      </c>
      <c r="AM162" s="30">
        <v>801355.4375</v>
      </c>
      <c r="AN162" s="44">
        <v>7.1781735968291766E-2</v>
      </c>
      <c r="AP162" s="32"/>
      <c r="AR162" s="32"/>
    </row>
    <row r="163" spans="1:44">
      <c r="A163" s="5" t="s">
        <v>259</v>
      </c>
      <c r="B163" s="5" t="s">
        <v>559</v>
      </c>
      <c r="C163" s="5" t="s">
        <v>2004</v>
      </c>
      <c r="D163" s="29" t="s">
        <v>2005</v>
      </c>
      <c r="E163" s="5" t="s">
        <v>89</v>
      </c>
      <c r="F163" s="30" t="s">
        <v>1154</v>
      </c>
      <c r="G163" s="5" t="s">
        <v>969</v>
      </c>
      <c r="H163" s="31">
        <v>33.25</v>
      </c>
      <c r="I163" s="32">
        <v>668.10699999999997</v>
      </c>
      <c r="J163" s="32">
        <v>668.10719999999992</v>
      </c>
      <c r="K163" s="33">
        <v>1</v>
      </c>
      <c r="L163" s="33">
        <v>1</v>
      </c>
      <c r="M163" s="6">
        <v>0</v>
      </c>
      <c r="N163" s="6">
        <v>0</v>
      </c>
      <c r="O163" s="6">
        <v>1</v>
      </c>
      <c r="P163" s="6">
        <v>1</v>
      </c>
      <c r="Q163" s="34">
        <v>668.10699999999997</v>
      </c>
      <c r="R163" s="34">
        <v>668.10719999999992</v>
      </c>
      <c r="S163" s="34">
        <v>22214.55775</v>
      </c>
      <c r="T163" s="34">
        <v>22214.564399999996</v>
      </c>
      <c r="U163" s="35">
        <v>1.2064249685312389E-3</v>
      </c>
      <c r="V163" s="36">
        <v>1.210768133483052E-3</v>
      </c>
      <c r="W163" s="36">
        <v>4.3431649518130278E-6</v>
      </c>
      <c r="X163" s="37">
        <v>9.1169281072910859</v>
      </c>
      <c r="Y163" s="38">
        <v>274193.32653507026</v>
      </c>
      <c r="Z163" s="39">
        <v>0</v>
      </c>
      <c r="AA163" s="40">
        <v>0</v>
      </c>
      <c r="AB163" s="40">
        <v>0</v>
      </c>
      <c r="AC163" s="41">
        <v>0</v>
      </c>
      <c r="AD163" s="42">
        <v>0</v>
      </c>
      <c r="AE163" s="39">
        <v>2.5917291021453153E-3</v>
      </c>
      <c r="AF163" s="40">
        <v>2.6001042207833207E-3</v>
      </c>
      <c r="AG163" s="40">
        <v>8.3751186380053716E-6</v>
      </c>
      <c r="AH163" s="41">
        <v>0.10767882134734008</v>
      </c>
      <c r="AI163" s="42">
        <v>3238.4607924012053</v>
      </c>
      <c r="AJ163" s="41">
        <v>9.2246069286384262</v>
      </c>
      <c r="AK163" s="30">
        <v>277431.78732747148</v>
      </c>
      <c r="AL163" s="43">
        <f>+$AL$6*W163/H163*10^6</f>
        <v>65.310751155083111</v>
      </c>
      <c r="AM163" s="30">
        <v>3879650.25</v>
      </c>
      <c r="AN163" s="44">
        <v>7.1509483961207973E-2</v>
      </c>
      <c r="AP163" s="32"/>
      <c r="AR163" s="32"/>
    </row>
    <row r="164" spans="1:44">
      <c r="A164" s="5" t="s">
        <v>232</v>
      </c>
      <c r="B164" s="5" t="s">
        <v>532</v>
      </c>
      <c r="C164" s="5" t="s">
        <v>2030</v>
      </c>
      <c r="D164" s="29" t="s">
        <v>2031</v>
      </c>
      <c r="E164" s="5" t="s">
        <v>65</v>
      </c>
      <c r="F164" s="30" t="s">
        <v>1148</v>
      </c>
      <c r="G164" s="5" t="s">
        <v>969</v>
      </c>
      <c r="H164" s="31">
        <v>44.74</v>
      </c>
      <c r="I164" s="32">
        <v>319.13499999999999</v>
      </c>
      <c r="J164" s="32">
        <v>319.59969999999998</v>
      </c>
      <c r="K164" s="33">
        <v>1</v>
      </c>
      <c r="L164" s="33">
        <v>1</v>
      </c>
      <c r="M164" s="6">
        <v>0</v>
      </c>
      <c r="N164" s="6">
        <v>0</v>
      </c>
      <c r="O164" s="6">
        <v>1</v>
      </c>
      <c r="P164" s="6">
        <v>1</v>
      </c>
      <c r="Q164" s="34">
        <v>319.13499999999999</v>
      </c>
      <c r="R164" s="34">
        <v>319.59969999999998</v>
      </c>
      <c r="S164" s="34">
        <v>14278.099900000001</v>
      </c>
      <c r="T164" s="34">
        <v>14298.890578</v>
      </c>
      <c r="U164" s="35">
        <v>7.75412970917388E-4</v>
      </c>
      <c r="V164" s="36">
        <v>7.7933740874988578E-4</v>
      </c>
      <c r="W164" s="36">
        <v>3.924437832497781E-6</v>
      </c>
      <c r="X164" s="37">
        <v>8.2379596394283574</v>
      </c>
      <c r="Y164" s="38">
        <v>184129.62984864457</v>
      </c>
      <c r="Z164" s="39">
        <v>0</v>
      </c>
      <c r="AA164" s="40">
        <v>0</v>
      </c>
      <c r="AB164" s="40">
        <v>0</v>
      </c>
      <c r="AC164" s="41">
        <v>0</v>
      </c>
      <c r="AD164" s="42">
        <v>0</v>
      </c>
      <c r="AE164" s="39">
        <v>1.6657980523680745E-3</v>
      </c>
      <c r="AF164" s="40">
        <v>1.6736139892248648E-3</v>
      </c>
      <c r="AG164" s="40">
        <v>7.8159368567902714E-6</v>
      </c>
      <c r="AH164" s="41">
        <v>0.10048942645961723</v>
      </c>
      <c r="AI164" s="42">
        <v>2246.0756919896562</v>
      </c>
      <c r="AJ164" s="41">
        <v>8.3384490658879749</v>
      </c>
      <c r="AK164" s="30">
        <v>186375.70554063423</v>
      </c>
      <c r="AL164" s="43">
        <f>+$AL$6*W164/H164*10^6</f>
        <v>43.858268132518788</v>
      </c>
      <c r="AM164" s="30">
        <v>2631532.5</v>
      </c>
      <c r="AN164" s="44">
        <v>7.0824018149361345E-2</v>
      </c>
      <c r="AP164" s="32"/>
      <c r="AR164" s="32"/>
    </row>
    <row r="165" spans="1:44">
      <c r="A165" s="5" t="s">
        <v>1392</v>
      </c>
      <c r="B165" s="5" t="s">
        <v>1367</v>
      </c>
      <c r="C165" s="5" t="s">
        <v>2021</v>
      </c>
      <c r="D165" s="29" t="s">
        <v>2022</v>
      </c>
      <c r="E165" s="5" t="s">
        <v>1380</v>
      </c>
      <c r="F165" s="30" t="s">
        <v>1163</v>
      </c>
      <c r="G165" s="5" t="s">
        <v>969</v>
      </c>
      <c r="H165" s="31">
        <v>37.9</v>
      </c>
      <c r="I165" s="32">
        <v>421.03199999999998</v>
      </c>
      <c r="J165" s="32">
        <v>421.51609999999999</v>
      </c>
      <c r="K165" s="33">
        <v>1</v>
      </c>
      <c r="L165" s="33">
        <v>1</v>
      </c>
      <c r="M165" s="6">
        <v>0.49</v>
      </c>
      <c r="N165" s="6">
        <v>0.49</v>
      </c>
      <c r="O165" s="6">
        <v>0.51</v>
      </c>
      <c r="P165" s="6">
        <v>0.51</v>
      </c>
      <c r="Q165" s="34">
        <v>421.03199999999998</v>
      </c>
      <c r="R165" s="34">
        <v>421.51609999999999</v>
      </c>
      <c r="S165" s="34">
        <v>15957.112799999999</v>
      </c>
      <c r="T165" s="34">
        <v>15975.46019</v>
      </c>
      <c r="U165" s="35">
        <v>8.66596559077996E-4</v>
      </c>
      <c r="V165" s="36">
        <v>8.7071606570773472E-4</v>
      </c>
      <c r="W165" s="36">
        <v>4.1195066297387232E-6</v>
      </c>
      <c r="X165" s="37">
        <v>8.6474371103862619</v>
      </c>
      <c r="Y165" s="38">
        <v>228164.56755636577</v>
      </c>
      <c r="Z165" s="39">
        <v>7.9443343816477257E-4</v>
      </c>
      <c r="AA165" s="40">
        <v>7.9846535603591738E-4</v>
      </c>
      <c r="AB165" s="40">
        <v>4.0319178711448016E-6</v>
      </c>
      <c r="AC165" s="41">
        <v>7.9366010890030356E-2</v>
      </c>
      <c r="AD165" s="42">
        <v>2094.0899970984265</v>
      </c>
      <c r="AE165" s="39">
        <v>9.4945945756167544E-4</v>
      </c>
      <c r="AF165" s="40">
        <v>9.5362254094783015E-4</v>
      </c>
      <c r="AG165" s="40">
        <v>4.1630833861547051E-6</v>
      </c>
      <c r="AH165" s="41">
        <v>5.3524723835863659E-2</v>
      </c>
      <c r="AI165" s="42">
        <v>1412.2618426349252</v>
      </c>
      <c r="AJ165" s="41">
        <v>8.780327845112156</v>
      </c>
      <c r="AK165" s="30">
        <v>231670.91939609914</v>
      </c>
      <c r="AL165" s="43">
        <f>+$AL$6*W165/H165*10^6</f>
        <v>54.347053162779993</v>
      </c>
      <c r="AM165" s="30">
        <v>3272887.75</v>
      </c>
      <c r="AN165" s="44">
        <v>7.078486556592084E-2</v>
      </c>
      <c r="AP165" s="32"/>
      <c r="AR165" s="32"/>
    </row>
    <row r="166" spans="1:44">
      <c r="A166" s="5" t="s">
        <v>1179</v>
      </c>
      <c r="B166" s="5" t="s">
        <v>347</v>
      </c>
      <c r="C166" s="5" t="s">
        <v>2146</v>
      </c>
      <c r="D166" s="29" t="s">
        <v>2147</v>
      </c>
      <c r="E166" s="5" t="s">
        <v>705</v>
      </c>
      <c r="F166" s="30" t="s">
        <v>1154</v>
      </c>
      <c r="G166" s="5" t="s">
        <v>969</v>
      </c>
      <c r="H166" s="31">
        <v>13.06</v>
      </c>
      <c r="I166" s="32">
        <v>682.44100000000003</v>
      </c>
      <c r="J166" s="32">
        <v>682.82690000000002</v>
      </c>
      <c r="K166" s="33">
        <v>1</v>
      </c>
      <c r="L166" s="33">
        <v>1</v>
      </c>
      <c r="M166" s="6">
        <v>0</v>
      </c>
      <c r="N166" s="6">
        <v>0</v>
      </c>
      <c r="O166" s="6">
        <v>1</v>
      </c>
      <c r="P166" s="6">
        <v>1</v>
      </c>
      <c r="Q166" s="34">
        <v>682.44100000000003</v>
      </c>
      <c r="R166" s="34">
        <v>682.82690000000002</v>
      </c>
      <c r="S166" s="34">
        <v>8912.6794600000012</v>
      </c>
      <c r="T166" s="34">
        <v>8917.7193139999999</v>
      </c>
      <c r="U166" s="35">
        <v>4.8402849870191636E-4</v>
      </c>
      <c r="V166" s="36">
        <v>4.8604555886486541E-4</v>
      </c>
      <c r="W166" s="36">
        <v>2.0170601629490494E-6</v>
      </c>
      <c r="X166" s="37">
        <v>4.2340994868294812</v>
      </c>
      <c r="Y166" s="38">
        <v>324203.63605126197</v>
      </c>
      <c r="Z166" s="39">
        <v>0</v>
      </c>
      <c r="AA166" s="40">
        <v>0</v>
      </c>
      <c r="AB166" s="40">
        <v>0</v>
      </c>
      <c r="AC166" s="41">
        <v>0</v>
      </c>
      <c r="AD166" s="42">
        <v>0</v>
      </c>
      <c r="AE166" s="39">
        <v>1.0398249199705448E-3</v>
      </c>
      <c r="AF166" s="40">
        <v>1.0437746701030223E-3</v>
      </c>
      <c r="AG166" s="40">
        <v>3.9497501324774545E-6</v>
      </c>
      <c r="AH166" s="41">
        <v>5.0781900205172932E-2</v>
      </c>
      <c r="AI166" s="42">
        <v>3888.3537676242672</v>
      </c>
      <c r="AJ166" s="41">
        <v>4.2848813870346545</v>
      </c>
      <c r="AK166" s="30">
        <v>328091.98981888621</v>
      </c>
      <c r="AL166" s="43">
        <f>+$AL$6*W166/H166*10^6</f>
        <v>77.222824002643549</v>
      </c>
      <c r="AM166" s="30">
        <v>4654278.5</v>
      </c>
      <c r="AN166" s="44">
        <v>7.0492556433588191E-2</v>
      </c>
      <c r="AP166" s="32"/>
      <c r="AR166" s="32"/>
    </row>
    <row r="167" spans="1:44">
      <c r="A167" s="5" t="s">
        <v>983</v>
      </c>
      <c r="B167" s="5" t="s">
        <v>360</v>
      </c>
      <c r="C167" s="5" t="s">
        <v>1734</v>
      </c>
      <c r="D167" s="29" t="s">
        <v>1735</v>
      </c>
      <c r="E167" s="5" t="s">
        <v>870</v>
      </c>
      <c r="F167" s="30" t="s">
        <v>1159</v>
      </c>
      <c r="G167" s="5" t="s">
        <v>969</v>
      </c>
      <c r="H167" s="31">
        <v>525.91</v>
      </c>
      <c r="I167" s="32">
        <v>465.68099999999998</v>
      </c>
      <c r="J167" s="32">
        <v>467.71019999999999</v>
      </c>
      <c r="K167" s="33">
        <v>0.82</v>
      </c>
      <c r="L167" s="33">
        <v>0.82</v>
      </c>
      <c r="M167" s="6">
        <v>1</v>
      </c>
      <c r="N167" s="6">
        <v>1</v>
      </c>
      <c r="O167" s="6">
        <v>0</v>
      </c>
      <c r="P167" s="6">
        <v>0</v>
      </c>
      <c r="Q167" s="34">
        <v>381.85841999999997</v>
      </c>
      <c r="R167" s="34">
        <v>383.52236399999998</v>
      </c>
      <c r="S167" s="34">
        <v>200823.16166219997</v>
      </c>
      <c r="T167" s="34">
        <v>201698.24645123997</v>
      </c>
      <c r="U167" s="35">
        <v>1.0906275029880508E-2</v>
      </c>
      <c r="V167" s="36">
        <v>1.0993229711160686E-2</v>
      </c>
      <c r="W167" s="36">
        <v>8.6954681280178303E-5</v>
      </c>
      <c r="X167" s="37">
        <v>182.53038662343761</v>
      </c>
      <c r="Y167" s="38">
        <v>347075.32966370217</v>
      </c>
      <c r="Z167" s="39">
        <v>2.0404263370816269E-2</v>
      </c>
      <c r="AA167" s="40">
        <v>2.0573526616999106E-2</v>
      </c>
      <c r="AB167" s="40">
        <v>1.6926324618283736E-4</v>
      </c>
      <c r="AC167" s="41">
        <v>3.3318507641165445</v>
      </c>
      <c r="AD167" s="42">
        <v>6335.4010460279223</v>
      </c>
      <c r="AE167" s="39">
        <v>0</v>
      </c>
      <c r="AF167" s="40">
        <v>0</v>
      </c>
      <c r="AG167" s="40">
        <v>0</v>
      </c>
      <c r="AH167" s="41">
        <v>0</v>
      </c>
      <c r="AI167" s="42">
        <v>0</v>
      </c>
      <c r="AJ167" s="41">
        <v>185.86223738755416</v>
      </c>
      <c r="AK167" s="30">
        <v>353410.73070973007</v>
      </c>
      <c r="AL167" s="43">
        <f>+$AL$6*W167/H167*10^6</f>
        <v>82.670686315318505</v>
      </c>
      <c r="AM167" s="30">
        <v>5029059.5</v>
      </c>
      <c r="AN167" s="44">
        <v>7.0273722295337737E-2</v>
      </c>
      <c r="AP167" s="32"/>
      <c r="AR167" s="32"/>
    </row>
    <row r="168" spans="1:44">
      <c r="A168" s="5" t="s">
        <v>242</v>
      </c>
      <c r="B168" s="5" t="s">
        <v>542</v>
      </c>
      <c r="C168" s="5" t="s">
        <v>1976</v>
      </c>
      <c r="D168" s="29" t="s">
        <v>1977</v>
      </c>
      <c r="E168" s="5" t="s">
        <v>74</v>
      </c>
      <c r="F168" s="30" t="s">
        <v>1164</v>
      </c>
      <c r="G168" s="5" t="s">
        <v>969</v>
      </c>
      <c r="H168" s="31">
        <v>62.77</v>
      </c>
      <c r="I168" s="32">
        <v>354.79700000000003</v>
      </c>
      <c r="J168" s="32">
        <v>354.96850000000001</v>
      </c>
      <c r="K168" s="33">
        <v>1</v>
      </c>
      <c r="L168" s="33">
        <v>1</v>
      </c>
      <c r="M168" s="6">
        <v>0.53</v>
      </c>
      <c r="N168" s="6">
        <v>0.53</v>
      </c>
      <c r="O168" s="6">
        <v>0.47</v>
      </c>
      <c r="P168" s="6">
        <v>0.47</v>
      </c>
      <c r="Q168" s="34">
        <v>354.79700000000003</v>
      </c>
      <c r="R168" s="34">
        <v>354.96850000000001</v>
      </c>
      <c r="S168" s="34">
        <v>22270.607690000004</v>
      </c>
      <c r="T168" s="34">
        <v>22281.372745000001</v>
      </c>
      <c r="U168" s="35">
        <v>1.2094689205136133E-3</v>
      </c>
      <c r="V168" s="36">
        <v>1.2144094119578505E-3</v>
      </c>
      <c r="W168" s="36">
        <v>4.9404914442372373E-6</v>
      </c>
      <c r="X168" s="37">
        <v>10.370802355318107</v>
      </c>
      <c r="Y168" s="38">
        <v>165219.09121105794</v>
      </c>
      <c r="Z168" s="39">
        <v>1.1992647198464156E-3</v>
      </c>
      <c r="AA168" s="40">
        <v>1.2045488959269554E-3</v>
      </c>
      <c r="AB168" s="40">
        <v>5.2841760805398368E-6</v>
      </c>
      <c r="AC168" s="41">
        <v>0.1040160017530032</v>
      </c>
      <c r="AD168" s="42">
        <v>1657.0973674207933</v>
      </c>
      <c r="AE168" s="39">
        <v>1.2211861194552974E-3</v>
      </c>
      <c r="AF168" s="40">
        <v>1.2257241884061811E-3</v>
      </c>
      <c r="AG168" s="40">
        <v>4.5380689508837425E-6</v>
      </c>
      <c r="AH168" s="41">
        <v>5.8345909705286268E-2</v>
      </c>
      <c r="AI168" s="42">
        <v>929.51903306175348</v>
      </c>
      <c r="AJ168" s="41">
        <v>10.533164266776396</v>
      </c>
      <c r="AK168" s="30">
        <v>167805.70761154048</v>
      </c>
      <c r="AL168" s="43">
        <f>+$AL$6*W168/H168*10^6</f>
        <v>39.353922608230341</v>
      </c>
      <c r="AM168" s="30">
        <v>2395780.25</v>
      </c>
      <c r="AN168" s="44">
        <v>7.0042195068408503E-2</v>
      </c>
      <c r="AP168" s="32"/>
      <c r="AR168" s="32"/>
    </row>
    <row r="169" spans="1:44">
      <c r="A169" s="5" t="s">
        <v>1254</v>
      </c>
      <c r="B169" s="5" t="s">
        <v>427</v>
      </c>
      <c r="C169" s="5" t="s">
        <v>2082</v>
      </c>
      <c r="D169" s="29" t="s">
        <v>2083</v>
      </c>
      <c r="E169" s="5" t="s">
        <v>771</v>
      </c>
      <c r="F169" s="30" t="s">
        <v>1154</v>
      </c>
      <c r="G169" s="5" t="s">
        <v>969</v>
      </c>
      <c r="H169" s="31">
        <v>83.02</v>
      </c>
      <c r="I169" s="32">
        <v>179.33</v>
      </c>
      <c r="J169" s="32">
        <v>179.3304</v>
      </c>
      <c r="K169" s="33">
        <v>1</v>
      </c>
      <c r="L169" s="33">
        <v>1</v>
      </c>
      <c r="M169" s="6">
        <v>0</v>
      </c>
      <c r="N169" s="6">
        <v>0</v>
      </c>
      <c r="O169" s="6">
        <v>1</v>
      </c>
      <c r="P169" s="6">
        <v>1</v>
      </c>
      <c r="Q169" s="34">
        <v>179.33</v>
      </c>
      <c r="R169" s="34">
        <v>179.3304</v>
      </c>
      <c r="S169" s="34">
        <v>14887.9766</v>
      </c>
      <c r="T169" s="34">
        <v>14888.009807999999</v>
      </c>
      <c r="U169" s="35">
        <v>8.0853406596171479E-4</v>
      </c>
      <c r="V169" s="36">
        <v>8.1144637913807267E-4</v>
      </c>
      <c r="W169" s="36">
        <v>2.912313176357882E-6</v>
      </c>
      <c r="X169" s="37">
        <v>6.113364366621088</v>
      </c>
      <c r="Y169" s="38">
        <v>73637.248453638735</v>
      </c>
      <c r="Z169" s="39">
        <v>0</v>
      </c>
      <c r="AA169" s="40">
        <v>0</v>
      </c>
      <c r="AB169" s="40">
        <v>0</v>
      </c>
      <c r="AC169" s="41">
        <v>0</v>
      </c>
      <c r="AD169" s="42">
        <v>0</v>
      </c>
      <c r="AE169" s="39">
        <v>1.7369511768146031E-3</v>
      </c>
      <c r="AF169" s="40">
        <v>1.7425674635710741E-3</v>
      </c>
      <c r="AG169" s="40">
        <v>5.6162867564709534E-6</v>
      </c>
      <c r="AH169" s="41">
        <v>7.2208545863595916E-2</v>
      </c>
      <c r="AI169" s="42">
        <v>869.77289645381745</v>
      </c>
      <c r="AJ169" s="41">
        <v>6.1855729124846839</v>
      </c>
      <c r="AK169" s="30">
        <v>74507.021350092546</v>
      </c>
      <c r="AL169" s="43">
        <f>+$AL$6*W169/H169*10^6</f>
        <v>17.539828814489773</v>
      </c>
      <c r="AM169" s="30">
        <v>1084926.875</v>
      </c>
      <c r="AN169" s="44">
        <v>6.8674694181663207E-2</v>
      </c>
      <c r="AP169" s="32"/>
      <c r="AR169" s="32"/>
    </row>
    <row r="170" spans="1:44">
      <c r="A170" s="5" t="s">
        <v>988</v>
      </c>
      <c r="B170" s="5" t="s">
        <v>1078</v>
      </c>
      <c r="C170" s="5" t="s">
        <v>1889</v>
      </c>
      <c r="D170" s="29" t="s">
        <v>1890</v>
      </c>
      <c r="E170" s="5" t="s">
        <v>875</v>
      </c>
      <c r="F170" s="30" t="s">
        <v>1160</v>
      </c>
      <c r="G170" s="5" t="s">
        <v>969</v>
      </c>
      <c r="H170" s="31">
        <v>58.6</v>
      </c>
      <c r="I170" s="32">
        <v>434.67599999999999</v>
      </c>
      <c r="J170" s="32">
        <v>435.88229999999999</v>
      </c>
      <c r="K170" s="33">
        <v>1</v>
      </c>
      <c r="L170" s="33">
        <v>1</v>
      </c>
      <c r="M170" s="6">
        <v>0</v>
      </c>
      <c r="N170" s="6">
        <v>0</v>
      </c>
      <c r="O170" s="6">
        <v>1</v>
      </c>
      <c r="P170" s="6">
        <v>1</v>
      </c>
      <c r="Q170" s="34">
        <v>434.67599999999999</v>
      </c>
      <c r="R170" s="34">
        <v>435.88229999999999</v>
      </c>
      <c r="S170" s="34">
        <v>25472.013599999998</v>
      </c>
      <c r="T170" s="34">
        <v>25542.70278</v>
      </c>
      <c r="U170" s="35">
        <v>1.3833304066477438E-3</v>
      </c>
      <c r="V170" s="36">
        <v>1.392162817698688E-3</v>
      </c>
      <c r="W170" s="36">
        <v>8.8324110509442177E-6</v>
      </c>
      <c r="X170" s="37">
        <v>18.54050156024751</v>
      </c>
      <c r="Y170" s="38">
        <v>316390.81160831929</v>
      </c>
      <c r="Z170" s="39">
        <v>0</v>
      </c>
      <c r="AA170" s="40">
        <v>0</v>
      </c>
      <c r="AB170" s="40">
        <v>0</v>
      </c>
      <c r="AC170" s="41">
        <v>0</v>
      </c>
      <c r="AD170" s="42">
        <v>0</v>
      </c>
      <c r="AE170" s="39">
        <v>2.9717701194101535E-3</v>
      </c>
      <c r="AF170" s="40">
        <v>2.9896462569615756E-3</v>
      </c>
      <c r="AG170" s="40">
        <v>1.7876137551422078E-5</v>
      </c>
      <c r="AH170" s="41">
        <v>0.22983333191784938</v>
      </c>
      <c r="AI170" s="42">
        <v>3922.070510543505</v>
      </c>
      <c r="AJ170" s="41">
        <v>18.770334892165359</v>
      </c>
      <c r="AK170" s="30">
        <v>320312.88211886282</v>
      </c>
      <c r="AL170" s="43">
        <f>+$AL$6*W170/H170*10^6</f>
        <v>75.361869035360215</v>
      </c>
      <c r="AM170" s="30">
        <v>4696214.5</v>
      </c>
      <c r="AN170" s="44">
        <v>6.820661239363382E-2</v>
      </c>
      <c r="AP170" s="32"/>
      <c r="AR170" s="32"/>
    </row>
    <row r="171" spans="1:44">
      <c r="A171" s="5" t="s">
        <v>820</v>
      </c>
      <c r="B171" s="5" t="s">
        <v>180</v>
      </c>
      <c r="C171" s="5" t="s">
        <v>2111</v>
      </c>
      <c r="D171" s="29" t="s">
        <v>2112</v>
      </c>
      <c r="E171" s="5" t="s">
        <v>675</v>
      </c>
      <c r="F171" s="30" t="s">
        <v>1156</v>
      </c>
      <c r="G171" s="5" t="s">
        <v>969</v>
      </c>
      <c r="H171" s="31">
        <v>79.989999999999995</v>
      </c>
      <c r="I171" s="32">
        <v>158.262</v>
      </c>
      <c r="J171" s="32">
        <v>158.3212</v>
      </c>
      <c r="K171" s="33">
        <v>0.89</v>
      </c>
      <c r="L171" s="33">
        <v>0.89</v>
      </c>
      <c r="M171" s="6">
        <v>1</v>
      </c>
      <c r="N171" s="6">
        <v>1</v>
      </c>
      <c r="O171" s="6">
        <v>0</v>
      </c>
      <c r="P171" s="6">
        <v>0</v>
      </c>
      <c r="Q171" s="34">
        <v>140.85318000000001</v>
      </c>
      <c r="R171" s="34">
        <v>140.905868</v>
      </c>
      <c r="S171" s="34">
        <v>11266.8458682</v>
      </c>
      <c r="T171" s="34">
        <v>11271.06038132</v>
      </c>
      <c r="U171" s="35">
        <v>6.1187822530428299E-4</v>
      </c>
      <c r="V171" s="36">
        <v>6.1431052594781434E-4</v>
      </c>
      <c r="W171" s="36">
        <v>2.4323006435313576E-6</v>
      </c>
      <c r="X171" s="37">
        <v>5.1057489983511601</v>
      </c>
      <c r="Y171" s="38">
        <v>63829.841209540704</v>
      </c>
      <c r="Z171" s="39">
        <v>1.1447468934875221E-3</v>
      </c>
      <c r="AA171" s="40">
        <v>1.1496652293055448E-3</v>
      </c>
      <c r="AB171" s="40">
        <v>4.9183358180227184E-6</v>
      </c>
      <c r="AC171" s="41">
        <v>9.6814644188966043E-2</v>
      </c>
      <c r="AD171" s="42">
        <v>1210.3343441550951</v>
      </c>
      <c r="AE171" s="39">
        <v>0</v>
      </c>
      <c r="AF171" s="40">
        <v>0</v>
      </c>
      <c r="AG171" s="40">
        <v>0</v>
      </c>
      <c r="AH171" s="41">
        <v>0</v>
      </c>
      <c r="AI171" s="42">
        <v>0</v>
      </c>
      <c r="AJ171" s="41">
        <v>5.2025636425401265</v>
      </c>
      <c r="AK171" s="30">
        <v>65040.175553695801</v>
      </c>
      <c r="AL171" s="43">
        <f>+$AL$6*W171/H171*10^6</f>
        <v>15.203779494507801</v>
      </c>
      <c r="AM171" s="30">
        <v>966600.1875</v>
      </c>
      <c r="AN171" s="44">
        <v>6.7287567698403536E-2</v>
      </c>
      <c r="AP171" s="32"/>
      <c r="AR171" s="32"/>
    </row>
    <row r="172" spans="1:44">
      <c r="A172" s="5" t="s">
        <v>247</v>
      </c>
      <c r="B172" s="5" t="s">
        <v>547</v>
      </c>
      <c r="C172" s="5" t="s">
        <v>2008</v>
      </c>
      <c r="D172" s="29" t="s">
        <v>2009</v>
      </c>
      <c r="E172" s="5" t="s">
        <v>79</v>
      </c>
      <c r="F172" s="30" t="s">
        <v>1154</v>
      </c>
      <c r="G172" s="5" t="s">
        <v>969</v>
      </c>
      <c r="H172" s="31">
        <v>42.5</v>
      </c>
      <c r="I172" s="32">
        <v>505.863</v>
      </c>
      <c r="J172" s="32">
        <v>505.87479999999999</v>
      </c>
      <c r="K172" s="33">
        <v>1</v>
      </c>
      <c r="L172" s="33">
        <v>1</v>
      </c>
      <c r="M172" s="6">
        <v>0</v>
      </c>
      <c r="N172" s="6">
        <v>0</v>
      </c>
      <c r="O172" s="6">
        <v>1</v>
      </c>
      <c r="P172" s="6">
        <v>1</v>
      </c>
      <c r="Q172" s="34">
        <v>505.863</v>
      </c>
      <c r="R172" s="34">
        <v>505.87479999999999</v>
      </c>
      <c r="S172" s="34">
        <v>21499.177500000002</v>
      </c>
      <c r="T172" s="34">
        <v>21499.679</v>
      </c>
      <c r="U172" s="35">
        <v>1.1675742020515814E-3</v>
      </c>
      <c r="V172" s="36">
        <v>1.1718044857685695E-3</v>
      </c>
      <c r="W172" s="36">
        <v>4.2302837169880866E-6</v>
      </c>
      <c r="X172" s="37">
        <v>8.8799741545908493</v>
      </c>
      <c r="Y172" s="38">
        <v>208940.56834331408</v>
      </c>
      <c r="Z172" s="39">
        <v>0</v>
      </c>
      <c r="AA172" s="40">
        <v>0</v>
      </c>
      <c r="AB172" s="40">
        <v>0</v>
      </c>
      <c r="AC172" s="41">
        <v>0</v>
      </c>
      <c r="AD172" s="42">
        <v>0</v>
      </c>
      <c r="AE172" s="39">
        <v>2.5082670844049446E-3</v>
      </c>
      <c r="AF172" s="40">
        <v>2.5164304420655908E-3</v>
      </c>
      <c r="AG172" s="40">
        <v>8.1633576606461589E-6</v>
      </c>
      <c r="AH172" s="41">
        <v>0.10495621245844303</v>
      </c>
      <c r="AI172" s="42">
        <v>2469.5579401986597</v>
      </c>
      <c r="AJ172" s="41">
        <v>8.9849303670492926</v>
      </c>
      <c r="AK172" s="30">
        <v>211410.12628351274</v>
      </c>
      <c r="AL172" s="43">
        <f>+$AL$6*W172/H172*10^6</f>
        <v>49.768043729271611</v>
      </c>
      <c r="AM172" s="30">
        <v>3157146.5</v>
      </c>
      <c r="AN172" s="44">
        <v>6.6962406173901895E-2</v>
      </c>
      <c r="AP172" s="32"/>
      <c r="AR172" s="32"/>
    </row>
    <row r="173" spans="1:44">
      <c r="A173" s="5" t="s">
        <v>246</v>
      </c>
      <c r="B173" s="5" t="s">
        <v>546</v>
      </c>
      <c r="C173" s="5" t="s">
        <v>2224</v>
      </c>
      <c r="D173" s="29" t="s">
        <v>2225</v>
      </c>
      <c r="E173" s="5" t="s">
        <v>78</v>
      </c>
      <c r="F173" s="30" t="s">
        <v>1149</v>
      </c>
      <c r="G173" s="5" t="s">
        <v>969</v>
      </c>
      <c r="H173" s="31">
        <v>49.49</v>
      </c>
      <c r="I173" s="32">
        <v>103.232</v>
      </c>
      <c r="J173" s="32">
        <v>103.37639999999999</v>
      </c>
      <c r="K173" s="33">
        <v>0.83</v>
      </c>
      <c r="L173" s="33">
        <v>0.83</v>
      </c>
      <c r="M173" s="6">
        <v>0.59</v>
      </c>
      <c r="N173" s="6">
        <v>0.59</v>
      </c>
      <c r="O173" s="6">
        <v>0.41</v>
      </c>
      <c r="P173" s="6">
        <v>0.41</v>
      </c>
      <c r="Q173" s="34">
        <v>85.682559999999995</v>
      </c>
      <c r="R173" s="34">
        <v>85.80241199999999</v>
      </c>
      <c r="S173" s="34">
        <v>4240.4298944000002</v>
      </c>
      <c r="T173" s="34">
        <v>4246.36136988</v>
      </c>
      <c r="U173" s="35">
        <v>2.302886494290189E-4</v>
      </c>
      <c r="V173" s="36">
        <v>2.3144091134661834E-4</v>
      </c>
      <c r="W173" s="36">
        <v>1.1522619175994306E-6</v>
      </c>
      <c r="X173" s="37">
        <v>2.418763546877972</v>
      </c>
      <c r="Y173" s="38">
        <v>48873.783529560962</v>
      </c>
      <c r="Z173" s="39">
        <v>2.5419617994388221E-4</v>
      </c>
      <c r="AA173" s="40">
        <v>2.5554982168349272E-4</v>
      </c>
      <c r="AB173" s="40">
        <v>1.3536417396105066E-6</v>
      </c>
      <c r="AC173" s="41">
        <v>2.6645668012236345E-2</v>
      </c>
      <c r="AD173" s="42">
        <v>538.40509218501404</v>
      </c>
      <c r="AE173" s="39">
        <v>2.0283629912905293E-4</v>
      </c>
      <c r="AF173" s="40">
        <v>2.0377634186364939E-4</v>
      </c>
      <c r="AG173" s="40">
        <v>9.4004273459646166E-7</v>
      </c>
      <c r="AH173" s="41">
        <v>1.2086120573640583E-2</v>
      </c>
      <c r="AI173" s="42">
        <v>244.21338803072507</v>
      </c>
      <c r="AJ173" s="41">
        <v>2.4574953354638489</v>
      </c>
      <c r="AK173" s="30">
        <v>49656.402009776699</v>
      </c>
      <c r="AL173" s="43">
        <f>+$AL$6*W173/H173*10^6</f>
        <v>11.641361058794004</v>
      </c>
      <c r="AM173" s="30">
        <v>758471.875</v>
      </c>
      <c r="AN173" s="44">
        <v>6.5469008998885692E-2</v>
      </c>
      <c r="AP173" s="32"/>
      <c r="AR173" s="32"/>
    </row>
    <row r="174" spans="1:44">
      <c r="A174" s="5" t="s">
        <v>1171</v>
      </c>
      <c r="B174" s="5" t="s">
        <v>339</v>
      </c>
      <c r="C174" s="5" t="s">
        <v>2102</v>
      </c>
      <c r="D174" s="29" t="s">
        <v>2103</v>
      </c>
      <c r="E174" s="5" t="s">
        <v>697</v>
      </c>
      <c r="F174" s="30" t="s">
        <v>1150</v>
      </c>
      <c r="G174" s="5" t="s">
        <v>971</v>
      </c>
      <c r="H174" s="31">
        <v>38.89</v>
      </c>
      <c r="I174" s="32">
        <v>333.19200000000001</v>
      </c>
      <c r="J174" s="32">
        <v>333.1918</v>
      </c>
      <c r="K174" s="33">
        <v>1</v>
      </c>
      <c r="L174" s="33">
        <v>1</v>
      </c>
      <c r="M174" s="6">
        <v>0</v>
      </c>
      <c r="N174" s="6">
        <v>0</v>
      </c>
      <c r="O174" s="6">
        <v>1</v>
      </c>
      <c r="P174" s="6">
        <v>1</v>
      </c>
      <c r="Q174" s="34">
        <v>333.19200000000001</v>
      </c>
      <c r="R174" s="34">
        <v>333.1918</v>
      </c>
      <c r="S174" s="34">
        <v>12957.836880000001</v>
      </c>
      <c r="T174" s="34">
        <v>12957.829102</v>
      </c>
      <c r="U174" s="35">
        <v>7.0371231901688105E-4</v>
      </c>
      <c r="V174" s="36">
        <v>7.0624506847502772E-4</v>
      </c>
      <c r="W174" s="36">
        <v>2.5327494581466612E-6</v>
      </c>
      <c r="X174" s="37">
        <v>5.316605512315256</v>
      </c>
      <c r="Y174" s="38">
        <v>136708.80720790062</v>
      </c>
      <c r="Z174" s="39">
        <v>0</v>
      </c>
      <c r="AA174" s="40">
        <v>0</v>
      </c>
      <c r="AB174" s="40">
        <v>0</v>
      </c>
      <c r="AC174" s="41">
        <v>0</v>
      </c>
      <c r="AD174" s="42">
        <v>0</v>
      </c>
      <c r="AE174" s="39">
        <v>1.5117655422488821E-3</v>
      </c>
      <c r="AF174" s="40">
        <v>1.5166494167357678E-3</v>
      </c>
      <c r="AG174" s="40">
        <v>4.8838744868856965E-6</v>
      </c>
      <c r="AH174" s="41">
        <v>6.2791928220546814E-2</v>
      </c>
      <c r="AI174" s="42">
        <v>1614.6034512868812</v>
      </c>
      <c r="AJ174" s="41">
        <v>5.3793974405358025</v>
      </c>
      <c r="AK174" s="30">
        <v>138323.4106591875</v>
      </c>
      <c r="AL174" s="43">
        <f>+$AL$6*W174/H174*10^6</f>
        <v>32.562991233564681</v>
      </c>
      <c r="AM174" s="30">
        <v>2115397.5</v>
      </c>
      <c r="AN174" s="44">
        <v>6.5388850397708947E-2</v>
      </c>
      <c r="AP174" s="32"/>
      <c r="AR174" s="32"/>
    </row>
    <row r="175" spans="1:44">
      <c r="A175" s="5" t="s">
        <v>1333</v>
      </c>
      <c r="B175" s="5" t="s">
        <v>505</v>
      </c>
      <c r="C175" s="5" t="s">
        <v>2044</v>
      </c>
      <c r="D175" s="29" t="s">
        <v>2045</v>
      </c>
      <c r="E175" s="5" t="s">
        <v>38</v>
      </c>
      <c r="F175" s="30" t="s">
        <v>1149</v>
      </c>
      <c r="G175" s="5" t="s">
        <v>969</v>
      </c>
      <c r="H175" s="31">
        <v>123.95</v>
      </c>
      <c r="I175" s="32">
        <v>100.4</v>
      </c>
      <c r="J175" s="32">
        <v>100.6</v>
      </c>
      <c r="K175" s="33">
        <v>1</v>
      </c>
      <c r="L175" s="33">
        <v>1</v>
      </c>
      <c r="M175" s="6">
        <v>0</v>
      </c>
      <c r="N175" s="6">
        <v>0</v>
      </c>
      <c r="O175" s="6">
        <v>1</v>
      </c>
      <c r="P175" s="6">
        <v>1</v>
      </c>
      <c r="Q175" s="34">
        <v>100.4</v>
      </c>
      <c r="R175" s="34">
        <v>100.6</v>
      </c>
      <c r="S175" s="34">
        <v>12444.580000000002</v>
      </c>
      <c r="T175" s="34">
        <v>12469.369999999999</v>
      </c>
      <c r="U175" s="35">
        <v>6.7583843909224293E-4</v>
      </c>
      <c r="V175" s="36">
        <v>6.7962241206987449E-4</v>
      </c>
      <c r="W175" s="36">
        <v>3.7839729776315565E-6</v>
      </c>
      <c r="X175" s="37">
        <v>7.9431036996644613</v>
      </c>
      <c r="Y175" s="38">
        <v>64083.127871435747</v>
      </c>
      <c r="Z175" s="39">
        <v>0</v>
      </c>
      <c r="AA175" s="40">
        <v>0</v>
      </c>
      <c r="AB175" s="40">
        <v>0</v>
      </c>
      <c r="AC175" s="41">
        <v>0</v>
      </c>
      <c r="AD175" s="42">
        <v>0</v>
      </c>
      <c r="AE175" s="39">
        <v>1.45188486365323E-3</v>
      </c>
      <c r="AF175" s="40">
        <v>1.4594777094755422E-3</v>
      </c>
      <c r="AG175" s="40">
        <v>7.5928458223122053E-6</v>
      </c>
      <c r="AH175" s="41">
        <v>9.7621147133191102E-2</v>
      </c>
      <c r="AI175" s="42">
        <v>787.58489014272766</v>
      </c>
      <c r="AJ175" s="41">
        <v>8.0407248467976515</v>
      </c>
      <c r="AK175" s="30">
        <v>64870.712761578478</v>
      </c>
      <c r="AL175" s="43">
        <f>+$AL$6*W175/H175*10^6</f>
        <v>15.264110438207165</v>
      </c>
      <c r="AM175" s="30">
        <v>997966.125</v>
      </c>
      <c r="AN175" s="44">
        <v>6.5002920576666345E-2</v>
      </c>
      <c r="AP175" s="32"/>
      <c r="AR175" s="32"/>
    </row>
    <row r="176" spans="1:44">
      <c r="A176" s="5" t="s">
        <v>1178</v>
      </c>
      <c r="B176" s="5" t="s">
        <v>346</v>
      </c>
      <c r="C176" s="5" t="s">
        <v>2144</v>
      </c>
      <c r="D176" s="29" t="s">
        <v>2145</v>
      </c>
      <c r="E176" s="5" t="s">
        <v>704</v>
      </c>
      <c r="F176" s="30" t="s">
        <v>1154</v>
      </c>
      <c r="G176" s="5" t="s">
        <v>971</v>
      </c>
      <c r="H176" s="31">
        <v>42.65</v>
      </c>
      <c r="I176" s="32">
        <v>242.63499999999999</v>
      </c>
      <c r="J176" s="32">
        <v>242.63479999999998</v>
      </c>
      <c r="K176" s="33">
        <v>1</v>
      </c>
      <c r="L176" s="33">
        <v>1</v>
      </c>
      <c r="M176" s="6">
        <v>0</v>
      </c>
      <c r="N176" s="6">
        <v>0</v>
      </c>
      <c r="O176" s="6">
        <v>1</v>
      </c>
      <c r="P176" s="6">
        <v>1</v>
      </c>
      <c r="Q176" s="34">
        <v>242.63499999999999</v>
      </c>
      <c r="R176" s="34">
        <v>242.63479999999998</v>
      </c>
      <c r="S176" s="34">
        <v>10348.382749999999</v>
      </c>
      <c r="T176" s="34">
        <v>10348.37422</v>
      </c>
      <c r="U176" s="35">
        <v>5.6199846398103357E-4</v>
      </c>
      <c r="V176" s="36">
        <v>5.6402104103079036E-4</v>
      </c>
      <c r="W176" s="36">
        <v>2.0225770497567892E-6</v>
      </c>
      <c r="X176" s="37">
        <v>4.2456802259817508</v>
      </c>
      <c r="Y176" s="38">
        <v>99547.015849513511</v>
      </c>
      <c r="Z176" s="39">
        <v>0</v>
      </c>
      <c r="AA176" s="40">
        <v>0</v>
      </c>
      <c r="AB176" s="40">
        <v>0</v>
      </c>
      <c r="AC176" s="41">
        <v>0</v>
      </c>
      <c r="AD176" s="42">
        <v>0</v>
      </c>
      <c r="AE176" s="39">
        <v>1.2073256211149899E-3</v>
      </c>
      <c r="AF176" s="40">
        <v>1.2112257077463698E-3</v>
      </c>
      <c r="AG176" s="40">
        <v>3.9000866313798448E-6</v>
      </c>
      <c r="AH176" s="41">
        <v>5.014337703991225E-2</v>
      </c>
      <c r="AI176" s="42">
        <v>1175.6946550975908</v>
      </c>
      <c r="AJ176" s="41">
        <v>4.2958236030216632</v>
      </c>
      <c r="AK176" s="30">
        <v>100722.7105046111</v>
      </c>
      <c r="AL176" s="43">
        <f>+$AL$6*W176/H176*10^6</f>
        <v>23.711337042869747</v>
      </c>
      <c r="AM176" s="30">
        <v>1553418.375</v>
      </c>
      <c r="AN176" s="44">
        <v>6.4839396858950571E-2</v>
      </c>
      <c r="AP176" s="32"/>
      <c r="AR176" s="32"/>
    </row>
    <row r="177" spans="1:44">
      <c r="A177" s="5" t="s">
        <v>850</v>
      </c>
      <c r="B177" s="5" t="s">
        <v>1132</v>
      </c>
      <c r="C177" s="5" t="s">
        <v>1876</v>
      </c>
      <c r="D177" s="29" t="s">
        <v>1877</v>
      </c>
      <c r="E177" s="5" t="s">
        <v>1056</v>
      </c>
      <c r="F177" s="30" t="s">
        <v>1159</v>
      </c>
      <c r="G177" s="5" t="s">
        <v>971</v>
      </c>
      <c r="H177" s="31">
        <v>79</v>
      </c>
      <c r="I177" s="32">
        <v>638.49199999999996</v>
      </c>
      <c r="J177" s="32">
        <v>638.49169999999992</v>
      </c>
      <c r="K177" s="33">
        <v>1</v>
      </c>
      <c r="L177" s="33">
        <v>1</v>
      </c>
      <c r="M177" s="6">
        <v>0</v>
      </c>
      <c r="N177" s="6">
        <v>0</v>
      </c>
      <c r="O177" s="6">
        <v>1</v>
      </c>
      <c r="P177" s="6">
        <v>1</v>
      </c>
      <c r="Q177" s="34">
        <v>638.49199999999996</v>
      </c>
      <c r="R177" s="34">
        <v>638.49169999999992</v>
      </c>
      <c r="S177" s="34">
        <v>50440.867999999995</v>
      </c>
      <c r="T177" s="34">
        <v>50440.844299999997</v>
      </c>
      <c r="U177" s="35">
        <v>2.739335316706378E-3</v>
      </c>
      <c r="V177" s="36">
        <v>2.7491948887559663E-3</v>
      </c>
      <c r="W177" s="36">
        <v>9.8595720495883374E-6</v>
      </c>
      <c r="X177" s="37">
        <v>20.696660279326917</v>
      </c>
      <c r="Y177" s="38">
        <v>261983.0415104673</v>
      </c>
      <c r="Z177" s="39">
        <v>0</v>
      </c>
      <c r="AA177" s="40">
        <v>0</v>
      </c>
      <c r="AB177" s="40">
        <v>0</v>
      </c>
      <c r="AC177" s="41">
        <v>0</v>
      </c>
      <c r="AD177" s="42">
        <v>0</v>
      </c>
      <c r="AE177" s="39">
        <v>5.8848376368451603E-3</v>
      </c>
      <c r="AF177" s="40">
        <v>5.9038498258513821E-3</v>
      </c>
      <c r="AG177" s="40">
        <v>1.9012189006221807E-5</v>
      </c>
      <c r="AH177" s="41">
        <v>0.24443953475868457</v>
      </c>
      <c r="AI177" s="42">
        <v>3094.1713260592983</v>
      </c>
      <c r="AJ177" s="41">
        <v>20.9410998140856</v>
      </c>
      <c r="AK177" s="30">
        <v>265077.21283652663</v>
      </c>
      <c r="AL177" s="43">
        <f>+$AL$6*W177/H177*10^6</f>
        <v>62.402354744229982</v>
      </c>
      <c r="AM177" s="30">
        <v>4091544</v>
      </c>
      <c r="AN177" s="44">
        <v>6.4786597146829314E-2</v>
      </c>
      <c r="AP177" s="32"/>
      <c r="AR177" s="32"/>
    </row>
    <row r="178" spans="1:44">
      <c r="A178" s="5" t="s">
        <v>1487</v>
      </c>
      <c r="B178" s="5" t="s">
        <v>1494</v>
      </c>
      <c r="C178" s="5" t="s">
        <v>1997</v>
      </c>
      <c r="D178" s="29" t="s">
        <v>1501</v>
      </c>
      <c r="E178" s="5" t="s">
        <v>1512</v>
      </c>
      <c r="F178" s="30" t="s">
        <v>1159</v>
      </c>
      <c r="G178" s="5" t="s">
        <v>971</v>
      </c>
      <c r="H178" s="31">
        <v>78.239999999999995</v>
      </c>
      <c r="I178" s="32">
        <v>297.10899999999998</v>
      </c>
      <c r="J178" s="32">
        <v>297.10849999999999</v>
      </c>
      <c r="K178" s="33">
        <v>1</v>
      </c>
      <c r="L178" s="33">
        <v>1</v>
      </c>
      <c r="M178" s="6">
        <v>0.62</v>
      </c>
      <c r="N178" s="6">
        <v>0.62</v>
      </c>
      <c r="O178" s="6">
        <v>0.38</v>
      </c>
      <c r="P178" s="6">
        <v>0.38</v>
      </c>
      <c r="Q178" s="34">
        <v>297.10899999999998</v>
      </c>
      <c r="R178" s="34">
        <v>297.10849999999999</v>
      </c>
      <c r="S178" s="34">
        <v>23245.808159999997</v>
      </c>
      <c r="T178" s="34">
        <v>23245.769039999999</v>
      </c>
      <c r="U178" s="35">
        <v>1.2624299656792048E-3</v>
      </c>
      <c r="V178" s="36">
        <v>1.2669722388046879E-3</v>
      </c>
      <c r="W178" s="36">
        <v>4.5422731254831251E-6</v>
      </c>
      <c r="X178" s="37">
        <v>9.5348848105396105</v>
      </c>
      <c r="Y178" s="38">
        <v>121867.13714902365</v>
      </c>
      <c r="Z178" s="39">
        <v>1.4643451710635049E-3</v>
      </c>
      <c r="AA178" s="40">
        <v>1.4700842621329119E-3</v>
      </c>
      <c r="AB178" s="40">
        <v>5.7390910694070547E-6</v>
      </c>
      <c r="AC178" s="41">
        <v>0.11297074466055708</v>
      </c>
      <c r="AD178" s="42">
        <v>1443.9001106921919</v>
      </c>
      <c r="AE178" s="39">
        <v>1.0305763685185421E-3</v>
      </c>
      <c r="AF178" s="40">
        <v>1.0339046051507602E-3</v>
      </c>
      <c r="AG178" s="40">
        <v>3.3282366322180852E-6</v>
      </c>
      <c r="AH178" s="41">
        <v>4.2791106993516737E-2</v>
      </c>
      <c r="AI178" s="42">
        <v>546.92110165537758</v>
      </c>
      <c r="AJ178" s="41">
        <v>9.6906466621936858</v>
      </c>
      <c r="AK178" s="30">
        <v>123857.95836137122</v>
      </c>
      <c r="AL178" s="43">
        <f>+$AL$6*W178/H178*10^6</f>
        <v>29.027819053445331</v>
      </c>
      <c r="AM178" s="30">
        <v>1916050.75</v>
      </c>
      <c r="AN178" s="44">
        <v>6.4642316160660782E-2</v>
      </c>
      <c r="AP178" s="32"/>
      <c r="AR178" s="32"/>
    </row>
    <row r="179" spans="1:44">
      <c r="A179" s="5" t="s">
        <v>1673</v>
      </c>
      <c r="B179" s="5" t="s">
        <v>1656</v>
      </c>
      <c r="C179" s="5" t="s">
        <v>2137</v>
      </c>
      <c r="D179" s="29" t="s">
        <v>2138</v>
      </c>
      <c r="E179" s="5" t="s">
        <v>1690</v>
      </c>
      <c r="F179" s="30" t="s">
        <v>1160</v>
      </c>
      <c r="G179" s="5" t="s">
        <v>969</v>
      </c>
      <c r="H179" s="31">
        <v>28</v>
      </c>
      <c r="I179" s="32">
        <v>317.37799999999999</v>
      </c>
      <c r="J179" s="32">
        <v>317.61539999999997</v>
      </c>
      <c r="K179" s="33">
        <v>1</v>
      </c>
      <c r="L179" s="33">
        <v>1</v>
      </c>
      <c r="M179" s="6">
        <v>0.75</v>
      </c>
      <c r="N179" s="6">
        <v>0.75</v>
      </c>
      <c r="O179" s="6">
        <v>0.25</v>
      </c>
      <c r="P179" s="6">
        <v>0.25</v>
      </c>
      <c r="Q179" s="34">
        <v>317.37799999999999</v>
      </c>
      <c r="R179" s="34">
        <v>317.61539999999997</v>
      </c>
      <c r="S179" s="34">
        <v>8886.5839999999989</v>
      </c>
      <c r="T179" s="34">
        <v>8893.2311999999984</v>
      </c>
      <c r="U179" s="35">
        <v>4.8261131025893191E-4</v>
      </c>
      <c r="V179" s="36">
        <v>4.8471087466640767E-4</v>
      </c>
      <c r="W179" s="36">
        <v>2.099564407475761E-6</v>
      </c>
      <c r="X179" s="37">
        <v>4.4072877664002119</v>
      </c>
      <c r="Y179" s="38">
        <v>157403.13451429328</v>
      </c>
      <c r="Z179" s="39">
        <v>6.7717861414268729E-4</v>
      </c>
      <c r="AA179" s="40">
        <v>6.8034228862975585E-4</v>
      </c>
      <c r="AB179" s="40">
        <v>3.1636744870685565E-6</v>
      </c>
      <c r="AC179" s="41">
        <v>6.2275133526442983E-2</v>
      </c>
      <c r="AD179" s="42">
        <v>2224.1119116586779</v>
      </c>
      <c r="AE179" s="39">
        <v>2.5919510339406738E-4</v>
      </c>
      <c r="AF179" s="40">
        <v>2.6022711455375101E-4</v>
      </c>
      <c r="AG179" s="40">
        <v>1.0320111596836233E-6</v>
      </c>
      <c r="AH179" s="41">
        <v>1.3268557747678661E-2</v>
      </c>
      <c r="AI179" s="42">
        <v>473.87706241709503</v>
      </c>
      <c r="AJ179" s="41">
        <v>4.4828314576743331</v>
      </c>
      <c r="AK179" s="30">
        <v>160101.12348836905</v>
      </c>
      <c r="AL179" s="43">
        <f>+$AL$6*W179/H179*10^6</f>
        <v>37.492221562067158</v>
      </c>
      <c r="AM179" s="30">
        <v>2491229</v>
      </c>
      <c r="AN179" s="44">
        <v>6.4265919948896327E-2</v>
      </c>
      <c r="AP179" s="32"/>
      <c r="AR179" s="32"/>
    </row>
    <row r="180" spans="1:44">
      <c r="A180" s="5" t="s">
        <v>335</v>
      </c>
      <c r="B180" s="5" t="s">
        <v>634</v>
      </c>
      <c r="C180" s="5" t="s">
        <v>2086</v>
      </c>
      <c r="D180" s="29" t="s">
        <v>2087</v>
      </c>
      <c r="E180" s="5" t="s">
        <v>160</v>
      </c>
      <c r="F180" s="30" t="s">
        <v>1165</v>
      </c>
      <c r="G180" s="5" t="s">
        <v>969</v>
      </c>
      <c r="H180" s="31">
        <v>29.98</v>
      </c>
      <c r="I180" s="32">
        <v>203.209</v>
      </c>
      <c r="J180" s="32">
        <v>204.17019999999999</v>
      </c>
      <c r="K180" s="33">
        <v>1</v>
      </c>
      <c r="L180" s="33">
        <v>1</v>
      </c>
      <c r="M180" s="6">
        <v>0</v>
      </c>
      <c r="N180" s="6">
        <v>0</v>
      </c>
      <c r="O180" s="6">
        <v>1</v>
      </c>
      <c r="P180" s="6">
        <v>1</v>
      </c>
      <c r="Q180" s="34">
        <v>203.209</v>
      </c>
      <c r="R180" s="34">
        <v>204.17019999999999</v>
      </c>
      <c r="S180" s="34">
        <v>6092.2058200000001</v>
      </c>
      <c r="T180" s="34">
        <v>6121.0225959999998</v>
      </c>
      <c r="U180" s="35">
        <v>3.3085462683493357E-4</v>
      </c>
      <c r="V180" s="36">
        <v>3.3361622447868056E-4</v>
      </c>
      <c r="W180" s="36">
        <v>2.7615976437469873E-6</v>
      </c>
      <c r="X180" s="37">
        <v>5.7969907794535045</v>
      </c>
      <c r="Y180" s="38">
        <v>193361.93393774197</v>
      </c>
      <c r="Z180" s="39">
        <v>0</v>
      </c>
      <c r="AA180" s="40">
        <v>0</v>
      </c>
      <c r="AB180" s="40">
        <v>0</v>
      </c>
      <c r="AC180" s="41">
        <v>0</v>
      </c>
      <c r="AD180" s="42">
        <v>0</v>
      </c>
      <c r="AE180" s="39">
        <v>7.1076576439848616E-4</v>
      </c>
      <c r="AF180" s="40">
        <v>7.1643523594681338E-4</v>
      </c>
      <c r="AG180" s="40">
        <v>5.6694715483272167E-6</v>
      </c>
      <c r="AH180" s="41">
        <v>7.2892342230933105E-2</v>
      </c>
      <c r="AI180" s="42">
        <v>2431.3656514654135</v>
      </c>
      <c r="AJ180" s="41">
        <v>5.8698831216844374</v>
      </c>
      <c r="AK180" s="30">
        <v>195793.29958920737</v>
      </c>
      <c r="AL180" s="43">
        <f>+$AL$6*W180/H180*10^6</f>
        <v>46.057332283972436</v>
      </c>
      <c r="AM180" s="30">
        <v>3059505.75</v>
      </c>
      <c r="AN180" s="44">
        <v>6.3995074887245221E-2</v>
      </c>
      <c r="AP180" s="32"/>
      <c r="AR180" s="32"/>
    </row>
    <row r="181" spans="1:44">
      <c r="A181" s="5" t="s">
        <v>1268</v>
      </c>
      <c r="B181" s="5" t="s">
        <v>441</v>
      </c>
      <c r="C181" s="5" t="s">
        <v>1845</v>
      </c>
      <c r="D181" s="29" t="s">
        <v>1483</v>
      </c>
      <c r="E181" s="5" t="s">
        <v>1479</v>
      </c>
      <c r="F181" s="30" t="s">
        <v>1149</v>
      </c>
      <c r="G181" s="5" t="s">
        <v>971</v>
      </c>
      <c r="H181" s="31">
        <v>89</v>
      </c>
      <c r="I181" s="32">
        <v>675.73099999999999</v>
      </c>
      <c r="J181" s="32">
        <v>675.73099999999999</v>
      </c>
      <c r="K181" s="33">
        <v>1</v>
      </c>
      <c r="L181" s="33">
        <v>1</v>
      </c>
      <c r="M181" s="6">
        <v>0.47</v>
      </c>
      <c r="N181" s="6">
        <v>0.47</v>
      </c>
      <c r="O181" s="6">
        <v>0.53</v>
      </c>
      <c r="P181" s="6">
        <v>0.53</v>
      </c>
      <c r="Q181" s="34">
        <v>675.73099999999999</v>
      </c>
      <c r="R181" s="34">
        <v>675.73099999999999</v>
      </c>
      <c r="S181" s="34">
        <v>60140.059000000001</v>
      </c>
      <c r="T181" s="34">
        <v>60140.059000000001</v>
      </c>
      <c r="U181" s="35">
        <v>3.2660775696307463E-3</v>
      </c>
      <c r="V181" s="36">
        <v>3.2778345625805129E-3</v>
      </c>
      <c r="W181" s="36">
        <v>1.17569929497666E-5</v>
      </c>
      <c r="X181" s="37">
        <v>24.679619740485663</v>
      </c>
      <c r="Y181" s="38">
        <v>277299.09820770408</v>
      </c>
      <c r="Z181" s="39">
        <v>2.8718967903073279E-3</v>
      </c>
      <c r="AA181" s="40">
        <v>2.8831572380340412E-3</v>
      </c>
      <c r="AB181" s="40">
        <v>1.1260447726713259E-5</v>
      </c>
      <c r="AC181" s="41">
        <v>0.22165551121486274</v>
      </c>
      <c r="AD181" s="42">
        <v>2490.51136196475</v>
      </c>
      <c r="AE181" s="39">
        <v>3.7187043613762351E-3</v>
      </c>
      <c r="AF181" s="40">
        <v>3.7307201602994624E-3</v>
      </c>
      <c r="AG181" s="40">
        <v>1.2015798923227256E-5</v>
      </c>
      <c r="AH181" s="41">
        <v>0.15448701344102908</v>
      </c>
      <c r="AI181" s="42">
        <v>1735.8091397868436</v>
      </c>
      <c r="AJ181" s="41">
        <v>25.055762265141553</v>
      </c>
      <c r="AK181" s="30">
        <v>281525.4187094557</v>
      </c>
      <c r="AL181" s="43">
        <f>+$AL$6*W181/H181*10^6</f>
        <v>66.050522189700004</v>
      </c>
      <c r="AM181" s="30">
        <v>4406357.5</v>
      </c>
      <c r="AN181" s="44">
        <v>6.3890734855139575E-2</v>
      </c>
      <c r="AP181" s="32"/>
      <c r="AR181" s="32"/>
    </row>
    <row r="182" spans="1:44">
      <c r="A182" s="5" t="s">
        <v>1242</v>
      </c>
      <c r="B182" s="5" t="s">
        <v>415</v>
      </c>
      <c r="C182" s="5" t="s">
        <v>2019</v>
      </c>
      <c r="D182" s="29" t="s">
        <v>2020</v>
      </c>
      <c r="E182" s="5" t="s">
        <v>760</v>
      </c>
      <c r="F182" s="30" t="s">
        <v>1151</v>
      </c>
      <c r="G182" s="5" t="s">
        <v>969</v>
      </c>
      <c r="H182" s="31">
        <v>76.42</v>
      </c>
      <c r="I182" s="32">
        <v>160.28800000000001</v>
      </c>
      <c r="J182" s="32">
        <v>160.7013</v>
      </c>
      <c r="K182" s="33">
        <v>1</v>
      </c>
      <c r="L182" s="33">
        <v>1</v>
      </c>
      <c r="M182" s="6">
        <v>1</v>
      </c>
      <c r="N182" s="6">
        <v>1</v>
      </c>
      <c r="O182" s="6">
        <v>0</v>
      </c>
      <c r="P182" s="6">
        <v>0</v>
      </c>
      <c r="Q182" s="34">
        <v>160.28800000000001</v>
      </c>
      <c r="R182" s="34">
        <v>160.7013</v>
      </c>
      <c r="S182" s="34">
        <v>12249.208960000002</v>
      </c>
      <c r="T182" s="34">
        <v>12280.793346</v>
      </c>
      <c r="U182" s="35">
        <v>6.6522825709193207E-4</v>
      </c>
      <c r="V182" s="36">
        <v>6.6934435307799717E-4</v>
      </c>
      <c r="W182" s="36">
        <v>4.1160959860650969E-6</v>
      </c>
      <c r="X182" s="37">
        <v>8.6402776786085091</v>
      </c>
      <c r="Y182" s="38">
        <v>113063.04211735814</v>
      </c>
      <c r="Z182" s="39">
        <v>1.2445580660880851E-3</v>
      </c>
      <c r="AA182" s="40">
        <v>1.2526595209784149E-3</v>
      </c>
      <c r="AB182" s="40">
        <v>8.1014548903297727E-6</v>
      </c>
      <c r="AC182" s="41">
        <v>0.1594725333203372</v>
      </c>
      <c r="AD182" s="42">
        <v>2086.7905433176811</v>
      </c>
      <c r="AE182" s="39">
        <v>0</v>
      </c>
      <c r="AF182" s="40">
        <v>0</v>
      </c>
      <c r="AG182" s="40">
        <v>0</v>
      </c>
      <c r="AH182" s="41">
        <v>0</v>
      </c>
      <c r="AI182" s="42">
        <v>0</v>
      </c>
      <c r="AJ182" s="41">
        <v>8.7997502119288455</v>
      </c>
      <c r="AK182" s="30">
        <v>115149.83266067582</v>
      </c>
      <c r="AL182" s="43">
        <f>+$AL$6*W182/H182*10^6</f>
        <v>26.930751021101131</v>
      </c>
      <c r="AM182" s="30">
        <v>1808073.375</v>
      </c>
      <c r="AN182" s="44">
        <v>6.3686482115625317E-2</v>
      </c>
      <c r="AP182" s="32"/>
      <c r="AR182" s="32"/>
    </row>
    <row r="183" spans="1:44">
      <c r="A183" s="5" t="s">
        <v>1226</v>
      </c>
      <c r="B183" s="5" t="s">
        <v>396</v>
      </c>
      <c r="C183" s="5" t="s">
        <v>2078</v>
      </c>
      <c r="D183" s="29" t="s">
        <v>2079</v>
      </c>
      <c r="E183" s="5" t="s">
        <v>746</v>
      </c>
      <c r="F183" s="30" t="s">
        <v>1162</v>
      </c>
      <c r="G183" s="5" t="s">
        <v>969</v>
      </c>
      <c r="H183" s="31">
        <v>116.83</v>
      </c>
      <c r="I183" s="32">
        <v>131.178</v>
      </c>
      <c r="J183" s="32">
        <v>131.1782</v>
      </c>
      <c r="K183" s="33">
        <v>1</v>
      </c>
      <c r="L183" s="33">
        <v>1</v>
      </c>
      <c r="M183" s="6">
        <v>0.57999999999999996</v>
      </c>
      <c r="N183" s="6">
        <v>0.57999999999999996</v>
      </c>
      <c r="O183" s="6">
        <v>0.42</v>
      </c>
      <c r="P183" s="6">
        <v>0.42</v>
      </c>
      <c r="Q183" s="34">
        <v>131.178</v>
      </c>
      <c r="R183" s="34">
        <v>131.1782</v>
      </c>
      <c r="S183" s="34">
        <v>15325.525739999999</v>
      </c>
      <c r="T183" s="34">
        <v>15325.549106</v>
      </c>
      <c r="U183" s="35">
        <v>8.3229642096314938E-4</v>
      </c>
      <c r="V183" s="36">
        <v>8.3529373574727753E-4</v>
      </c>
      <c r="W183" s="36">
        <v>2.9973147841281514E-6</v>
      </c>
      <c r="X183" s="37">
        <v>6.2917949709485157</v>
      </c>
      <c r="Y183" s="38">
        <v>53854.275194286703</v>
      </c>
      <c r="Z183" s="39">
        <v>9.0313047223250151E-4</v>
      </c>
      <c r="AA183" s="40">
        <v>9.0667294753408643E-4</v>
      </c>
      <c r="AB183" s="40">
        <v>3.5424753015849157E-6</v>
      </c>
      <c r="AC183" s="41">
        <v>6.9731612187681563E-2</v>
      </c>
      <c r="AD183" s="42">
        <v>596.86392354430848</v>
      </c>
      <c r="AE183" s="39">
        <v>7.5095965607214251E-4</v>
      </c>
      <c r="AF183" s="40">
        <v>7.5338728968548741E-4</v>
      </c>
      <c r="AG183" s="40">
        <v>2.4276336133448925E-6</v>
      </c>
      <c r="AH183" s="41">
        <v>3.1212062472994271E-2</v>
      </c>
      <c r="AI183" s="42">
        <v>267.15794293412887</v>
      </c>
      <c r="AJ183" s="41">
        <v>6.3927386456091915</v>
      </c>
      <c r="AK183" s="30">
        <v>54718.297060765144</v>
      </c>
      <c r="AL183" s="43">
        <f>+$AL$6*W183/H183*10^6</f>
        <v>12.827676042660922</v>
      </c>
      <c r="AM183" s="30">
        <v>860432.375</v>
      </c>
      <c r="AN183" s="44">
        <v>6.3593954214897067E-2</v>
      </c>
      <c r="AP183" s="32"/>
      <c r="AR183" s="32"/>
    </row>
    <row r="184" spans="1:44">
      <c r="A184" s="5" t="s">
        <v>1018</v>
      </c>
      <c r="B184" s="5" t="s">
        <v>1104</v>
      </c>
      <c r="C184" s="5" t="s">
        <v>1863</v>
      </c>
      <c r="D184" s="29" t="s">
        <v>1864</v>
      </c>
      <c r="E184" s="5" t="s">
        <v>902</v>
      </c>
      <c r="F184" s="30" t="s">
        <v>1147</v>
      </c>
      <c r="G184" s="5" t="s">
        <v>971</v>
      </c>
      <c r="H184" s="31">
        <v>29.1</v>
      </c>
      <c r="I184" s="32">
        <v>1806.415</v>
      </c>
      <c r="J184" s="32">
        <v>1806.415</v>
      </c>
      <c r="K184" s="33">
        <v>1</v>
      </c>
      <c r="L184" s="33">
        <v>1</v>
      </c>
      <c r="M184" s="6">
        <v>0</v>
      </c>
      <c r="N184" s="6">
        <v>0</v>
      </c>
      <c r="O184" s="6">
        <v>1</v>
      </c>
      <c r="P184" s="6">
        <v>1</v>
      </c>
      <c r="Q184" s="34">
        <v>1806.415</v>
      </c>
      <c r="R184" s="34">
        <v>1806.415</v>
      </c>
      <c r="S184" s="34">
        <v>52566.676500000001</v>
      </c>
      <c r="T184" s="34">
        <v>52566.676500000001</v>
      </c>
      <c r="U184" s="35">
        <v>2.8547834152721011E-3</v>
      </c>
      <c r="V184" s="36">
        <v>2.8650598608772368E-3</v>
      </c>
      <c r="W184" s="36">
        <v>1.0276445605135725E-5</v>
      </c>
      <c r="X184" s="37">
        <v>21.571737850159177</v>
      </c>
      <c r="Y184" s="38">
        <v>741296.83333880338</v>
      </c>
      <c r="Z184" s="39">
        <v>0</v>
      </c>
      <c r="AA184" s="40">
        <v>0</v>
      </c>
      <c r="AB184" s="40">
        <v>0</v>
      </c>
      <c r="AC184" s="41">
        <v>0</v>
      </c>
      <c r="AD184" s="42">
        <v>0</v>
      </c>
      <c r="AE184" s="39">
        <v>6.1328515661360963E-3</v>
      </c>
      <c r="AF184" s="40">
        <v>6.1526679064749712E-3</v>
      </c>
      <c r="AG184" s="40">
        <v>1.9816340338874895E-5</v>
      </c>
      <c r="AH184" s="41">
        <v>0.25477850085906206</v>
      </c>
      <c r="AI184" s="42">
        <v>8755.2749436103786</v>
      </c>
      <c r="AJ184" s="41">
        <v>21.826516351018238</v>
      </c>
      <c r="AK184" s="30">
        <v>750052.1082824138</v>
      </c>
      <c r="AL184" s="43">
        <f>+$AL$6*W184/H184*10^6</f>
        <v>176.57123032879252</v>
      </c>
      <c r="AM184" s="30">
        <v>11824812</v>
      </c>
      <c r="AN184" s="44">
        <v>6.3430362214842301E-2</v>
      </c>
      <c r="AP184" s="32"/>
      <c r="AR184" s="32"/>
    </row>
    <row r="185" spans="1:44">
      <c r="A185" s="5" t="s">
        <v>241</v>
      </c>
      <c r="B185" s="5" t="s">
        <v>541</v>
      </c>
      <c r="C185" s="5" t="s">
        <v>2230</v>
      </c>
      <c r="D185" s="29" t="s">
        <v>2231</v>
      </c>
      <c r="E185" s="5" t="s">
        <v>73</v>
      </c>
      <c r="F185" s="30" t="s">
        <v>1163</v>
      </c>
      <c r="G185" s="5" t="s">
        <v>969</v>
      </c>
      <c r="H185" s="31">
        <v>21.43</v>
      </c>
      <c r="I185" s="32">
        <v>201.68299999999999</v>
      </c>
      <c r="J185" s="32">
        <v>201.91899999999998</v>
      </c>
      <c r="K185" s="33">
        <v>1</v>
      </c>
      <c r="L185" s="33">
        <v>1</v>
      </c>
      <c r="M185" s="6">
        <v>0</v>
      </c>
      <c r="N185" s="6">
        <v>0</v>
      </c>
      <c r="O185" s="6">
        <v>1</v>
      </c>
      <c r="P185" s="6">
        <v>1</v>
      </c>
      <c r="Q185" s="34">
        <v>201.68299999999999</v>
      </c>
      <c r="R185" s="34">
        <v>201.91899999999998</v>
      </c>
      <c r="S185" s="34">
        <v>4322.0666899999997</v>
      </c>
      <c r="T185" s="34">
        <v>4327.1241699999991</v>
      </c>
      <c r="U185" s="35">
        <v>2.3472216864065933E-4</v>
      </c>
      <c r="V185" s="36">
        <v>2.3584275434454613E-4</v>
      </c>
      <c r="W185" s="36">
        <v>1.1205857038868014E-6</v>
      </c>
      <c r="X185" s="37">
        <v>2.3522706168756988</v>
      </c>
      <c r="Y185" s="38">
        <v>109765.31110012594</v>
      </c>
      <c r="Z185" s="39">
        <v>0</v>
      </c>
      <c r="AA185" s="40">
        <v>0</v>
      </c>
      <c r="AB185" s="40">
        <v>0</v>
      </c>
      <c r="AC185" s="41">
        <v>0</v>
      </c>
      <c r="AD185" s="42">
        <v>0</v>
      </c>
      <c r="AE185" s="39">
        <v>5.042470864352847E-4</v>
      </c>
      <c r="AF185" s="40">
        <v>5.064683518291506E-4</v>
      </c>
      <c r="AG185" s="40">
        <v>2.2212653938659052E-6</v>
      </c>
      <c r="AH185" s="41">
        <v>2.8558788221306912E-2</v>
      </c>
      <c r="AI185" s="42">
        <v>1332.6546066872102</v>
      </c>
      <c r="AJ185" s="41">
        <v>2.3808294050970056</v>
      </c>
      <c r="AK185" s="30">
        <v>111097.96570681315</v>
      </c>
      <c r="AL185" s="43">
        <f>+$AL$6*W185/H185*10^6</f>
        <v>26.145256740242683</v>
      </c>
      <c r="AM185" s="30">
        <v>1781920.5</v>
      </c>
      <c r="AN185" s="44">
        <v>6.2347318921811133E-2</v>
      </c>
      <c r="AP185" s="32"/>
      <c r="AR185" s="32"/>
    </row>
    <row r="186" spans="1:44">
      <c r="A186" s="5" t="s">
        <v>1294</v>
      </c>
      <c r="B186" s="5" t="s">
        <v>1404</v>
      </c>
      <c r="C186" s="5" t="s">
        <v>2068</v>
      </c>
      <c r="D186" s="29" t="s">
        <v>2069</v>
      </c>
      <c r="E186" s="5" t="s">
        <v>2</v>
      </c>
      <c r="F186" s="30" t="s">
        <v>1166</v>
      </c>
      <c r="G186" s="5" t="s">
        <v>969</v>
      </c>
      <c r="H186" s="31">
        <v>79.489999999999995</v>
      </c>
      <c r="I186" s="32">
        <v>124.479</v>
      </c>
      <c r="J186" s="32">
        <v>124.9027</v>
      </c>
      <c r="K186" s="33">
        <v>0.9</v>
      </c>
      <c r="L186" s="33">
        <v>0.9</v>
      </c>
      <c r="M186" s="6">
        <v>0.49</v>
      </c>
      <c r="N186" s="6">
        <v>0.49</v>
      </c>
      <c r="O186" s="6">
        <v>0.51</v>
      </c>
      <c r="P186" s="6">
        <v>0.51</v>
      </c>
      <c r="Q186" s="34">
        <v>112.0311</v>
      </c>
      <c r="R186" s="34">
        <v>112.41243</v>
      </c>
      <c r="S186" s="34">
        <v>8905.3521389999987</v>
      </c>
      <c r="T186" s="34">
        <v>8935.664060699999</v>
      </c>
      <c r="U186" s="35">
        <v>4.8363056761968062E-4</v>
      </c>
      <c r="V186" s="36">
        <v>4.8702360763847919E-4</v>
      </c>
      <c r="W186" s="36">
        <v>3.3930400187985772E-6</v>
      </c>
      <c r="X186" s="37">
        <v>7.1224791735425503</v>
      </c>
      <c r="Y186" s="38">
        <v>89602.203717984041</v>
      </c>
      <c r="Z186" s="39">
        <v>4.433577431284299E-4</v>
      </c>
      <c r="AA186" s="40">
        <v>4.4661112110625065E-4</v>
      </c>
      <c r="AB186" s="40">
        <v>3.2533779778207454E-6</v>
      </c>
      <c r="AC186" s="41">
        <v>6.404089573972202E-2</v>
      </c>
      <c r="AD186" s="42">
        <v>805.64719763142557</v>
      </c>
      <c r="AE186" s="39">
        <v>5.2987472842146264E-4</v>
      </c>
      <c r="AF186" s="40">
        <v>5.333962568386544E-4</v>
      </c>
      <c r="AG186" s="40">
        <v>3.5215284171917667E-6</v>
      </c>
      <c r="AH186" s="41">
        <v>4.5276257650086596E-2</v>
      </c>
      <c r="AI186" s="42">
        <v>569.58432067035596</v>
      </c>
      <c r="AJ186" s="41">
        <v>7.2317963269323586</v>
      </c>
      <c r="AK186" s="30">
        <v>90977.435236285819</v>
      </c>
      <c r="AL186" s="43">
        <f>+$AL$6*W186/H186*10^6</f>
        <v>21.342558930674159</v>
      </c>
      <c r="AM186" s="30">
        <v>1466836</v>
      </c>
      <c r="AN186" s="44">
        <v>6.2022908652559536E-2</v>
      </c>
      <c r="AP186" s="32"/>
      <c r="AR186" s="32"/>
    </row>
    <row r="187" spans="1:44">
      <c r="A187" s="5" t="s">
        <v>1336</v>
      </c>
      <c r="B187" s="5" t="s">
        <v>508</v>
      </c>
      <c r="C187" s="5" t="s">
        <v>1851</v>
      </c>
      <c r="D187" s="29" t="s">
        <v>1852</v>
      </c>
      <c r="E187" s="5" t="s">
        <v>1527</v>
      </c>
      <c r="F187" s="30" t="s">
        <v>1150</v>
      </c>
      <c r="G187" s="5" t="s">
        <v>971</v>
      </c>
      <c r="H187" s="31">
        <v>83.38</v>
      </c>
      <c r="I187" s="32">
        <v>1109.741</v>
      </c>
      <c r="J187" s="32">
        <v>1108.5409999999999</v>
      </c>
      <c r="K187" s="33">
        <v>0.88</v>
      </c>
      <c r="L187" s="33">
        <v>0.88</v>
      </c>
      <c r="M187" s="6">
        <v>0.61</v>
      </c>
      <c r="N187" s="6">
        <v>0.61</v>
      </c>
      <c r="O187" s="6">
        <v>0.39</v>
      </c>
      <c r="P187" s="6">
        <v>0.39</v>
      </c>
      <c r="Q187" s="34">
        <v>976.57208000000003</v>
      </c>
      <c r="R187" s="34">
        <v>975.51607999999999</v>
      </c>
      <c r="S187" s="34">
        <v>81426.5800304</v>
      </c>
      <c r="T187" s="34">
        <v>81338.530750399994</v>
      </c>
      <c r="U187" s="35">
        <v>4.4221028550875258E-3</v>
      </c>
      <c r="V187" s="36">
        <v>4.4332222448132111E-3</v>
      </c>
      <c r="W187" s="36">
        <v>1.111938972568529E-5</v>
      </c>
      <c r="X187" s="37">
        <v>23.341198837890261</v>
      </c>
      <c r="Y187" s="38">
        <v>279937.6209869305</v>
      </c>
      <c r="Z187" s="39">
        <v>5.0466495799079579E-3</v>
      </c>
      <c r="AA187" s="40">
        <v>5.0609585292014656E-3</v>
      </c>
      <c r="AB187" s="40">
        <v>1.4308949293507719E-5</v>
      </c>
      <c r="AC187" s="41">
        <v>0.28166353128888932</v>
      </c>
      <c r="AD187" s="42">
        <v>3378.0706558993688</v>
      </c>
      <c r="AE187" s="39">
        <v>3.7049532750500686E-3</v>
      </c>
      <c r="AF187" s="40">
        <v>3.7129054070223996E-3</v>
      </c>
      <c r="AG187" s="40">
        <v>7.9521319723309392E-6</v>
      </c>
      <c r="AH187" s="41">
        <v>0.10224048577573655</v>
      </c>
      <c r="AI187" s="42">
        <v>1226.1991577804818</v>
      </c>
      <c r="AJ187" s="41">
        <v>23.725102854954887</v>
      </c>
      <c r="AK187" s="30">
        <v>284541.89080061036</v>
      </c>
      <c r="AL187" s="43">
        <f>+$AL$6*W187/H187*10^6</f>
        <v>66.678998115167246</v>
      </c>
      <c r="AM187" s="30">
        <v>4603608.5</v>
      </c>
      <c r="AN187" s="44">
        <v>6.1808446743594807E-2</v>
      </c>
      <c r="AP187" s="32"/>
      <c r="AR187" s="32"/>
    </row>
    <row r="188" spans="1:44">
      <c r="A188" s="5" t="s">
        <v>1001</v>
      </c>
      <c r="B188" s="5" t="s">
        <v>1089</v>
      </c>
      <c r="C188" s="5" t="s">
        <v>1902</v>
      </c>
      <c r="D188" s="29" t="s">
        <v>1903</v>
      </c>
      <c r="E188" s="5" t="s">
        <v>1513</v>
      </c>
      <c r="F188" s="30" t="s">
        <v>1148</v>
      </c>
      <c r="G188" s="5" t="s">
        <v>971</v>
      </c>
      <c r="H188" s="31">
        <v>53.28</v>
      </c>
      <c r="I188" s="32">
        <v>905.23699999999997</v>
      </c>
      <c r="J188" s="32">
        <v>904.83799999999997</v>
      </c>
      <c r="K188" s="33">
        <v>1</v>
      </c>
      <c r="L188" s="33">
        <v>1</v>
      </c>
      <c r="M188" s="6">
        <v>0.5</v>
      </c>
      <c r="N188" s="6">
        <v>0.5</v>
      </c>
      <c r="O188" s="6">
        <v>0.5</v>
      </c>
      <c r="P188" s="6">
        <v>0.5</v>
      </c>
      <c r="Q188" s="34">
        <v>905.23699999999997</v>
      </c>
      <c r="R188" s="34">
        <v>904.83799999999997</v>
      </c>
      <c r="S188" s="34">
        <v>48231.02736</v>
      </c>
      <c r="T188" s="34">
        <v>48209.768640000002</v>
      </c>
      <c r="U188" s="35">
        <v>2.6193236129140283E-3</v>
      </c>
      <c r="V188" s="36">
        <v>2.6275937957128065E-3</v>
      </c>
      <c r="W188" s="36">
        <v>8.2701827987781765E-6</v>
      </c>
      <c r="X188" s="37">
        <v>17.360303568286373</v>
      </c>
      <c r="Y188" s="38">
        <v>325831.5234287983</v>
      </c>
      <c r="Z188" s="39">
        <v>2.4502118599094872E-3</v>
      </c>
      <c r="AA188" s="40">
        <v>2.4587347083212859E-3</v>
      </c>
      <c r="AB188" s="40">
        <v>8.5228484117986711E-6</v>
      </c>
      <c r="AC188" s="41">
        <v>0.16776742520125559</v>
      </c>
      <c r="AD188" s="42">
        <v>3148.7880105340764</v>
      </c>
      <c r="AE188" s="39">
        <v>2.8135099208823756E-3</v>
      </c>
      <c r="AF188" s="40">
        <v>2.8213567609692001E-3</v>
      </c>
      <c r="AG188" s="40">
        <v>7.8468400868244789E-6</v>
      </c>
      <c r="AH188" s="41">
        <v>0.10088674899673435</v>
      </c>
      <c r="AI188" s="42">
        <v>1893.5200637525213</v>
      </c>
      <c r="AJ188" s="41">
        <v>17.628957742484364</v>
      </c>
      <c r="AK188" s="30">
        <v>330873.83150308492</v>
      </c>
      <c r="AL188" s="43">
        <f>+$AL$6*W188/H188*10^6</f>
        <v>77.610574312858262</v>
      </c>
      <c r="AM188" s="30">
        <v>5430613</v>
      </c>
      <c r="AN188" s="44">
        <v>6.0927529084301331E-2</v>
      </c>
      <c r="AP188" s="32"/>
      <c r="AR188" s="32"/>
    </row>
    <row r="189" spans="1:44">
      <c r="A189" s="5" t="s">
        <v>1457</v>
      </c>
      <c r="B189" s="5" t="s">
        <v>1452</v>
      </c>
      <c r="C189" s="5" t="s">
        <v>1913</v>
      </c>
      <c r="D189" s="29" t="s">
        <v>1914</v>
      </c>
      <c r="E189" s="5" t="s">
        <v>784</v>
      </c>
      <c r="F189" s="30" t="s">
        <v>1151</v>
      </c>
      <c r="G189" s="5" t="s">
        <v>969</v>
      </c>
      <c r="H189" s="31">
        <v>73.72</v>
      </c>
      <c r="I189" s="32">
        <v>310.93599999999998</v>
      </c>
      <c r="J189" s="32">
        <v>311.74590000000001</v>
      </c>
      <c r="K189" s="33">
        <v>1</v>
      </c>
      <c r="L189" s="33">
        <v>1</v>
      </c>
      <c r="M189" s="6">
        <v>1</v>
      </c>
      <c r="N189" s="6">
        <v>1</v>
      </c>
      <c r="O189" s="6">
        <v>0</v>
      </c>
      <c r="P189" s="6">
        <v>0</v>
      </c>
      <c r="Q189" s="34">
        <v>310.93599999999998</v>
      </c>
      <c r="R189" s="34">
        <v>311.74590000000001</v>
      </c>
      <c r="S189" s="34">
        <v>22922.20192</v>
      </c>
      <c r="T189" s="34">
        <v>22981.907748000001</v>
      </c>
      <c r="U189" s="35">
        <v>1.2448556051043917E-3</v>
      </c>
      <c r="V189" s="36">
        <v>1.2525909149911424E-3</v>
      </c>
      <c r="W189" s="36">
        <v>7.7353098867506253E-6</v>
      </c>
      <c r="X189" s="37">
        <v>16.237528371029132</v>
      </c>
      <c r="Y189" s="38">
        <v>220259.47329122532</v>
      </c>
      <c r="Z189" s="39">
        <v>2.3289676407019012E-3</v>
      </c>
      <c r="AA189" s="40">
        <v>2.3441893971904151E-3</v>
      </c>
      <c r="AB189" s="40">
        <v>1.5221756488513916E-5</v>
      </c>
      <c r="AC189" s="41">
        <v>0.29963162193325305</v>
      </c>
      <c r="AD189" s="42">
        <v>4064.454990955684</v>
      </c>
      <c r="AE189" s="39">
        <v>0</v>
      </c>
      <c r="AF189" s="40">
        <v>0</v>
      </c>
      <c r="AG189" s="40">
        <v>0</v>
      </c>
      <c r="AH189" s="41">
        <v>0</v>
      </c>
      <c r="AI189" s="42">
        <v>0</v>
      </c>
      <c r="AJ189" s="41">
        <v>16.537159992962383</v>
      </c>
      <c r="AK189" s="30">
        <v>224323.928282181</v>
      </c>
      <c r="AL189" s="43">
        <f>+$AL$6*W189/H189*10^6</f>
        <v>52.464120230267397</v>
      </c>
      <c r="AM189" s="30">
        <v>3683565.25</v>
      </c>
      <c r="AN189" s="44">
        <v>6.0898589561344411E-2</v>
      </c>
      <c r="AP189" s="32"/>
      <c r="AR189" s="32"/>
    </row>
    <row r="190" spans="1:44">
      <c r="A190" s="5" t="s">
        <v>1194</v>
      </c>
      <c r="B190" s="5" t="s">
        <v>364</v>
      </c>
      <c r="C190" s="5" t="s">
        <v>1929</v>
      </c>
      <c r="D190" s="29" t="s">
        <v>1930</v>
      </c>
      <c r="E190" s="5" t="s">
        <v>719</v>
      </c>
      <c r="F190" s="30" t="s">
        <v>1148</v>
      </c>
      <c r="G190" s="5" t="s">
        <v>969</v>
      </c>
      <c r="H190" s="31">
        <v>145.38</v>
      </c>
      <c r="I190" s="32">
        <v>214.76499999999999</v>
      </c>
      <c r="J190" s="32">
        <v>214.98249999999999</v>
      </c>
      <c r="K190" s="33">
        <v>0.9</v>
      </c>
      <c r="L190" s="33">
        <v>0.9</v>
      </c>
      <c r="M190" s="6">
        <v>0.71</v>
      </c>
      <c r="N190" s="6">
        <v>0.71</v>
      </c>
      <c r="O190" s="6">
        <v>0.28999999999999998</v>
      </c>
      <c r="P190" s="6">
        <v>0.28999999999999998</v>
      </c>
      <c r="Q190" s="34">
        <v>193.2885</v>
      </c>
      <c r="R190" s="34">
        <v>193.48425</v>
      </c>
      <c r="S190" s="34">
        <v>28100.28213</v>
      </c>
      <c r="T190" s="34">
        <v>28128.740265</v>
      </c>
      <c r="U190" s="35">
        <v>1.5260660313799938E-3</v>
      </c>
      <c r="V190" s="36">
        <v>1.5331105186056956E-3</v>
      </c>
      <c r="W190" s="36">
        <v>7.0444872257017285E-6</v>
      </c>
      <c r="X190" s="37">
        <v>14.787392213285186</v>
      </c>
      <c r="Y190" s="38">
        <v>101715.45063478599</v>
      </c>
      <c r="Z190" s="39">
        <v>2.0271045549060569E-3</v>
      </c>
      <c r="AA190" s="40">
        <v>2.0371136173760358E-3</v>
      </c>
      <c r="AB190" s="40">
        <v>1.0009062469978902E-5</v>
      </c>
      <c r="AC190" s="41">
        <v>0.19702270392868587</v>
      </c>
      <c r="AD190" s="42">
        <v>1355.2256426515744</v>
      </c>
      <c r="AE190" s="39">
        <v>9.5073747316425116E-4</v>
      </c>
      <c r="AF190" s="40">
        <v>9.5477543208634028E-4</v>
      </c>
      <c r="AG190" s="40">
        <v>4.0379589220891155E-6</v>
      </c>
      <c r="AH190" s="41">
        <v>5.1915999781357712E-2</v>
      </c>
      <c r="AI190" s="42">
        <v>357.10551507330933</v>
      </c>
      <c r="AJ190" s="41">
        <v>15.03633091699523</v>
      </c>
      <c r="AK190" s="30">
        <v>103427.78179251088</v>
      </c>
      <c r="AL190" s="43">
        <f>+$AL$6*W190/H190*10^6</f>
        <v>24.227841607173371</v>
      </c>
      <c r="AM190" s="30">
        <v>1714040.125</v>
      </c>
      <c r="AN190" s="44">
        <v>6.0341517263203442E-2</v>
      </c>
      <c r="AP190" s="32"/>
      <c r="AR190" s="32"/>
    </row>
    <row r="191" spans="1:44">
      <c r="A191" s="5" t="s">
        <v>1387</v>
      </c>
      <c r="B191" s="5" t="s">
        <v>1361</v>
      </c>
      <c r="C191" s="5" t="s">
        <v>1967</v>
      </c>
      <c r="D191" s="29" t="s">
        <v>1397</v>
      </c>
      <c r="E191" s="5" t="s">
        <v>1372</v>
      </c>
      <c r="F191" s="30" t="s">
        <v>1164</v>
      </c>
      <c r="G191" s="5" t="s">
        <v>969</v>
      </c>
      <c r="H191" s="31">
        <v>61.64</v>
      </c>
      <c r="I191" s="32">
        <v>264.71899999999999</v>
      </c>
      <c r="J191" s="32">
        <v>265.35300000000001</v>
      </c>
      <c r="K191" s="33">
        <v>1</v>
      </c>
      <c r="L191" s="33">
        <v>1</v>
      </c>
      <c r="M191" s="6">
        <v>0</v>
      </c>
      <c r="N191" s="6">
        <v>0</v>
      </c>
      <c r="O191" s="6">
        <v>1</v>
      </c>
      <c r="P191" s="6">
        <v>1</v>
      </c>
      <c r="Q191" s="34">
        <v>264.71899999999999</v>
      </c>
      <c r="R191" s="34">
        <v>265.35300000000001</v>
      </c>
      <c r="S191" s="34">
        <v>16317.27916</v>
      </c>
      <c r="T191" s="34">
        <v>16356.358920000001</v>
      </c>
      <c r="U191" s="35">
        <v>8.8615642132774128E-4</v>
      </c>
      <c r="V191" s="36">
        <v>8.9147632173004797E-4</v>
      </c>
      <c r="W191" s="36">
        <v>5.3199004023066904E-6</v>
      </c>
      <c r="X191" s="37">
        <v>11.167236345820234</v>
      </c>
      <c r="Y191" s="38">
        <v>181168.66232673966</v>
      </c>
      <c r="Z191" s="39">
        <v>0</v>
      </c>
      <c r="AA191" s="40">
        <v>0</v>
      </c>
      <c r="AB191" s="40">
        <v>0</v>
      </c>
      <c r="AC191" s="41">
        <v>0</v>
      </c>
      <c r="AD191" s="42">
        <v>0</v>
      </c>
      <c r="AE191" s="39">
        <v>1.9037051172806384E-3</v>
      </c>
      <c r="AF191" s="40">
        <v>1.9144304204560018E-3</v>
      </c>
      <c r="AG191" s="40">
        <v>1.0725303175363344E-5</v>
      </c>
      <c r="AH191" s="41">
        <v>0.13789512178075347</v>
      </c>
      <c r="AI191" s="42">
        <v>2237.1045065015164</v>
      </c>
      <c r="AJ191" s="41">
        <v>11.305131467600987</v>
      </c>
      <c r="AK191" s="30">
        <v>183405.76683324118</v>
      </c>
      <c r="AL191" s="43">
        <f>+$AL$6*W191/H191*10^6</f>
        <v>43.152988337984183</v>
      </c>
      <c r="AM191" s="30">
        <v>3051311.75</v>
      </c>
      <c r="AN191" s="44">
        <v>6.0107187288627975E-2</v>
      </c>
      <c r="AP191" s="32"/>
      <c r="AR191" s="32"/>
    </row>
    <row r="192" spans="1:44">
      <c r="A192" s="5" t="s">
        <v>256</v>
      </c>
      <c r="B192" s="5" t="s">
        <v>556</v>
      </c>
      <c r="C192" s="5" t="s">
        <v>2186</v>
      </c>
      <c r="D192" s="29" t="s">
        <v>2187</v>
      </c>
      <c r="E192" s="5" t="s">
        <v>86</v>
      </c>
      <c r="F192" s="30" t="s">
        <v>1154</v>
      </c>
      <c r="G192" s="5" t="s">
        <v>969</v>
      </c>
      <c r="H192" s="31">
        <v>63.77</v>
      </c>
      <c r="I192" s="32">
        <v>110.749</v>
      </c>
      <c r="J192" s="32">
        <v>110.8137</v>
      </c>
      <c r="K192" s="33">
        <v>1</v>
      </c>
      <c r="L192" s="33">
        <v>1</v>
      </c>
      <c r="M192" s="6">
        <v>0</v>
      </c>
      <c r="N192" s="6">
        <v>0</v>
      </c>
      <c r="O192" s="6">
        <v>1</v>
      </c>
      <c r="P192" s="6">
        <v>1</v>
      </c>
      <c r="Q192" s="34">
        <v>110.749</v>
      </c>
      <c r="R192" s="34">
        <v>110.8137</v>
      </c>
      <c r="S192" s="34">
        <v>7062.4637300000004</v>
      </c>
      <c r="T192" s="34">
        <v>7066.5896490000005</v>
      </c>
      <c r="U192" s="35">
        <v>3.8354725217153006E-4</v>
      </c>
      <c r="V192" s="36">
        <v>3.8515279459679108E-4</v>
      </c>
      <c r="W192" s="36">
        <v>1.605542425261021E-6</v>
      </c>
      <c r="X192" s="37">
        <v>3.370264548253024</v>
      </c>
      <c r="Y192" s="38">
        <v>52850.314383770172</v>
      </c>
      <c r="Z192" s="39">
        <v>0</v>
      </c>
      <c r="AA192" s="40">
        <v>0</v>
      </c>
      <c r="AB192" s="40">
        <v>0</v>
      </c>
      <c r="AC192" s="41">
        <v>0</v>
      </c>
      <c r="AD192" s="42">
        <v>0</v>
      </c>
      <c r="AE192" s="39">
        <v>8.2396386135063864E-4</v>
      </c>
      <c r="AF192" s="40">
        <v>8.2710915424966103E-4</v>
      </c>
      <c r="AG192" s="40">
        <v>3.1452928990223896E-6</v>
      </c>
      <c r="AH192" s="41">
        <v>4.0439001141069214E-2</v>
      </c>
      <c r="AI192" s="42">
        <v>634.13832744345632</v>
      </c>
      <c r="AJ192" s="41">
        <v>3.4107035493940931</v>
      </c>
      <c r="AK192" s="30">
        <v>53484.452711213627</v>
      </c>
      <c r="AL192" s="43">
        <f>+$AL$6*W192/H192*10^6</f>
        <v>12.588540263925209</v>
      </c>
      <c r="AM192" s="30">
        <v>895016.1875</v>
      </c>
      <c r="AN192" s="44">
        <v>5.9758084220363474E-2</v>
      </c>
      <c r="AP192" s="32"/>
      <c r="AR192" s="32"/>
    </row>
    <row r="193" spans="1:44">
      <c r="A193" s="5" t="s">
        <v>1261</v>
      </c>
      <c r="B193" s="5" t="s">
        <v>434</v>
      </c>
      <c r="C193" s="5" t="s">
        <v>2039</v>
      </c>
      <c r="D193" s="29" t="s">
        <v>2040</v>
      </c>
      <c r="E193" s="5" t="s">
        <v>777</v>
      </c>
      <c r="F193" s="30" t="s">
        <v>1154</v>
      </c>
      <c r="G193" s="5" t="s">
        <v>969</v>
      </c>
      <c r="H193" s="31">
        <v>60.69</v>
      </c>
      <c r="I193" s="32">
        <v>325.81099999999998</v>
      </c>
      <c r="J193" s="32">
        <v>325.81119999999999</v>
      </c>
      <c r="K193" s="33">
        <v>1</v>
      </c>
      <c r="L193" s="33">
        <v>1</v>
      </c>
      <c r="M193" s="6">
        <v>0.44</v>
      </c>
      <c r="N193" s="6">
        <v>0.44</v>
      </c>
      <c r="O193" s="6">
        <v>0.56000000000000005</v>
      </c>
      <c r="P193" s="6">
        <v>0.56000000000000005</v>
      </c>
      <c r="Q193" s="34">
        <v>325.81099999999998</v>
      </c>
      <c r="R193" s="34">
        <v>325.81119999999999</v>
      </c>
      <c r="S193" s="34">
        <v>19773.469589999997</v>
      </c>
      <c r="T193" s="34">
        <v>19773.481727999999</v>
      </c>
      <c r="U193" s="35">
        <v>1.073854708085249E-3</v>
      </c>
      <c r="V193" s="36">
        <v>1.0777209551888307E-3</v>
      </c>
      <c r="W193" s="36">
        <v>3.866247103581676E-6</v>
      </c>
      <c r="X193" s="37">
        <v>8.1158089272345855</v>
      </c>
      <c r="Y193" s="38">
        <v>133725.63729172162</v>
      </c>
      <c r="Z193" s="39">
        <v>8.8398048456706706E-4</v>
      </c>
      <c r="AA193" s="40">
        <v>8.8744703690640889E-4</v>
      </c>
      <c r="AB193" s="40">
        <v>3.4665523393418362E-6</v>
      </c>
      <c r="AC193" s="41">
        <v>6.8237111842991582E-2</v>
      </c>
      <c r="AD193" s="42">
        <v>1124.355113577057</v>
      </c>
      <c r="AE193" s="39">
        <v>1.2918819816974075E-3</v>
      </c>
      <c r="AF193" s="40">
        <v>1.2960570790355279E-3</v>
      </c>
      <c r="AG193" s="40">
        <v>4.1750973381203451E-6</v>
      </c>
      <c r="AH193" s="41">
        <v>5.3679187102988406E-2</v>
      </c>
      <c r="AI193" s="42">
        <v>884.48158021071697</v>
      </c>
      <c r="AJ193" s="41">
        <v>8.2377252261805651</v>
      </c>
      <c r="AK193" s="30">
        <v>135734.47398550939</v>
      </c>
      <c r="AL193" s="43">
        <f>+$AL$6*W193/H193*10^6</f>
        <v>31.852422998695634</v>
      </c>
      <c r="AM193" s="30">
        <v>2276947.5</v>
      </c>
      <c r="AN193" s="44">
        <v>5.9612474150374302E-2</v>
      </c>
      <c r="AP193" s="32"/>
      <c r="AR193" s="32"/>
    </row>
    <row r="194" spans="1:44">
      <c r="A194" s="5" t="s">
        <v>1238</v>
      </c>
      <c r="B194" s="5" t="s">
        <v>411</v>
      </c>
      <c r="C194" s="5" t="s">
        <v>1955</v>
      </c>
      <c r="D194" s="29" t="s">
        <v>1956</v>
      </c>
      <c r="E194" s="5" t="s">
        <v>757</v>
      </c>
      <c r="F194" s="30" t="s">
        <v>1167</v>
      </c>
      <c r="G194" s="5" t="s">
        <v>969</v>
      </c>
      <c r="H194" s="31">
        <v>29.52</v>
      </c>
      <c r="I194" s="32">
        <v>987.98099999999999</v>
      </c>
      <c r="J194" s="32">
        <v>987.98140000000001</v>
      </c>
      <c r="K194" s="33">
        <v>1</v>
      </c>
      <c r="L194" s="33">
        <v>1</v>
      </c>
      <c r="M194" s="6">
        <v>1</v>
      </c>
      <c r="N194" s="6">
        <v>1</v>
      </c>
      <c r="O194" s="6">
        <v>0</v>
      </c>
      <c r="P194" s="6">
        <v>0</v>
      </c>
      <c r="Q194" s="34">
        <v>987.98099999999999</v>
      </c>
      <c r="R194" s="34">
        <v>987.98140000000001</v>
      </c>
      <c r="S194" s="34">
        <v>29165.199120000001</v>
      </c>
      <c r="T194" s="34">
        <v>29165.210928</v>
      </c>
      <c r="U194" s="35">
        <v>1.5838993882537824E-3</v>
      </c>
      <c r="V194" s="36">
        <v>1.5896016398113156E-3</v>
      </c>
      <c r="W194" s="36">
        <v>5.702251557533275E-6</v>
      </c>
      <c r="X194" s="37">
        <v>11.969846431464186</v>
      </c>
      <c r="Y194" s="38">
        <v>405482.60269187618</v>
      </c>
      <c r="Z194" s="39">
        <v>2.9632757455924012E-3</v>
      </c>
      <c r="AA194" s="40">
        <v>2.9748956863770116E-3</v>
      </c>
      <c r="AB194" s="40">
        <v>1.161994078461041E-5</v>
      </c>
      <c r="AC194" s="41">
        <v>0.22873192766474804</v>
      </c>
      <c r="AD194" s="42">
        <v>7748.3715333586733</v>
      </c>
      <c r="AE194" s="39">
        <v>0</v>
      </c>
      <c r="AF194" s="40">
        <v>0</v>
      </c>
      <c r="AG194" s="40">
        <v>0</v>
      </c>
      <c r="AH194" s="41">
        <v>0</v>
      </c>
      <c r="AI194" s="42">
        <v>0</v>
      </c>
      <c r="AJ194" s="41">
        <v>12.198578359128934</v>
      </c>
      <c r="AK194" s="30">
        <v>413230.97422523482</v>
      </c>
      <c r="AL194" s="43">
        <f>+$AL$6*W194/H194*10^6</f>
        <v>96.582851584235684</v>
      </c>
      <c r="AM194" s="30">
        <v>7032742</v>
      </c>
      <c r="AN194" s="44">
        <v>5.8758159225126533E-2</v>
      </c>
      <c r="AP194" s="32"/>
      <c r="AR194" s="32"/>
    </row>
    <row r="195" spans="1:44">
      <c r="A195" s="5" t="s">
        <v>1244</v>
      </c>
      <c r="B195" s="5" t="s">
        <v>417</v>
      </c>
      <c r="C195" s="5" t="s">
        <v>1947</v>
      </c>
      <c r="D195" s="29" t="s">
        <v>1948</v>
      </c>
      <c r="E195" s="5" t="s">
        <v>762</v>
      </c>
      <c r="F195" s="30" t="s">
        <v>1164</v>
      </c>
      <c r="G195" s="5" t="s">
        <v>969</v>
      </c>
      <c r="H195" s="31">
        <v>93.64</v>
      </c>
      <c r="I195" s="32">
        <v>333.87099999999998</v>
      </c>
      <c r="J195" s="32">
        <v>333.87139999999999</v>
      </c>
      <c r="K195" s="33">
        <v>1</v>
      </c>
      <c r="L195" s="33">
        <v>1</v>
      </c>
      <c r="M195" s="6">
        <v>0</v>
      </c>
      <c r="N195" s="6">
        <v>0</v>
      </c>
      <c r="O195" s="6">
        <v>1</v>
      </c>
      <c r="P195" s="6">
        <v>1</v>
      </c>
      <c r="Q195" s="34">
        <v>333.87099999999998</v>
      </c>
      <c r="R195" s="34">
        <v>333.87139999999999</v>
      </c>
      <c r="S195" s="34">
        <v>31263.68044</v>
      </c>
      <c r="T195" s="34">
        <v>31263.717895999998</v>
      </c>
      <c r="U195" s="35">
        <v>1.6978634063060613E-3</v>
      </c>
      <c r="V195" s="36">
        <v>1.703977295304544E-3</v>
      </c>
      <c r="W195" s="36">
        <v>6.1138889984827666E-6</v>
      </c>
      <c r="X195" s="37">
        <v>12.833932644408776</v>
      </c>
      <c r="Y195" s="38">
        <v>137056.09402401512</v>
      </c>
      <c r="Z195" s="39">
        <v>0</v>
      </c>
      <c r="AA195" s="40">
        <v>0</v>
      </c>
      <c r="AB195" s="40">
        <v>0</v>
      </c>
      <c r="AC195" s="41">
        <v>0</v>
      </c>
      <c r="AD195" s="42">
        <v>0</v>
      </c>
      <c r="AE195" s="39">
        <v>3.6474725874981353E-3</v>
      </c>
      <c r="AF195" s="40">
        <v>3.6592626078577823E-3</v>
      </c>
      <c r="AG195" s="40">
        <v>1.1790020359646932E-5</v>
      </c>
      <c r="AH195" s="41">
        <v>0.15158418057827994</v>
      </c>
      <c r="AI195" s="42">
        <v>1618.7973150179403</v>
      </c>
      <c r="AJ195" s="41">
        <v>12.985516824987055</v>
      </c>
      <c r="AK195" s="30">
        <v>138674.89133903306</v>
      </c>
      <c r="AL195" s="43">
        <f>+$AL$6*W195/H195*10^6</f>
        <v>32.645712294333435</v>
      </c>
      <c r="AM195" s="30">
        <v>2378040.25</v>
      </c>
      <c r="AN195" s="44">
        <v>5.831477887686428E-2</v>
      </c>
      <c r="AP195" s="32"/>
      <c r="AR195" s="32"/>
    </row>
    <row r="196" spans="1:44">
      <c r="A196" s="5" t="s">
        <v>1611</v>
      </c>
      <c r="B196" s="5" t="s">
        <v>1593</v>
      </c>
      <c r="C196" s="5" t="s">
        <v>2036</v>
      </c>
      <c r="D196" s="29" t="s">
        <v>1546</v>
      </c>
      <c r="E196" s="5" t="s">
        <v>1547</v>
      </c>
      <c r="F196" s="30" t="s">
        <v>1159</v>
      </c>
      <c r="G196" s="5" t="s">
        <v>969</v>
      </c>
      <c r="H196" s="31">
        <v>81.099999999999994</v>
      </c>
      <c r="I196" s="32">
        <v>291.964</v>
      </c>
      <c r="J196" s="32">
        <v>291.96449999999999</v>
      </c>
      <c r="K196" s="33">
        <v>0.84</v>
      </c>
      <c r="L196" s="33">
        <v>0.84</v>
      </c>
      <c r="M196" s="6">
        <v>0.7</v>
      </c>
      <c r="N196" s="6">
        <v>0.7</v>
      </c>
      <c r="O196" s="6">
        <v>0.3</v>
      </c>
      <c r="P196" s="6">
        <v>0.3</v>
      </c>
      <c r="Q196" s="34">
        <v>245.24975999999998</v>
      </c>
      <c r="R196" s="34">
        <v>245.25017999999997</v>
      </c>
      <c r="S196" s="34">
        <v>19889.755535999997</v>
      </c>
      <c r="T196" s="34">
        <v>19889.789597999996</v>
      </c>
      <c r="U196" s="35">
        <v>1.0801699483129631E-3</v>
      </c>
      <c r="V196" s="36">
        <v>1.0840601234990267E-3</v>
      </c>
      <c r="W196" s="36">
        <v>3.8901751860636723E-6</v>
      </c>
      <c r="X196" s="37">
        <v>8.1660374150203463</v>
      </c>
      <c r="Y196" s="38">
        <v>100690.96689297592</v>
      </c>
      <c r="Z196" s="39">
        <v>1.4146031009821434E-3</v>
      </c>
      <c r="AA196" s="40">
        <v>1.4201520639393463E-3</v>
      </c>
      <c r="AB196" s="40">
        <v>5.548962957202877E-6</v>
      </c>
      <c r="AC196" s="41">
        <v>0.10922818087182266</v>
      </c>
      <c r="AD196" s="42">
        <v>1346.8333029817838</v>
      </c>
      <c r="AE196" s="39">
        <v>6.9614968937034658E-4</v>
      </c>
      <c r="AF196" s="40">
        <v>6.9840026956709516E-4</v>
      </c>
      <c r="AG196" s="40">
        <v>2.250580196748583E-6</v>
      </c>
      <c r="AH196" s="41">
        <v>2.8935688365516469E-2</v>
      </c>
      <c r="AI196" s="42">
        <v>356.79023878565317</v>
      </c>
      <c r="AJ196" s="41">
        <v>8.3042012842576849</v>
      </c>
      <c r="AK196" s="30">
        <v>102394.59043474337</v>
      </c>
      <c r="AL196" s="43">
        <f>+$AL$6*W196/H196*10^6</f>
        <v>23.983817423327206</v>
      </c>
      <c r="AM196" s="30">
        <v>1787930.25</v>
      </c>
      <c r="AN196" s="44">
        <v>5.7269902131105714E-2</v>
      </c>
      <c r="AP196" s="32"/>
      <c r="AR196" s="32"/>
    </row>
    <row r="197" spans="1:44">
      <c r="A197" s="5" t="s">
        <v>856</v>
      </c>
      <c r="B197" s="5" t="s">
        <v>1137</v>
      </c>
      <c r="C197" s="5" t="s">
        <v>1806</v>
      </c>
      <c r="D197" s="29" t="s">
        <v>1807</v>
      </c>
      <c r="E197" s="5" t="s">
        <v>1062</v>
      </c>
      <c r="F197" s="30" t="s">
        <v>1164</v>
      </c>
      <c r="G197" s="5" t="s">
        <v>969</v>
      </c>
      <c r="H197" s="31">
        <v>98.69</v>
      </c>
      <c r="I197" s="32">
        <v>890.202</v>
      </c>
      <c r="J197" s="32">
        <v>890.59769999999992</v>
      </c>
      <c r="K197" s="33">
        <v>0.93</v>
      </c>
      <c r="L197" s="33">
        <v>0.93</v>
      </c>
      <c r="M197" s="6">
        <v>0</v>
      </c>
      <c r="N197" s="6">
        <v>0</v>
      </c>
      <c r="O197" s="6">
        <v>1</v>
      </c>
      <c r="P197" s="6">
        <v>1</v>
      </c>
      <c r="Q197" s="34">
        <v>827.88786000000005</v>
      </c>
      <c r="R197" s="34">
        <v>828.25586099999998</v>
      </c>
      <c r="S197" s="34">
        <v>81704.252903400004</v>
      </c>
      <c r="T197" s="34">
        <v>81740.570922090003</v>
      </c>
      <c r="U197" s="35">
        <v>4.4371826730537876E-3</v>
      </c>
      <c r="V197" s="36">
        <v>4.4551347801885305E-3</v>
      </c>
      <c r="W197" s="36">
        <v>1.7952107134742816E-5</v>
      </c>
      <c r="X197" s="37">
        <v>37.684055737628704</v>
      </c>
      <c r="Y197" s="38">
        <v>381842.69670309761</v>
      </c>
      <c r="Z197" s="39">
        <v>0</v>
      </c>
      <c r="AA197" s="40">
        <v>0</v>
      </c>
      <c r="AB197" s="40">
        <v>0</v>
      </c>
      <c r="AC197" s="41">
        <v>0</v>
      </c>
      <c r="AD197" s="42">
        <v>0</v>
      </c>
      <c r="AE197" s="39">
        <v>9.532275744664899E-3</v>
      </c>
      <c r="AF197" s="40">
        <v>9.5673270759144228E-3</v>
      </c>
      <c r="AG197" s="40">
        <v>3.5051331249523823E-5</v>
      </c>
      <c r="AH197" s="41">
        <v>0.45065463532380512</v>
      </c>
      <c r="AI197" s="42">
        <v>4566.3657444908813</v>
      </c>
      <c r="AJ197" s="41">
        <v>38.134710372952512</v>
      </c>
      <c r="AK197" s="30">
        <v>386409.06244758848</v>
      </c>
      <c r="AL197" s="43">
        <f>+$AL$6*W197/H197*10^6</f>
        <v>90.95200696495499</v>
      </c>
      <c r="AM197" s="30">
        <v>6829711.5</v>
      </c>
      <c r="AN197" s="44">
        <v>5.6577655212462268E-2</v>
      </c>
      <c r="AP197" s="32"/>
      <c r="AR197" s="32"/>
    </row>
    <row r="198" spans="1:44">
      <c r="A198" s="5" t="s">
        <v>1388</v>
      </c>
      <c r="B198" s="5" t="s">
        <v>1362</v>
      </c>
      <c r="C198" s="5" t="s">
        <v>2006</v>
      </c>
      <c r="D198" s="29" t="s">
        <v>1398</v>
      </c>
      <c r="E198" s="5" t="s">
        <v>1374</v>
      </c>
      <c r="F198" s="30" t="s">
        <v>1153</v>
      </c>
      <c r="G198" s="5" t="s">
        <v>969</v>
      </c>
      <c r="H198" s="31">
        <v>84.87</v>
      </c>
      <c r="I198" s="32">
        <v>202.536</v>
      </c>
      <c r="J198" s="32">
        <v>202.73919999999998</v>
      </c>
      <c r="K198" s="33">
        <v>1</v>
      </c>
      <c r="L198" s="33">
        <v>1</v>
      </c>
      <c r="M198" s="6">
        <v>1</v>
      </c>
      <c r="N198" s="6">
        <v>1</v>
      </c>
      <c r="O198" s="6">
        <v>0</v>
      </c>
      <c r="P198" s="6">
        <v>0</v>
      </c>
      <c r="Q198" s="34">
        <v>202.536</v>
      </c>
      <c r="R198" s="34">
        <v>202.73919999999998</v>
      </c>
      <c r="S198" s="34">
        <v>17189.230320000002</v>
      </c>
      <c r="T198" s="34">
        <v>17206.475903999999</v>
      </c>
      <c r="U198" s="35">
        <v>9.3351021799577445E-4</v>
      </c>
      <c r="V198" s="36">
        <v>9.3781054352374291E-4</v>
      </c>
      <c r="W198" s="36">
        <v>4.3003255279684552E-6</v>
      </c>
      <c r="X198" s="37">
        <v>9.0270019931135206</v>
      </c>
      <c r="Y198" s="38">
        <v>106362.69580668693</v>
      </c>
      <c r="Z198" s="39">
        <v>1.7464797371373993E-3</v>
      </c>
      <c r="AA198" s="40">
        <v>1.7550866020110681E-3</v>
      </c>
      <c r="AB198" s="40">
        <v>8.6068648736687542E-6</v>
      </c>
      <c r="AC198" s="41">
        <v>0.16942124148443041</v>
      </c>
      <c r="AD198" s="42">
        <v>1996.2441555841926</v>
      </c>
      <c r="AE198" s="39">
        <v>0</v>
      </c>
      <c r="AF198" s="40">
        <v>0</v>
      </c>
      <c r="AG198" s="40">
        <v>0</v>
      </c>
      <c r="AH198" s="41">
        <v>0</v>
      </c>
      <c r="AI198" s="42">
        <v>0</v>
      </c>
      <c r="AJ198" s="41">
        <v>9.1964232345979511</v>
      </c>
      <c r="AK198" s="30">
        <v>108358.93996227112</v>
      </c>
      <c r="AL198" s="43">
        <f>+$AL$6*W198/H198*10^6</f>
        <v>25.334779827786349</v>
      </c>
      <c r="AM198" s="30">
        <v>1916413.25</v>
      </c>
      <c r="AN198" s="44">
        <v>5.6542575022517257E-2</v>
      </c>
      <c r="AP198" s="32"/>
      <c r="AR198" s="32"/>
    </row>
    <row r="199" spans="1:44">
      <c r="A199" s="5" t="s">
        <v>240</v>
      </c>
      <c r="B199" s="5" t="s">
        <v>540</v>
      </c>
      <c r="C199" s="5" t="s">
        <v>2165</v>
      </c>
      <c r="D199" s="29" t="s">
        <v>645</v>
      </c>
      <c r="E199" s="5" t="s">
        <v>72</v>
      </c>
      <c r="F199" s="30" t="s">
        <v>1165</v>
      </c>
      <c r="G199" s="5" t="s">
        <v>969</v>
      </c>
      <c r="H199" s="31">
        <v>16.12</v>
      </c>
      <c r="I199" s="32">
        <v>309.10899999999998</v>
      </c>
      <c r="J199" s="32">
        <v>309.99299999999999</v>
      </c>
      <c r="K199" s="33">
        <v>1</v>
      </c>
      <c r="L199" s="33">
        <v>1</v>
      </c>
      <c r="M199" s="6">
        <v>0</v>
      </c>
      <c r="N199" s="6">
        <v>0</v>
      </c>
      <c r="O199" s="6">
        <v>1</v>
      </c>
      <c r="P199" s="6">
        <v>1</v>
      </c>
      <c r="Q199" s="34">
        <v>309.10899999999998</v>
      </c>
      <c r="R199" s="34">
        <v>309.99299999999999</v>
      </c>
      <c r="S199" s="34">
        <v>4982.8370800000002</v>
      </c>
      <c r="T199" s="34">
        <v>4997.08716</v>
      </c>
      <c r="U199" s="35">
        <v>2.7060719079295155E-4</v>
      </c>
      <c r="V199" s="36">
        <v>2.7235798031517223E-4</v>
      </c>
      <c r="W199" s="36">
        <v>1.7507895222206742E-6</v>
      </c>
      <c r="X199" s="37">
        <v>3.6751591022167447</v>
      </c>
      <c r="Y199" s="38">
        <v>227987.53735835882</v>
      </c>
      <c r="Z199" s="39">
        <v>0</v>
      </c>
      <c r="AA199" s="40">
        <v>0</v>
      </c>
      <c r="AB199" s="40">
        <v>0</v>
      </c>
      <c r="AC199" s="41">
        <v>0</v>
      </c>
      <c r="AD199" s="42">
        <v>0</v>
      </c>
      <c r="AE199" s="39">
        <v>5.8133787837774014E-4</v>
      </c>
      <c r="AF199" s="40">
        <v>5.8488418599547871E-4</v>
      </c>
      <c r="AG199" s="40">
        <v>3.5463076177385698E-6</v>
      </c>
      <c r="AH199" s="41">
        <v>4.5594843597836769E-2</v>
      </c>
      <c r="AI199" s="42">
        <v>2828.4642430419831</v>
      </c>
      <c r="AJ199" s="41">
        <v>3.7207539458145815</v>
      </c>
      <c r="AK199" s="30">
        <v>230816.00160140081</v>
      </c>
      <c r="AL199" s="43">
        <f>+$AL$6*W199/H199*10^6</f>
        <v>54.304885924958874</v>
      </c>
      <c r="AM199" s="30">
        <v>4170727</v>
      </c>
      <c r="AN199" s="44">
        <v>5.5341910799100689E-2</v>
      </c>
      <c r="AP199" s="32"/>
      <c r="AR199" s="32"/>
    </row>
    <row r="200" spans="1:44">
      <c r="A200" s="5" t="s">
        <v>830</v>
      </c>
      <c r="B200" s="5" t="s">
        <v>187</v>
      </c>
      <c r="C200" s="5" t="s">
        <v>2160</v>
      </c>
      <c r="D200" s="29" t="s">
        <v>1428</v>
      </c>
      <c r="E200" s="5" t="s">
        <v>1427</v>
      </c>
      <c r="F200" s="30" t="s">
        <v>1166</v>
      </c>
      <c r="G200" s="5" t="s">
        <v>971</v>
      </c>
      <c r="H200" s="31">
        <v>112.33</v>
      </c>
      <c r="I200" s="32">
        <v>82.691999999999993</v>
      </c>
      <c r="J200" s="32">
        <v>82.691670000000002</v>
      </c>
      <c r="K200" s="33">
        <v>1</v>
      </c>
      <c r="L200" s="33">
        <v>1</v>
      </c>
      <c r="M200" s="6">
        <v>0</v>
      </c>
      <c r="N200" s="6">
        <v>0</v>
      </c>
      <c r="O200" s="6">
        <v>1</v>
      </c>
      <c r="P200" s="6">
        <v>1</v>
      </c>
      <c r="Q200" s="34">
        <v>82.691999999999993</v>
      </c>
      <c r="R200" s="34">
        <v>82.691670000000002</v>
      </c>
      <c r="S200" s="34">
        <v>9288.7923599999995</v>
      </c>
      <c r="T200" s="34">
        <v>9288.7552911000002</v>
      </c>
      <c r="U200" s="35">
        <v>5.0445438332465619E-4</v>
      </c>
      <c r="V200" s="36">
        <v>5.0626826183393326E-4</v>
      </c>
      <c r="W200" s="36">
        <v>1.813878509277075E-6</v>
      </c>
      <c r="X200" s="37">
        <v>3.8075919629845401</v>
      </c>
      <c r="Y200" s="38">
        <v>33896.483245656018</v>
      </c>
      <c r="Z200" s="39">
        <v>0</v>
      </c>
      <c r="AA200" s="40">
        <v>0</v>
      </c>
      <c r="AB200" s="40">
        <v>0</v>
      </c>
      <c r="AC200" s="41">
        <v>0</v>
      </c>
      <c r="AD200" s="42">
        <v>0</v>
      </c>
      <c r="AE200" s="39">
        <v>1.0837052780488985E-3</v>
      </c>
      <c r="AF200" s="40">
        <v>1.0872025849047267E-3</v>
      </c>
      <c r="AG200" s="40">
        <v>3.4973068558281657E-6</v>
      </c>
      <c r="AH200" s="41">
        <v>4.4964841264056032E-2</v>
      </c>
      <c r="AI200" s="42">
        <v>400.29236414186801</v>
      </c>
      <c r="AJ200" s="41">
        <v>3.852556804248596</v>
      </c>
      <c r="AK200" s="30">
        <v>34296.775609797885</v>
      </c>
      <c r="AL200" s="43">
        <f>+$AL$6*W200/H200*10^6</f>
        <v>8.0738827974587153</v>
      </c>
      <c r="AM200" s="30">
        <v>622766.8125</v>
      </c>
      <c r="AN200" s="44">
        <v>5.5071617371707467E-2</v>
      </c>
      <c r="AP200" s="32"/>
      <c r="AR200" s="32"/>
    </row>
    <row r="201" spans="1:44">
      <c r="A201" s="5" t="s">
        <v>1174</v>
      </c>
      <c r="B201" s="5" t="s">
        <v>1467</v>
      </c>
      <c r="C201" s="5" t="s">
        <v>2052</v>
      </c>
      <c r="D201" s="29" t="s">
        <v>2053</v>
      </c>
      <c r="E201" s="5" t="s">
        <v>700</v>
      </c>
      <c r="F201" s="30" t="s">
        <v>1152</v>
      </c>
      <c r="G201" s="5" t="s">
        <v>971</v>
      </c>
      <c r="H201" s="31">
        <v>59.74</v>
      </c>
      <c r="I201" s="32">
        <v>313.54199999999997</v>
      </c>
      <c r="J201" s="32">
        <v>313.54169999999999</v>
      </c>
      <c r="K201" s="33">
        <v>1</v>
      </c>
      <c r="L201" s="33">
        <v>1</v>
      </c>
      <c r="M201" s="6">
        <v>0.51</v>
      </c>
      <c r="N201" s="6">
        <v>0.51</v>
      </c>
      <c r="O201" s="6">
        <v>0.49</v>
      </c>
      <c r="P201" s="6">
        <v>0.49</v>
      </c>
      <c r="Q201" s="34">
        <v>313.54199999999997</v>
      </c>
      <c r="R201" s="34">
        <v>313.54169999999999</v>
      </c>
      <c r="S201" s="34">
        <v>18730.999079999998</v>
      </c>
      <c r="T201" s="34">
        <v>18730.981157999999</v>
      </c>
      <c r="U201" s="35">
        <v>1.0172403713797841E-3</v>
      </c>
      <c r="V201" s="36">
        <v>1.0209011838637663E-3</v>
      </c>
      <c r="W201" s="36">
        <v>3.660812483982168E-6</v>
      </c>
      <c r="X201" s="37">
        <v>7.6845721037619779</v>
      </c>
      <c r="Y201" s="38">
        <v>128633.6140569464</v>
      </c>
      <c r="Z201" s="39">
        <v>9.7059542327868607E-4</v>
      </c>
      <c r="AA201" s="40">
        <v>9.7440010788586034E-4</v>
      </c>
      <c r="AB201" s="40">
        <v>3.8046846071742744E-6</v>
      </c>
      <c r="AC201" s="41">
        <v>7.4893053285429806E-2</v>
      </c>
      <c r="AD201" s="42">
        <v>1253.6500382562738</v>
      </c>
      <c r="AE201" s="39">
        <v>1.0708014639484609E-3</v>
      </c>
      <c r="AF201" s="40">
        <v>1.0742603871395759E-3</v>
      </c>
      <c r="AG201" s="40">
        <v>3.4589231911149373E-6</v>
      </c>
      <c r="AH201" s="41">
        <v>4.4471342848814925E-2</v>
      </c>
      <c r="AI201" s="42">
        <v>744.41484514253295</v>
      </c>
      <c r="AJ201" s="41">
        <v>7.8039364998962224</v>
      </c>
      <c r="AK201" s="30">
        <v>130631.67894034521</v>
      </c>
      <c r="AL201" s="43">
        <f>+$AL$6*W201/H201*10^6</f>
        <v>30.639542048729229</v>
      </c>
      <c r="AM201" s="30">
        <v>2379180.5</v>
      </c>
      <c r="AN201" s="44">
        <v>5.4906165774452682E-2</v>
      </c>
      <c r="AP201" s="32"/>
      <c r="AR201" s="32"/>
    </row>
    <row r="202" spans="1:44">
      <c r="A202" s="5" t="s">
        <v>1345</v>
      </c>
      <c r="B202" s="5" t="s">
        <v>515</v>
      </c>
      <c r="C202" s="5" t="s">
        <v>2062</v>
      </c>
      <c r="D202" s="29" t="s">
        <v>2063</v>
      </c>
      <c r="E202" s="5" t="s">
        <v>49</v>
      </c>
      <c r="F202" s="30" t="s">
        <v>1152</v>
      </c>
      <c r="G202" s="5" t="s">
        <v>969</v>
      </c>
      <c r="H202" s="31">
        <v>43.85</v>
      </c>
      <c r="I202" s="32">
        <v>210.32300000000001</v>
      </c>
      <c r="J202" s="32">
        <v>211.0334</v>
      </c>
      <c r="K202" s="33">
        <v>1</v>
      </c>
      <c r="L202" s="33">
        <v>1</v>
      </c>
      <c r="M202" s="6">
        <v>0.62</v>
      </c>
      <c r="N202" s="6">
        <v>0.62</v>
      </c>
      <c r="O202" s="6">
        <v>0.38</v>
      </c>
      <c r="P202" s="6">
        <v>0.38</v>
      </c>
      <c r="Q202" s="34">
        <v>210.32300000000001</v>
      </c>
      <c r="R202" s="34">
        <v>211.0334</v>
      </c>
      <c r="S202" s="34">
        <v>9222.6635500000011</v>
      </c>
      <c r="T202" s="34">
        <v>9253.81459</v>
      </c>
      <c r="U202" s="35">
        <v>5.0086306953749538E-4</v>
      </c>
      <c r="V202" s="36">
        <v>5.0436387664358321E-4</v>
      </c>
      <c r="W202" s="36">
        <v>3.500807106087832E-6</v>
      </c>
      <c r="X202" s="37">
        <v>7.3486977947667249</v>
      </c>
      <c r="Y202" s="38">
        <v>167587.17890003932</v>
      </c>
      <c r="Z202" s="39">
        <v>5.8097196452927731E-4</v>
      </c>
      <c r="AA202" s="40">
        <v>5.8521992410946386E-4</v>
      </c>
      <c r="AB202" s="40">
        <v>4.2479595801865524E-6</v>
      </c>
      <c r="AC202" s="41">
        <v>8.3618669098973461E-2</v>
      </c>
      <c r="AD202" s="42">
        <v>1906.925178995974</v>
      </c>
      <c r="AE202" s="39">
        <v>4.088762603565824E-4</v>
      </c>
      <c r="AF202" s="40">
        <v>4.1158292088977477E-4</v>
      </c>
      <c r="AG202" s="40">
        <v>2.7066605331923762E-6</v>
      </c>
      <c r="AH202" s="41">
        <v>3.4799508950112044E-2</v>
      </c>
      <c r="AI202" s="42">
        <v>793.60339680985271</v>
      </c>
      <c r="AJ202" s="41">
        <v>7.4671159728158099</v>
      </c>
      <c r="AK202" s="30">
        <v>170287.70747584515</v>
      </c>
      <c r="AL202" s="43">
        <f>+$AL$6*W202/H202*10^6</f>
        <v>39.917982965653728</v>
      </c>
      <c r="AM202" s="30">
        <v>3110681.75</v>
      </c>
      <c r="AN202" s="44">
        <v>5.4742889553341528E-2</v>
      </c>
      <c r="AP202" s="32"/>
      <c r="AR202" s="32"/>
    </row>
    <row r="203" spans="1:44">
      <c r="A203" s="5" t="s">
        <v>995</v>
      </c>
      <c r="B203" s="5" t="s">
        <v>1085</v>
      </c>
      <c r="C203" s="5" t="s">
        <v>1828</v>
      </c>
      <c r="D203" s="29" t="s">
        <v>1829</v>
      </c>
      <c r="E203" s="5" t="s">
        <v>882</v>
      </c>
      <c r="F203" s="30" t="s">
        <v>1160</v>
      </c>
      <c r="G203" s="5" t="s">
        <v>969</v>
      </c>
      <c r="H203" s="31">
        <v>51.54</v>
      </c>
      <c r="I203" s="32">
        <v>1232.9469999999999</v>
      </c>
      <c r="J203" s="32">
        <v>1233.4589999999998</v>
      </c>
      <c r="K203" s="33">
        <v>1</v>
      </c>
      <c r="L203" s="33">
        <v>1</v>
      </c>
      <c r="M203" s="6">
        <v>0</v>
      </c>
      <c r="N203" s="6">
        <v>0</v>
      </c>
      <c r="O203" s="6">
        <v>1</v>
      </c>
      <c r="P203" s="6">
        <v>1</v>
      </c>
      <c r="Q203" s="34">
        <v>1232.9469999999999</v>
      </c>
      <c r="R203" s="34">
        <v>1233.4589999999998</v>
      </c>
      <c r="S203" s="34">
        <v>63546.088379999994</v>
      </c>
      <c r="T203" s="34">
        <v>63572.476859999988</v>
      </c>
      <c r="U203" s="35">
        <v>3.4510517173867582E-3</v>
      </c>
      <c r="V203" s="36">
        <v>3.4649128275806617E-3</v>
      </c>
      <c r="W203" s="36">
        <v>1.3861110193903476E-5</v>
      </c>
      <c r="X203" s="37">
        <v>29.096464566077536</v>
      </c>
      <c r="Y203" s="38">
        <v>564541.41571745323</v>
      </c>
      <c r="Z203" s="39">
        <v>0</v>
      </c>
      <c r="AA203" s="40">
        <v>0</v>
      </c>
      <c r="AB203" s="40">
        <v>0</v>
      </c>
      <c r="AC203" s="41">
        <v>0</v>
      </c>
      <c r="AD203" s="42">
        <v>0</v>
      </c>
      <c r="AE203" s="39">
        <v>7.4137981244278535E-3</v>
      </c>
      <c r="AF203" s="40">
        <v>7.4408420724799799E-3</v>
      </c>
      <c r="AG203" s="40">
        <v>2.7043948052126419E-5</v>
      </c>
      <c r="AH203" s="41">
        <v>0.3477037850684353</v>
      </c>
      <c r="AI203" s="42">
        <v>6746.2899702839595</v>
      </c>
      <c r="AJ203" s="41">
        <v>29.444168351145972</v>
      </c>
      <c r="AK203" s="30">
        <v>571287.70568773721</v>
      </c>
      <c r="AL203" s="43">
        <f>+$AL$6*W203/H203*10^6</f>
        <v>134.46944309180711</v>
      </c>
      <c r="AM203" s="30">
        <v>10543173</v>
      </c>
      <c r="AN203" s="44">
        <v>5.4185557392232603E-2</v>
      </c>
      <c r="AP203" s="32"/>
      <c r="AR203" s="32"/>
    </row>
    <row r="204" spans="1:44">
      <c r="A204" s="5" t="s">
        <v>254</v>
      </c>
      <c r="B204" s="5" t="s">
        <v>554</v>
      </c>
      <c r="C204" s="5" t="s">
        <v>2084</v>
      </c>
      <c r="D204" s="29" t="s">
        <v>2085</v>
      </c>
      <c r="E204" s="5" t="s">
        <v>84</v>
      </c>
      <c r="F204" s="30" t="s">
        <v>1164</v>
      </c>
      <c r="G204" s="5" t="s">
        <v>969</v>
      </c>
      <c r="H204" s="31">
        <v>126.7</v>
      </c>
      <c r="I204" s="32">
        <v>106.83</v>
      </c>
      <c r="J204" s="32">
        <v>106.84819999999999</v>
      </c>
      <c r="K204" s="33">
        <v>1</v>
      </c>
      <c r="L204" s="33">
        <v>1</v>
      </c>
      <c r="M204" s="6">
        <v>0.66</v>
      </c>
      <c r="N204" s="6">
        <v>0.66</v>
      </c>
      <c r="O204" s="6">
        <v>0.34</v>
      </c>
      <c r="P204" s="6">
        <v>0.34</v>
      </c>
      <c r="Q204" s="34">
        <v>106.83</v>
      </c>
      <c r="R204" s="34">
        <v>106.84819999999999</v>
      </c>
      <c r="S204" s="34">
        <v>13535.361000000001</v>
      </c>
      <c r="T204" s="34">
        <v>13537.666939999999</v>
      </c>
      <c r="U204" s="35">
        <v>7.3507641485610756E-4</v>
      </c>
      <c r="V204" s="36">
        <v>7.3784817192539779E-4</v>
      </c>
      <c r="W204" s="36">
        <v>2.7717570692902243E-6</v>
      </c>
      <c r="X204" s="37">
        <v>5.8183168753574614</v>
      </c>
      <c r="Y204" s="38">
        <v>45921.995859174909</v>
      </c>
      <c r="Z204" s="39">
        <v>9.0765519837913674E-4</v>
      </c>
      <c r="AA204" s="40">
        <v>9.1136927055567236E-4</v>
      </c>
      <c r="AB204" s="40">
        <v>3.7140721765356209E-6</v>
      </c>
      <c r="AC204" s="41">
        <v>7.3109399107276221E-2</v>
      </c>
      <c r="AD204" s="42">
        <v>577.02761726342715</v>
      </c>
      <c r="AE204" s="39">
        <v>5.369090124692005E-4</v>
      </c>
      <c r="AF204" s="40">
        <v>5.3873562711344281E-4</v>
      </c>
      <c r="AG204" s="40">
        <v>1.8266146442423147E-6</v>
      </c>
      <c r="AH204" s="41">
        <v>2.3484767255147414E-2</v>
      </c>
      <c r="AI204" s="42">
        <v>185.35727904615163</v>
      </c>
      <c r="AJ204" s="41">
        <v>5.9149110417198854</v>
      </c>
      <c r="AK204" s="30">
        <v>46684.38075548449</v>
      </c>
      <c r="AL204" s="43">
        <f>+$AL$6*W204/H204*10^6</f>
        <v>10.938267834610198</v>
      </c>
      <c r="AM204" s="30">
        <v>863718.0625</v>
      </c>
      <c r="AN204" s="44">
        <v>5.405048566468354E-2</v>
      </c>
      <c r="AP204" s="32"/>
      <c r="AR204" s="32"/>
    </row>
    <row r="205" spans="1:44">
      <c r="A205" s="5" t="s">
        <v>333</v>
      </c>
      <c r="B205" s="5" t="s">
        <v>632</v>
      </c>
      <c r="C205" s="5" t="s">
        <v>1853</v>
      </c>
      <c r="D205" s="29" t="s">
        <v>1854</v>
      </c>
      <c r="E205" s="5" t="s">
        <v>158</v>
      </c>
      <c r="F205" s="30" t="s">
        <v>1151</v>
      </c>
      <c r="G205" s="5" t="s">
        <v>969</v>
      </c>
      <c r="H205" s="31">
        <v>34.49</v>
      </c>
      <c r="I205" s="32">
        <v>938.44299999999998</v>
      </c>
      <c r="J205" s="32">
        <v>941.39080000000001</v>
      </c>
      <c r="K205" s="33">
        <v>0.93</v>
      </c>
      <c r="L205" s="33">
        <v>0.93</v>
      </c>
      <c r="M205" s="6">
        <v>1</v>
      </c>
      <c r="N205" s="6">
        <v>1</v>
      </c>
      <c r="O205" s="6">
        <v>0</v>
      </c>
      <c r="P205" s="6">
        <v>0</v>
      </c>
      <c r="Q205" s="34">
        <v>872.75198999999998</v>
      </c>
      <c r="R205" s="34">
        <v>875.49344400000007</v>
      </c>
      <c r="S205" s="34">
        <v>30101.2161351</v>
      </c>
      <c r="T205" s="34">
        <v>30195.768883560006</v>
      </c>
      <c r="U205" s="35">
        <v>1.6347324640545698E-3</v>
      </c>
      <c r="V205" s="36">
        <v>1.645770498665892E-3</v>
      </c>
      <c r="W205" s="36">
        <v>1.1038034611322162E-5</v>
      </c>
      <c r="X205" s="37">
        <v>23.170422747864144</v>
      </c>
      <c r="Y205" s="38">
        <v>671801.1814399577</v>
      </c>
      <c r="Z205" s="39">
        <v>3.0583780113748273E-3</v>
      </c>
      <c r="AA205" s="40">
        <v>3.0800141586598113E-3</v>
      </c>
      <c r="AB205" s="40">
        <v>2.1636147284983913E-5</v>
      </c>
      <c r="AC205" s="41">
        <v>0.42589525776991294</v>
      </c>
      <c r="AD205" s="42">
        <v>12348.369317770743</v>
      </c>
      <c r="AE205" s="39">
        <v>0</v>
      </c>
      <c r="AF205" s="40">
        <v>0</v>
      </c>
      <c r="AG205" s="40">
        <v>0</v>
      </c>
      <c r="AH205" s="41">
        <v>0</v>
      </c>
      <c r="AI205" s="42">
        <v>0</v>
      </c>
      <c r="AJ205" s="41">
        <v>23.596318005634057</v>
      </c>
      <c r="AK205" s="30">
        <v>684149.5507577284</v>
      </c>
      <c r="AL205" s="43">
        <f>+$AL$6*W205/H205*10^6</f>
        <v>160.01789810556917</v>
      </c>
      <c r="AM205" s="30">
        <v>12681238</v>
      </c>
      <c r="AN205" s="44">
        <v>5.3949744556306599E-2</v>
      </c>
      <c r="AP205" s="32"/>
      <c r="AR205" s="32"/>
    </row>
    <row r="206" spans="1:44">
      <c r="A206" s="5" t="s">
        <v>276</v>
      </c>
      <c r="B206" s="5" t="s">
        <v>576</v>
      </c>
      <c r="C206" s="5" t="s">
        <v>2025</v>
      </c>
      <c r="D206" s="29" t="s">
        <v>646</v>
      </c>
      <c r="E206" s="5" t="s">
        <v>104</v>
      </c>
      <c r="F206" s="30" t="s">
        <v>1160</v>
      </c>
      <c r="G206" s="5" t="s">
        <v>969</v>
      </c>
      <c r="H206" s="31">
        <v>30.79</v>
      </c>
      <c r="I206" s="32">
        <v>671.327</v>
      </c>
      <c r="J206" s="32">
        <v>671.36309999999992</v>
      </c>
      <c r="K206" s="33">
        <v>1</v>
      </c>
      <c r="L206" s="33">
        <v>1</v>
      </c>
      <c r="M206" s="6">
        <v>0.53</v>
      </c>
      <c r="N206" s="6">
        <v>0.53</v>
      </c>
      <c r="O206" s="6">
        <v>0.47</v>
      </c>
      <c r="P206" s="6">
        <v>0.47</v>
      </c>
      <c r="Q206" s="34">
        <v>671.327</v>
      </c>
      <c r="R206" s="34">
        <v>671.36309999999992</v>
      </c>
      <c r="S206" s="34">
        <v>20670.158329999998</v>
      </c>
      <c r="T206" s="34">
        <v>20671.269848999997</v>
      </c>
      <c r="U206" s="35">
        <v>1.122551949646892E-3</v>
      </c>
      <c r="V206" s="36">
        <v>1.1266534135505361E-3</v>
      </c>
      <c r="W206" s="36">
        <v>4.1014639036440759E-6</v>
      </c>
      <c r="X206" s="37">
        <v>8.6095628324139799</v>
      </c>
      <c r="Y206" s="38">
        <v>279622.04717161355</v>
      </c>
      <c r="Z206" s="39">
        <v>1.1130810610946781E-3</v>
      </c>
      <c r="AA206" s="40">
        <v>1.1175054409342275E-3</v>
      </c>
      <c r="AB206" s="40">
        <v>4.4243798395494048E-6</v>
      </c>
      <c r="AC206" s="41">
        <v>8.709140159831838E-2</v>
      </c>
      <c r="AD206" s="42">
        <v>2828.5612730860144</v>
      </c>
      <c r="AE206" s="39">
        <v>1.1334271067454328E-3</v>
      </c>
      <c r="AF206" s="40">
        <v>1.1371505584042815E-3</v>
      </c>
      <c r="AG206" s="40">
        <v>3.7234516588487403E-6</v>
      </c>
      <c r="AH206" s="41">
        <v>4.7872382863834655E-2</v>
      </c>
      <c r="AI206" s="42">
        <v>1554.8029510826454</v>
      </c>
      <c r="AJ206" s="41">
        <v>8.7445266168761329</v>
      </c>
      <c r="AK206" s="30">
        <v>284005.4113957822</v>
      </c>
      <c r="AL206" s="43">
        <f>+$AL$6*W206/H206*10^6</f>
        <v>66.603830848393571</v>
      </c>
      <c r="AM206" s="30">
        <v>5332922</v>
      </c>
      <c r="AN206" s="44">
        <v>5.3255121937988627E-2</v>
      </c>
      <c r="AP206" s="32"/>
      <c r="AR206" s="32"/>
    </row>
    <row r="207" spans="1:44">
      <c r="A207" s="5" t="s">
        <v>1246</v>
      </c>
      <c r="B207" s="5" t="s">
        <v>419</v>
      </c>
      <c r="C207" s="5" t="s">
        <v>2170</v>
      </c>
      <c r="D207" s="29" t="s">
        <v>2171</v>
      </c>
      <c r="E207" s="5" t="s">
        <v>764</v>
      </c>
      <c r="F207" s="30" t="s">
        <v>1149</v>
      </c>
      <c r="G207" s="5" t="s">
        <v>971</v>
      </c>
      <c r="H207" s="31">
        <v>72.39</v>
      </c>
      <c r="I207" s="32">
        <v>143.636</v>
      </c>
      <c r="J207" s="32">
        <v>143.553</v>
      </c>
      <c r="K207" s="33">
        <v>1</v>
      </c>
      <c r="L207" s="33">
        <v>1</v>
      </c>
      <c r="M207" s="6">
        <v>0</v>
      </c>
      <c r="N207" s="6">
        <v>0</v>
      </c>
      <c r="O207" s="6">
        <v>1</v>
      </c>
      <c r="P207" s="6">
        <v>1</v>
      </c>
      <c r="Q207" s="34">
        <v>143.636</v>
      </c>
      <c r="R207" s="34">
        <v>143.553</v>
      </c>
      <c r="S207" s="34">
        <v>10397.81004</v>
      </c>
      <c r="T207" s="34">
        <v>10391.801670000001</v>
      </c>
      <c r="U207" s="35">
        <v>5.646827540512618E-4</v>
      </c>
      <c r="V207" s="36">
        <v>5.6638798244956648E-4</v>
      </c>
      <c r="W207" s="36">
        <v>1.7052283983046753E-6</v>
      </c>
      <c r="X207" s="37">
        <v>3.5795197480042948</v>
      </c>
      <c r="Y207" s="38">
        <v>49447.710291536052</v>
      </c>
      <c r="Z207" s="39">
        <v>0</v>
      </c>
      <c r="AA207" s="40">
        <v>0</v>
      </c>
      <c r="AB207" s="40">
        <v>0</v>
      </c>
      <c r="AC207" s="41">
        <v>0</v>
      </c>
      <c r="AD207" s="42">
        <v>0</v>
      </c>
      <c r="AE207" s="39">
        <v>1.2130922065845197E-3</v>
      </c>
      <c r="AF207" s="40">
        <v>1.2163086746688658E-3</v>
      </c>
      <c r="AG207" s="40">
        <v>3.2164680843461361E-6</v>
      </c>
      <c r="AH207" s="41">
        <v>4.1354099827559554E-2</v>
      </c>
      <c r="AI207" s="42">
        <v>571.26812857521145</v>
      </c>
      <c r="AJ207" s="41">
        <v>3.6208738478318545</v>
      </c>
      <c r="AK207" s="30">
        <v>50018.978420111263</v>
      </c>
      <c r="AL207" s="43">
        <f>+$AL$6*W207/H207*10^6</f>
        <v>11.778066019510121</v>
      </c>
      <c r="AM207" s="30">
        <v>943272.625</v>
      </c>
      <c r="AN207" s="44">
        <v>5.3027064598754003E-2</v>
      </c>
      <c r="AP207" s="32"/>
      <c r="AR207" s="32"/>
    </row>
    <row r="208" spans="1:44">
      <c r="A208" s="5" t="s">
        <v>813</v>
      </c>
      <c r="B208" s="5" t="s">
        <v>173</v>
      </c>
      <c r="C208" s="5" t="s">
        <v>2056</v>
      </c>
      <c r="D208" s="29" t="s">
        <v>194</v>
      </c>
      <c r="E208" s="5" t="s">
        <v>669</v>
      </c>
      <c r="F208" s="30" t="s">
        <v>1166</v>
      </c>
      <c r="G208" s="5" t="s">
        <v>969</v>
      </c>
      <c r="H208" s="31">
        <v>29.57</v>
      </c>
      <c r="I208" s="32">
        <v>401.666</v>
      </c>
      <c r="J208" s="32">
        <v>402.47679999999997</v>
      </c>
      <c r="K208" s="33">
        <v>1</v>
      </c>
      <c r="L208" s="33">
        <v>1</v>
      </c>
      <c r="M208" s="6">
        <v>1</v>
      </c>
      <c r="N208" s="6">
        <v>1</v>
      </c>
      <c r="O208" s="6">
        <v>0</v>
      </c>
      <c r="P208" s="6">
        <v>0</v>
      </c>
      <c r="Q208" s="34">
        <v>401.666</v>
      </c>
      <c r="R208" s="34">
        <v>402.47679999999997</v>
      </c>
      <c r="S208" s="34">
        <v>11877.26362</v>
      </c>
      <c r="T208" s="34">
        <v>11901.238975999999</v>
      </c>
      <c r="U208" s="35">
        <v>6.450287037110036E-4</v>
      </c>
      <c r="V208" s="36">
        <v>6.4865736917656006E-4</v>
      </c>
      <c r="W208" s="36">
        <v>3.6286654655564524E-6</v>
      </c>
      <c r="X208" s="37">
        <v>7.6170908869298461</v>
      </c>
      <c r="Y208" s="38">
        <v>257595.22782988998</v>
      </c>
      <c r="Z208" s="39">
        <v>1.2067672524484036E-3</v>
      </c>
      <c r="AA208" s="40">
        <v>1.2139444003901893E-3</v>
      </c>
      <c r="AB208" s="40">
        <v>7.1771479417856963E-6</v>
      </c>
      <c r="AC208" s="41">
        <v>0.14127807656592647</v>
      </c>
      <c r="AD208" s="42">
        <v>4777.7503065920346</v>
      </c>
      <c r="AE208" s="39">
        <v>0</v>
      </c>
      <c r="AF208" s="40">
        <v>0</v>
      </c>
      <c r="AG208" s="40">
        <v>0</v>
      </c>
      <c r="AH208" s="41">
        <v>0</v>
      </c>
      <c r="AI208" s="42">
        <v>0</v>
      </c>
      <c r="AJ208" s="41">
        <v>7.7583689634957729</v>
      </c>
      <c r="AK208" s="30">
        <v>262372.97813648201</v>
      </c>
      <c r="AL208" s="43">
        <f>+$AL$6*W208/H208*10^6</f>
        <v>61.357211118641395</v>
      </c>
      <c r="AM208" s="30">
        <v>5065107</v>
      </c>
      <c r="AN208" s="44">
        <v>5.1800085987617241E-2</v>
      </c>
      <c r="AP208" s="32"/>
      <c r="AR208" s="32"/>
    </row>
    <row r="209" spans="1:44">
      <c r="A209" s="5" t="s">
        <v>1259</v>
      </c>
      <c r="B209" s="5" t="s">
        <v>432</v>
      </c>
      <c r="C209" s="5" t="s">
        <v>2042</v>
      </c>
      <c r="D209" s="29" t="s">
        <v>2043</v>
      </c>
      <c r="E209" s="5" t="s">
        <v>775</v>
      </c>
      <c r="F209" s="30" t="s">
        <v>1154</v>
      </c>
      <c r="G209" s="5" t="s">
        <v>971</v>
      </c>
      <c r="H209" s="31">
        <v>66.599999999999994</v>
      </c>
      <c r="I209" s="32">
        <v>292.87700000000001</v>
      </c>
      <c r="J209" s="32">
        <v>292.87189999999998</v>
      </c>
      <c r="K209" s="33">
        <v>1</v>
      </c>
      <c r="L209" s="33">
        <v>1</v>
      </c>
      <c r="M209" s="6">
        <v>0</v>
      </c>
      <c r="N209" s="6">
        <v>0</v>
      </c>
      <c r="O209" s="6">
        <v>1</v>
      </c>
      <c r="P209" s="6">
        <v>1</v>
      </c>
      <c r="Q209" s="34">
        <v>292.87700000000001</v>
      </c>
      <c r="R209" s="34">
        <v>292.87189999999998</v>
      </c>
      <c r="S209" s="34">
        <v>19505.608199999999</v>
      </c>
      <c r="T209" s="34">
        <v>19505.268539999997</v>
      </c>
      <c r="U209" s="35">
        <v>1.0593077307095018E-3</v>
      </c>
      <c r="V209" s="36">
        <v>1.0631024384732701E-3</v>
      </c>
      <c r="W209" s="36">
        <v>3.7947077637682722E-6</v>
      </c>
      <c r="X209" s="37">
        <v>7.965637560234212</v>
      </c>
      <c r="Y209" s="38">
        <v>119604.16757108427</v>
      </c>
      <c r="Z209" s="39">
        <v>0</v>
      </c>
      <c r="AA209" s="40">
        <v>0</v>
      </c>
      <c r="AB209" s="40">
        <v>0</v>
      </c>
      <c r="AC209" s="41">
        <v>0</v>
      </c>
      <c r="AD209" s="42">
        <v>0</v>
      </c>
      <c r="AE209" s="39">
        <v>2.2756812445201297E-3</v>
      </c>
      <c r="AF209" s="40">
        <v>2.2829946221392537E-3</v>
      </c>
      <c r="AG209" s="40">
        <v>7.3133776191240153E-6</v>
      </c>
      <c r="AH209" s="41">
        <v>9.4028027080323387E-2</v>
      </c>
      <c r="AI209" s="42">
        <v>1411.8322384432943</v>
      </c>
      <c r="AJ209" s="41">
        <v>8.0596655873145355</v>
      </c>
      <c r="AK209" s="30">
        <v>121015.99980952757</v>
      </c>
      <c r="AL209" s="43">
        <f>+$AL$6*W209/H209*10^6</f>
        <v>28.488797025287329</v>
      </c>
      <c r="AM209" s="30">
        <v>2344971.25</v>
      </c>
      <c r="AN209" s="44">
        <v>5.1606602771580919E-2</v>
      </c>
      <c r="AP209" s="32"/>
      <c r="AR209" s="32"/>
    </row>
    <row r="210" spans="1:44">
      <c r="A210" s="5" t="s">
        <v>1231</v>
      </c>
      <c r="B210" s="5" t="s">
        <v>402</v>
      </c>
      <c r="C210" s="5" t="s">
        <v>2168</v>
      </c>
      <c r="D210" s="29" t="s">
        <v>2169</v>
      </c>
      <c r="E210" s="5" t="s">
        <v>750</v>
      </c>
      <c r="F210" s="30" t="s">
        <v>1154</v>
      </c>
      <c r="G210" s="5" t="s">
        <v>969</v>
      </c>
      <c r="H210" s="31">
        <v>19.59</v>
      </c>
      <c r="I210" s="32">
        <v>430.20699999999999</v>
      </c>
      <c r="J210" s="32">
        <v>430.26169999999996</v>
      </c>
      <c r="K210" s="33">
        <v>1</v>
      </c>
      <c r="L210" s="33">
        <v>1</v>
      </c>
      <c r="M210" s="6">
        <v>0</v>
      </c>
      <c r="N210" s="6">
        <v>0</v>
      </c>
      <c r="O210" s="6">
        <v>1</v>
      </c>
      <c r="P210" s="6">
        <v>1</v>
      </c>
      <c r="Q210" s="34">
        <v>430.20699999999999</v>
      </c>
      <c r="R210" s="34">
        <v>430.26169999999996</v>
      </c>
      <c r="S210" s="34">
        <v>8427.7551299999996</v>
      </c>
      <c r="T210" s="34">
        <v>8428.8267029999988</v>
      </c>
      <c r="U210" s="35">
        <v>4.5769329877833092E-4</v>
      </c>
      <c r="V210" s="36">
        <v>4.5939927476783732E-4</v>
      </c>
      <c r="W210" s="36">
        <v>1.7059759895064015E-6</v>
      </c>
      <c r="X210" s="37">
        <v>3.581089049496502</v>
      </c>
      <c r="Y210" s="38">
        <v>182801.89124535487</v>
      </c>
      <c r="Z210" s="39">
        <v>0</v>
      </c>
      <c r="AA210" s="40">
        <v>0</v>
      </c>
      <c r="AB210" s="40">
        <v>0</v>
      </c>
      <c r="AC210" s="41">
        <v>0</v>
      </c>
      <c r="AD210" s="42">
        <v>0</v>
      </c>
      <c r="AE210" s="39">
        <v>9.8324974469390339E-4</v>
      </c>
      <c r="AF210" s="40">
        <v>9.8655222277153724E-4</v>
      </c>
      <c r="AG210" s="40">
        <v>3.3024780776338535E-6</v>
      </c>
      <c r="AH210" s="41">
        <v>4.2459929500143129E-2</v>
      </c>
      <c r="AI210" s="42">
        <v>2167.4287646831613</v>
      </c>
      <c r="AJ210" s="41">
        <v>3.6235489789966451</v>
      </c>
      <c r="AK210" s="30">
        <v>184969.32001003803</v>
      </c>
      <c r="AL210" s="43">
        <f>+$AL$6*W210/H210*10^6</f>
        <v>43.542010962389014</v>
      </c>
      <c r="AM210" s="30">
        <v>3585549</v>
      </c>
      <c r="AN210" s="44">
        <v>5.1587447280747808E-2</v>
      </c>
      <c r="AP210" s="32"/>
      <c r="AR210" s="32"/>
    </row>
    <row r="211" spans="1:44">
      <c r="A211" s="5" t="s">
        <v>806</v>
      </c>
      <c r="B211" s="5" t="s">
        <v>167</v>
      </c>
      <c r="C211" s="5" t="s">
        <v>2066</v>
      </c>
      <c r="D211" s="29" t="s">
        <v>2067</v>
      </c>
      <c r="E211" s="5" t="s">
        <v>664</v>
      </c>
      <c r="F211" s="30" t="s">
        <v>1159</v>
      </c>
      <c r="G211" s="5" t="s">
        <v>969</v>
      </c>
      <c r="H211" s="31">
        <v>77.319999999999993</v>
      </c>
      <c r="I211" s="32">
        <v>234.62</v>
      </c>
      <c r="J211" s="32">
        <v>234.637</v>
      </c>
      <c r="K211" s="33">
        <v>0.95</v>
      </c>
      <c r="L211" s="33">
        <v>0.95</v>
      </c>
      <c r="M211" s="6">
        <v>1</v>
      </c>
      <c r="N211" s="6">
        <v>1</v>
      </c>
      <c r="O211" s="6">
        <v>0</v>
      </c>
      <c r="P211" s="6">
        <v>0</v>
      </c>
      <c r="Q211" s="34">
        <v>222.88899999999998</v>
      </c>
      <c r="R211" s="34">
        <v>222.90514999999999</v>
      </c>
      <c r="S211" s="34">
        <v>17233.777479999997</v>
      </c>
      <c r="T211" s="34">
        <v>17235.026198</v>
      </c>
      <c r="U211" s="35">
        <v>9.3592947867635902E-4</v>
      </c>
      <c r="V211" s="36">
        <v>9.3936663013225526E-4</v>
      </c>
      <c r="W211" s="36">
        <v>3.4371514558962334E-6</v>
      </c>
      <c r="X211" s="37">
        <v>7.215075426549415</v>
      </c>
      <c r="Y211" s="38">
        <v>93314.477839490632</v>
      </c>
      <c r="Z211" s="39">
        <v>1.7510058683741475E-3</v>
      </c>
      <c r="AA211" s="40">
        <v>1.7579987752394761E-3</v>
      </c>
      <c r="AB211" s="40">
        <v>6.9929068653286439E-6</v>
      </c>
      <c r="AC211" s="41">
        <v>0.13765139572871746</v>
      </c>
      <c r="AD211" s="42">
        <v>1780.281889921333</v>
      </c>
      <c r="AE211" s="39">
        <v>0</v>
      </c>
      <c r="AF211" s="40">
        <v>0</v>
      </c>
      <c r="AG211" s="40">
        <v>0</v>
      </c>
      <c r="AH211" s="41">
        <v>0</v>
      </c>
      <c r="AI211" s="42">
        <v>0</v>
      </c>
      <c r="AJ211" s="41">
        <v>7.3527268222781323</v>
      </c>
      <c r="AK211" s="30">
        <v>95094.759729411962</v>
      </c>
      <c r="AL211" s="43">
        <f>+$AL$6*W211/H211*10^6</f>
        <v>22.22679420522655</v>
      </c>
      <c r="AM211" s="30">
        <v>1845219.625</v>
      </c>
      <c r="AN211" s="44">
        <v>5.1535740483690098E-2</v>
      </c>
      <c r="AP211" s="32"/>
      <c r="AR211" s="32"/>
    </row>
    <row r="212" spans="1:44">
      <c r="A212" s="5" t="s">
        <v>1568</v>
      </c>
      <c r="B212" s="5" t="s">
        <v>1594</v>
      </c>
      <c r="C212" s="5" t="s">
        <v>2007</v>
      </c>
      <c r="D212" s="29" t="s">
        <v>1624</v>
      </c>
      <c r="E212" s="5" t="s">
        <v>1569</v>
      </c>
      <c r="F212" s="30" t="s">
        <v>1150</v>
      </c>
      <c r="G212" s="5" t="s">
        <v>969</v>
      </c>
      <c r="H212" s="31">
        <v>100.2</v>
      </c>
      <c r="I212" s="32">
        <v>116.97499999999999</v>
      </c>
      <c r="J212" s="32">
        <v>117.3425</v>
      </c>
      <c r="K212" s="33">
        <v>1</v>
      </c>
      <c r="L212" s="33">
        <v>1</v>
      </c>
      <c r="M212" s="6">
        <v>1</v>
      </c>
      <c r="N212" s="6">
        <v>1</v>
      </c>
      <c r="O212" s="6">
        <v>0</v>
      </c>
      <c r="P212" s="6">
        <v>0</v>
      </c>
      <c r="Q212" s="34">
        <v>116.97499999999999</v>
      </c>
      <c r="R212" s="34">
        <v>117.3425</v>
      </c>
      <c r="S212" s="34">
        <v>11720.895</v>
      </c>
      <c r="T212" s="34">
        <v>11757.718500000001</v>
      </c>
      <c r="U212" s="35">
        <v>6.3653665945850109E-4</v>
      </c>
      <c r="V212" s="36">
        <v>6.4083502273239049E-4</v>
      </c>
      <c r="W212" s="36">
        <v>4.2983632738893959E-6</v>
      </c>
      <c r="X212" s="37">
        <v>9.0228829394820096</v>
      </c>
      <c r="Y212" s="38">
        <v>90048.73193095818</v>
      </c>
      <c r="Z212" s="39">
        <v>1.1908797100005962E-3</v>
      </c>
      <c r="AA212" s="40">
        <v>1.1993050944714631E-3</v>
      </c>
      <c r="AB212" s="40">
        <v>8.4253844708668743E-6</v>
      </c>
      <c r="AC212" s="41">
        <v>0.16584890293850377</v>
      </c>
      <c r="AD212" s="42">
        <v>1655.1786720409557</v>
      </c>
      <c r="AE212" s="39">
        <v>0</v>
      </c>
      <c r="AF212" s="40">
        <v>0</v>
      </c>
      <c r="AG212" s="40">
        <v>0</v>
      </c>
      <c r="AH212" s="41">
        <v>0</v>
      </c>
      <c r="AI212" s="42">
        <v>0</v>
      </c>
      <c r="AJ212" s="41">
        <v>9.1887318424205127</v>
      </c>
      <c r="AK212" s="30">
        <v>91703.910602999138</v>
      </c>
      <c r="AL212" s="43">
        <f>+$AL$6*W212/H212*10^6</f>
        <v>21.448918532382212</v>
      </c>
      <c r="AM212" s="30">
        <v>1797728.375</v>
      </c>
      <c r="AN212" s="44">
        <v>5.1010993584055288E-2</v>
      </c>
      <c r="AP212" s="32"/>
      <c r="AR212" s="32"/>
    </row>
    <row r="213" spans="1:44">
      <c r="A213" s="5" t="s">
        <v>1015</v>
      </c>
      <c r="B213" s="5" t="s">
        <v>1101</v>
      </c>
      <c r="C213" s="5" t="s">
        <v>1812</v>
      </c>
      <c r="D213" s="29" t="s">
        <v>1813</v>
      </c>
      <c r="E213" s="5" t="s">
        <v>899</v>
      </c>
      <c r="F213" s="30" t="s">
        <v>1160</v>
      </c>
      <c r="G213" s="5" t="s">
        <v>969</v>
      </c>
      <c r="H213" s="31">
        <v>42.71</v>
      </c>
      <c r="I213" s="32">
        <v>850.87400000000002</v>
      </c>
      <c r="J213" s="32">
        <v>854.7491</v>
      </c>
      <c r="K213" s="33">
        <v>1</v>
      </c>
      <c r="L213" s="33">
        <v>1</v>
      </c>
      <c r="M213" s="6">
        <v>0</v>
      </c>
      <c r="N213" s="6">
        <v>0</v>
      </c>
      <c r="O213" s="6">
        <v>1</v>
      </c>
      <c r="P213" s="6">
        <v>1</v>
      </c>
      <c r="Q213" s="34">
        <v>850.87400000000002</v>
      </c>
      <c r="R213" s="34">
        <v>854.7491</v>
      </c>
      <c r="S213" s="34">
        <v>36340.828540000002</v>
      </c>
      <c r="T213" s="34">
        <v>36506.334061000001</v>
      </c>
      <c r="U213" s="35">
        <v>1.9735924262443915E-3</v>
      </c>
      <c r="V213" s="36">
        <v>1.9897174284158252E-3</v>
      </c>
      <c r="W213" s="36">
        <v>1.6125002171433686E-5</v>
      </c>
      <c r="X213" s="37">
        <v>33.848699544673046</v>
      </c>
      <c r="Y213" s="38">
        <v>792523.98840255314</v>
      </c>
      <c r="Z213" s="39">
        <v>0</v>
      </c>
      <c r="AA213" s="40">
        <v>0</v>
      </c>
      <c r="AB213" s="40">
        <v>0</v>
      </c>
      <c r="AC213" s="41">
        <v>0</v>
      </c>
      <c r="AD213" s="42">
        <v>0</v>
      </c>
      <c r="AE213" s="39">
        <v>4.2398135485362549E-3</v>
      </c>
      <c r="AF213" s="40">
        <v>4.2728847421078407E-3</v>
      </c>
      <c r="AG213" s="40">
        <v>3.3071193571585812E-5</v>
      </c>
      <c r="AH213" s="41">
        <v>0.42519602387222999</v>
      </c>
      <c r="AI213" s="42">
        <v>9955.4208352196201</v>
      </c>
      <c r="AJ213" s="41">
        <v>34.273895568545278</v>
      </c>
      <c r="AK213" s="30">
        <v>802479.40923777281</v>
      </c>
      <c r="AL213" s="43">
        <f>+$AL$6*W213/H213*10^6</f>
        <v>188.77314646960531</v>
      </c>
      <c r="AM213" s="30">
        <v>16057575</v>
      </c>
      <c r="AN213" s="44">
        <v>4.9975130693007679E-2</v>
      </c>
      <c r="AP213" s="32"/>
      <c r="AR213" s="32"/>
    </row>
    <row r="214" spans="1:44">
      <c r="A214" s="5" t="s">
        <v>1177</v>
      </c>
      <c r="B214" s="5" t="s">
        <v>345</v>
      </c>
      <c r="C214" s="5" t="s">
        <v>2109</v>
      </c>
      <c r="D214" s="29" t="s">
        <v>2110</v>
      </c>
      <c r="E214" s="5" t="s">
        <v>703</v>
      </c>
      <c r="F214" s="30" t="s">
        <v>1151</v>
      </c>
      <c r="G214" s="5" t="s">
        <v>969</v>
      </c>
      <c r="H214" s="31">
        <v>54.82</v>
      </c>
      <c r="I214" s="32">
        <v>227.65199999999999</v>
      </c>
      <c r="J214" s="32">
        <v>227.65219999999999</v>
      </c>
      <c r="K214" s="33">
        <v>1</v>
      </c>
      <c r="L214" s="33">
        <v>1</v>
      </c>
      <c r="M214" s="6">
        <v>1</v>
      </c>
      <c r="N214" s="6">
        <v>1</v>
      </c>
      <c r="O214" s="6">
        <v>0</v>
      </c>
      <c r="P214" s="6">
        <v>0</v>
      </c>
      <c r="Q214" s="34">
        <v>227.65199999999999</v>
      </c>
      <c r="R214" s="34">
        <v>227.65219999999999</v>
      </c>
      <c r="S214" s="34">
        <v>12479.88264</v>
      </c>
      <c r="T214" s="34">
        <v>12479.893603999999</v>
      </c>
      <c r="U214" s="35">
        <v>6.7775564972638515E-4</v>
      </c>
      <c r="V214" s="36">
        <v>6.8019598372057925E-4</v>
      </c>
      <c r="W214" s="36">
        <v>2.4403339941941014E-6</v>
      </c>
      <c r="X214" s="37">
        <v>5.1226121571916554</v>
      </c>
      <c r="Y214" s="38">
        <v>93444.220306305288</v>
      </c>
      <c r="Z214" s="39">
        <v>1.267995235787427E-3</v>
      </c>
      <c r="AA214" s="40">
        <v>1.2729680488386438E-3</v>
      </c>
      <c r="AB214" s="40">
        <v>4.9728130512168532E-6</v>
      </c>
      <c r="AC214" s="41">
        <v>9.7886997550597585E-2</v>
      </c>
      <c r="AD214" s="42">
        <v>1785.6073978584018</v>
      </c>
      <c r="AE214" s="39">
        <v>0</v>
      </c>
      <c r="AF214" s="40">
        <v>0</v>
      </c>
      <c r="AG214" s="40">
        <v>0</v>
      </c>
      <c r="AH214" s="41">
        <v>0</v>
      </c>
      <c r="AI214" s="42">
        <v>0</v>
      </c>
      <c r="AJ214" s="41">
        <v>5.220499154742253</v>
      </c>
      <c r="AK214" s="30">
        <v>95229.82770416369</v>
      </c>
      <c r="AL214" s="43">
        <f>+$AL$6*W214/H214*10^6</f>
        <v>22.257697867512782</v>
      </c>
      <c r="AM214" s="30">
        <v>1925116.5</v>
      </c>
      <c r="AN214" s="44">
        <v>4.9467046645833478E-2</v>
      </c>
      <c r="AP214" s="32"/>
      <c r="AR214" s="32"/>
    </row>
    <row r="215" spans="1:44">
      <c r="A215" s="5" t="s">
        <v>1006</v>
      </c>
      <c r="B215" s="5" t="s">
        <v>1094</v>
      </c>
      <c r="C215" s="5" t="s">
        <v>2106</v>
      </c>
      <c r="D215" s="29" t="s">
        <v>2107</v>
      </c>
      <c r="E215" s="5" t="s">
        <v>891</v>
      </c>
      <c r="F215" s="30" t="s">
        <v>1154</v>
      </c>
      <c r="G215" s="5" t="s">
        <v>969</v>
      </c>
      <c r="H215" s="31">
        <v>70.010000000000005</v>
      </c>
      <c r="I215" s="32">
        <v>179.52199999999999</v>
      </c>
      <c r="J215" s="32">
        <v>179.5283</v>
      </c>
      <c r="K215" s="33">
        <v>1</v>
      </c>
      <c r="L215" s="33">
        <v>1</v>
      </c>
      <c r="M215" s="6">
        <v>0</v>
      </c>
      <c r="N215" s="6">
        <v>0</v>
      </c>
      <c r="O215" s="6">
        <v>1</v>
      </c>
      <c r="P215" s="6">
        <v>1</v>
      </c>
      <c r="Q215" s="34">
        <v>179.52199999999999</v>
      </c>
      <c r="R215" s="34">
        <v>179.5283</v>
      </c>
      <c r="S215" s="34">
        <v>12568.335220000001</v>
      </c>
      <c r="T215" s="34">
        <v>12568.776283000001</v>
      </c>
      <c r="U215" s="35">
        <v>6.8255931956505249E-4</v>
      </c>
      <c r="V215" s="36">
        <v>6.8504038730257363E-4</v>
      </c>
      <c r="W215" s="36">
        <v>2.481067737521137E-6</v>
      </c>
      <c r="X215" s="37">
        <v>5.2081181450078464</v>
      </c>
      <c r="Y215" s="38">
        <v>74391.060491470445</v>
      </c>
      <c r="Z215" s="39">
        <v>0</v>
      </c>
      <c r="AA215" s="40">
        <v>0</v>
      </c>
      <c r="AB215" s="40">
        <v>0</v>
      </c>
      <c r="AC215" s="41">
        <v>0</v>
      </c>
      <c r="AD215" s="42">
        <v>0</v>
      </c>
      <c r="AE215" s="39">
        <v>1.4663231436687929E-3</v>
      </c>
      <c r="AF215" s="40">
        <v>1.4711127202435537E-3</v>
      </c>
      <c r="AG215" s="40">
        <v>4.7895765747608607E-6</v>
      </c>
      <c r="AH215" s="41">
        <v>6.1579540853633569E-2</v>
      </c>
      <c r="AI215" s="42">
        <v>879.58207189877965</v>
      </c>
      <c r="AJ215" s="41">
        <v>5.2696976858614804</v>
      </c>
      <c r="AK215" s="30">
        <v>75270.642563369227</v>
      </c>
      <c r="AL215" s="43">
        <f>+$AL$6*W215/H215*10^6</f>
        <v>17.719381070712306</v>
      </c>
      <c r="AM215" s="30">
        <v>1529735.875</v>
      </c>
      <c r="AN215" s="44">
        <v>4.9204992700696927E-2</v>
      </c>
      <c r="AP215" s="32"/>
      <c r="AR215" s="32"/>
    </row>
    <row r="216" spans="1:44">
      <c r="A216" s="5" t="s">
        <v>1184</v>
      </c>
      <c r="B216" s="5" t="s">
        <v>352</v>
      </c>
      <c r="C216" s="5" t="s">
        <v>2215</v>
      </c>
      <c r="D216" s="29" t="s">
        <v>2216</v>
      </c>
      <c r="E216" s="5" t="s">
        <v>709</v>
      </c>
      <c r="F216" s="30" t="s">
        <v>1156</v>
      </c>
      <c r="G216" s="5" t="s">
        <v>969</v>
      </c>
      <c r="H216" s="31">
        <v>39.979999999999997</v>
      </c>
      <c r="I216" s="32">
        <v>156.27799999999999</v>
      </c>
      <c r="J216" s="32">
        <v>156.28149999999999</v>
      </c>
      <c r="K216" s="33">
        <v>1</v>
      </c>
      <c r="L216" s="33">
        <v>1</v>
      </c>
      <c r="M216" s="6">
        <v>1</v>
      </c>
      <c r="N216" s="6">
        <v>1</v>
      </c>
      <c r="O216" s="6">
        <v>0</v>
      </c>
      <c r="P216" s="6">
        <v>0</v>
      </c>
      <c r="Q216" s="34">
        <v>156.27799999999999</v>
      </c>
      <c r="R216" s="34">
        <v>156.28149999999999</v>
      </c>
      <c r="S216" s="34">
        <v>6247.9944399999995</v>
      </c>
      <c r="T216" s="34">
        <v>6248.1343699999989</v>
      </c>
      <c r="U216" s="35">
        <v>3.3931517253186621E-4</v>
      </c>
      <c r="V216" s="36">
        <v>3.4054424172801713E-4</v>
      </c>
      <c r="W216" s="36">
        <v>1.2290691961509229E-6</v>
      </c>
      <c r="X216" s="37">
        <v>2.5799930752149796</v>
      </c>
      <c r="Y216" s="38">
        <v>64532.092926837911</v>
      </c>
      <c r="Z216" s="39">
        <v>6.3481584015491455E-4</v>
      </c>
      <c r="AA216" s="40">
        <v>6.3731916875567687E-4</v>
      </c>
      <c r="AB216" s="40">
        <v>2.5033286007623227E-6</v>
      </c>
      <c r="AC216" s="41">
        <v>4.9276600203420069E-2</v>
      </c>
      <c r="AD216" s="42">
        <v>1232.5312707208623</v>
      </c>
      <c r="AE216" s="39">
        <v>0</v>
      </c>
      <c r="AF216" s="40">
        <v>0</v>
      </c>
      <c r="AG216" s="40">
        <v>0</v>
      </c>
      <c r="AH216" s="41">
        <v>0</v>
      </c>
      <c r="AI216" s="42">
        <v>0</v>
      </c>
      <c r="AJ216" s="41">
        <v>2.6292696754183997</v>
      </c>
      <c r="AK216" s="30">
        <v>65764.624197558776</v>
      </c>
      <c r="AL216" s="43">
        <f>+$AL$6*W216/H216*10^6</f>
        <v>15.371050477125101</v>
      </c>
      <c r="AM216" s="30">
        <v>1339949.875</v>
      </c>
      <c r="AN216" s="44">
        <v>4.9079913677784984E-2</v>
      </c>
      <c r="AP216" s="32"/>
      <c r="AR216" s="32"/>
    </row>
    <row r="217" spans="1:44">
      <c r="A217" s="5" t="s">
        <v>826</v>
      </c>
      <c r="B217" s="5" t="s">
        <v>184</v>
      </c>
      <c r="C217" s="5" t="s">
        <v>2120</v>
      </c>
      <c r="D217" s="29" t="s">
        <v>2121</v>
      </c>
      <c r="E217" s="5" t="s">
        <v>681</v>
      </c>
      <c r="F217" s="30" t="s">
        <v>1160</v>
      </c>
      <c r="G217" s="5" t="s">
        <v>969</v>
      </c>
      <c r="H217" s="31">
        <v>37.76</v>
      </c>
      <c r="I217" s="32">
        <v>208.76</v>
      </c>
      <c r="J217" s="32">
        <v>209.167</v>
      </c>
      <c r="K217" s="33">
        <v>1</v>
      </c>
      <c r="L217" s="33">
        <v>1</v>
      </c>
      <c r="M217" s="6">
        <v>0</v>
      </c>
      <c r="N217" s="6">
        <v>0</v>
      </c>
      <c r="O217" s="6">
        <v>1</v>
      </c>
      <c r="P217" s="6">
        <v>1</v>
      </c>
      <c r="Q217" s="34">
        <v>208.76</v>
      </c>
      <c r="R217" s="34">
        <v>209.167</v>
      </c>
      <c r="S217" s="34">
        <v>7882.7775999999994</v>
      </c>
      <c r="T217" s="34">
        <v>7898.1459199999999</v>
      </c>
      <c r="U217" s="35">
        <v>4.2809673841104286E-4</v>
      </c>
      <c r="V217" s="36">
        <v>4.3047539539128589E-4</v>
      </c>
      <c r="W217" s="36">
        <v>2.3786569802430315E-6</v>
      </c>
      <c r="X217" s="37">
        <v>4.9931432311197685</v>
      </c>
      <c r="Y217" s="38">
        <v>132233.66607838371</v>
      </c>
      <c r="Z217" s="39">
        <v>0</v>
      </c>
      <c r="AA217" s="40">
        <v>0</v>
      </c>
      <c r="AB217" s="40">
        <v>0</v>
      </c>
      <c r="AC217" s="41">
        <v>0</v>
      </c>
      <c r="AD217" s="42">
        <v>0</v>
      </c>
      <c r="AE217" s="39">
        <v>9.1966827976393999E-4</v>
      </c>
      <c r="AF217" s="40">
        <v>9.2443867785022005E-4</v>
      </c>
      <c r="AG217" s="40">
        <v>4.7703980862800555E-6</v>
      </c>
      <c r="AH217" s="41">
        <v>6.1332963208098452E-2</v>
      </c>
      <c r="AI217" s="42">
        <v>1624.2839832653192</v>
      </c>
      <c r="AJ217" s="41">
        <v>5.0544761943278669</v>
      </c>
      <c r="AK217" s="30">
        <v>133857.95006164903</v>
      </c>
      <c r="AL217" s="43">
        <f>+$AL$6*W217/H217*10^6</f>
        <v>31.497046878218111</v>
      </c>
      <c r="AM217" s="30">
        <v>2733610.5</v>
      </c>
      <c r="AN217" s="44">
        <v>4.8967455334858065E-2</v>
      </c>
      <c r="AP217" s="32"/>
      <c r="AR217" s="32"/>
    </row>
    <row r="218" spans="1:44">
      <c r="A218" s="5" t="s">
        <v>1322</v>
      </c>
      <c r="B218" s="5" t="s">
        <v>494</v>
      </c>
      <c r="C218" s="5" t="s">
        <v>2139</v>
      </c>
      <c r="D218" s="29" t="s">
        <v>2140</v>
      </c>
      <c r="E218" s="5" t="s">
        <v>28</v>
      </c>
      <c r="F218" s="30" t="s">
        <v>1159</v>
      </c>
      <c r="G218" s="5" t="s">
        <v>971</v>
      </c>
      <c r="H218" s="31">
        <v>75.510000000000005</v>
      </c>
      <c r="I218" s="32">
        <v>190.53399999999999</v>
      </c>
      <c r="J218" s="32">
        <v>190.53369999999998</v>
      </c>
      <c r="K218" s="33">
        <v>0.74</v>
      </c>
      <c r="L218" s="33">
        <v>0.74</v>
      </c>
      <c r="M218" s="6">
        <v>1</v>
      </c>
      <c r="N218" s="6">
        <v>1</v>
      </c>
      <c r="O218" s="6">
        <v>0</v>
      </c>
      <c r="P218" s="6">
        <v>0</v>
      </c>
      <c r="Q218" s="34">
        <v>140.99516</v>
      </c>
      <c r="R218" s="34">
        <v>140.99493799999999</v>
      </c>
      <c r="S218" s="34">
        <v>10646.5445316</v>
      </c>
      <c r="T218" s="34">
        <v>10646.52776838</v>
      </c>
      <c r="U218" s="35">
        <v>5.7819099061298955E-4</v>
      </c>
      <c r="V218" s="36">
        <v>5.8027140762647298E-4</v>
      </c>
      <c r="W218" s="36">
        <v>2.0804170134834307E-6</v>
      </c>
      <c r="X218" s="37">
        <v>4.3670946315764514</v>
      </c>
      <c r="Y218" s="38">
        <v>57834.65278210106</v>
      </c>
      <c r="Z218" s="39">
        <v>1.0817223312980999E-3</v>
      </c>
      <c r="AA218" s="40">
        <v>1.0859619569094149E-3</v>
      </c>
      <c r="AB218" s="40">
        <v>4.2396256113149886E-6</v>
      </c>
      <c r="AC218" s="41">
        <v>8.345461966013161E-2</v>
      </c>
      <c r="AD218" s="42">
        <v>1105.2128149931348</v>
      </c>
      <c r="AE218" s="39">
        <v>0</v>
      </c>
      <c r="AF218" s="40">
        <v>0</v>
      </c>
      <c r="AG218" s="40">
        <v>0</v>
      </c>
      <c r="AH218" s="41">
        <v>0</v>
      </c>
      <c r="AI218" s="42">
        <v>0</v>
      </c>
      <c r="AJ218" s="41">
        <v>4.4505492512365832</v>
      </c>
      <c r="AK218" s="30">
        <v>58939.865597094198</v>
      </c>
      <c r="AL218" s="43">
        <f>+$AL$6*W218/H218*10^6</f>
        <v>13.775771510286258</v>
      </c>
      <c r="AM218" s="30">
        <v>1223241.125</v>
      </c>
      <c r="AN218" s="44">
        <v>4.8183358450358017E-2</v>
      </c>
      <c r="AP218" s="32"/>
      <c r="AR218" s="32"/>
    </row>
    <row r="219" spans="1:44">
      <c r="A219" s="5" t="s">
        <v>1193</v>
      </c>
      <c r="B219" s="5" t="s">
        <v>363</v>
      </c>
      <c r="C219" s="5" t="s">
        <v>1907</v>
      </c>
      <c r="D219" s="29" t="s">
        <v>1908</v>
      </c>
      <c r="E219" s="5" t="s">
        <v>718</v>
      </c>
      <c r="F219" s="30" t="s">
        <v>1160</v>
      </c>
      <c r="G219" s="5" t="s">
        <v>969</v>
      </c>
      <c r="H219" s="31">
        <v>78.099999999999994</v>
      </c>
      <c r="I219" s="32">
        <v>507.93599999999998</v>
      </c>
      <c r="J219" s="32">
        <v>508.01219999999995</v>
      </c>
      <c r="K219" s="33">
        <v>1</v>
      </c>
      <c r="L219" s="33">
        <v>1</v>
      </c>
      <c r="M219" s="6">
        <v>0.52</v>
      </c>
      <c r="N219" s="6">
        <v>0.52</v>
      </c>
      <c r="O219" s="6">
        <v>0.48</v>
      </c>
      <c r="P219" s="6">
        <v>0.48</v>
      </c>
      <c r="Q219" s="34">
        <v>507.93599999999998</v>
      </c>
      <c r="R219" s="34">
        <v>508.01219999999995</v>
      </c>
      <c r="S219" s="34">
        <v>39669.801599999999</v>
      </c>
      <c r="T219" s="34">
        <v>39675.752819999994</v>
      </c>
      <c r="U219" s="35">
        <v>2.1543818105908721E-3</v>
      </c>
      <c r="V219" s="36">
        <v>2.1624613618985182E-3</v>
      </c>
      <c r="W219" s="36">
        <v>8.0795513076460483E-6</v>
      </c>
      <c r="X219" s="37">
        <v>16.960140641268875</v>
      </c>
      <c r="Y219" s="38">
        <v>217159.29118141966</v>
      </c>
      <c r="Z219" s="39">
        <v>2.0958996859112189E-3</v>
      </c>
      <c r="AA219" s="40">
        <v>2.1044331765289826E-3</v>
      </c>
      <c r="AB219" s="40">
        <v>8.5334906177636678E-6</v>
      </c>
      <c r="AC219" s="41">
        <v>0.16797691097490111</v>
      </c>
      <c r="AD219" s="42">
        <v>2150.7927141472614</v>
      </c>
      <c r="AE219" s="39">
        <v>2.2215352027822556E-3</v>
      </c>
      <c r="AF219" s="40">
        <v>2.229047729498496E-3</v>
      </c>
      <c r="AG219" s="40">
        <v>7.512526716240385E-6</v>
      </c>
      <c r="AH219" s="41">
        <v>9.6588485143874442E-2</v>
      </c>
      <c r="AI219" s="42">
        <v>1236.7283629177266</v>
      </c>
      <c r="AJ219" s="41">
        <v>17.224706037387651</v>
      </c>
      <c r="AK219" s="30">
        <v>220546.81225848466</v>
      </c>
      <c r="AL219" s="43">
        <f>+$AL$6*W219/H219*10^6</f>
        <v>51.725680586722468</v>
      </c>
      <c r="AM219" s="30">
        <v>4578234.5</v>
      </c>
      <c r="AN219" s="44">
        <v>4.8172895525225863E-2</v>
      </c>
      <c r="AP219" s="32"/>
      <c r="AR219" s="32"/>
    </row>
    <row r="220" spans="1:44">
      <c r="A220" s="5" t="s">
        <v>1350</v>
      </c>
      <c r="B220" s="5" t="s">
        <v>520</v>
      </c>
      <c r="C220" s="5" t="s">
        <v>1978</v>
      </c>
      <c r="D220" s="29" t="s">
        <v>1979</v>
      </c>
      <c r="E220" s="5" t="s">
        <v>54</v>
      </c>
      <c r="F220" s="30" t="s">
        <v>1160</v>
      </c>
      <c r="G220" s="5" t="s">
        <v>969</v>
      </c>
      <c r="H220" s="31">
        <v>19.059999999999999</v>
      </c>
      <c r="I220" s="32">
        <v>674.95399999999995</v>
      </c>
      <c r="J220" s="32">
        <v>677.18489999999997</v>
      </c>
      <c r="K220" s="33">
        <v>1</v>
      </c>
      <c r="L220" s="33">
        <v>1</v>
      </c>
      <c r="M220" s="6">
        <v>0</v>
      </c>
      <c r="N220" s="6">
        <v>0</v>
      </c>
      <c r="O220" s="6">
        <v>1</v>
      </c>
      <c r="P220" s="6">
        <v>1</v>
      </c>
      <c r="Q220" s="34">
        <v>674.95399999999995</v>
      </c>
      <c r="R220" s="34">
        <v>677.18489999999997</v>
      </c>
      <c r="S220" s="34">
        <v>12864.623239999999</v>
      </c>
      <c r="T220" s="34">
        <v>12907.144193999999</v>
      </c>
      <c r="U220" s="35">
        <v>6.9865008622479747E-4</v>
      </c>
      <c r="V220" s="36">
        <v>7.0348257129750384E-4</v>
      </c>
      <c r="W220" s="36">
        <v>4.8324850727063644E-6</v>
      </c>
      <c r="X220" s="37">
        <v>10.144081442043726</v>
      </c>
      <c r="Y220" s="38">
        <v>532218.33379033185</v>
      </c>
      <c r="Z220" s="39">
        <v>0</v>
      </c>
      <c r="AA220" s="40">
        <v>0</v>
      </c>
      <c r="AB220" s="40">
        <v>0</v>
      </c>
      <c r="AC220" s="41">
        <v>0</v>
      </c>
      <c r="AD220" s="42">
        <v>0</v>
      </c>
      <c r="AE220" s="39">
        <v>1.5008904887716234E-3</v>
      </c>
      <c r="AF220" s="40">
        <v>1.5107170004683204E-3</v>
      </c>
      <c r="AG220" s="40">
        <v>9.8265116966970555E-6</v>
      </c>
      <c r="AH220" s="41">
        <v>0.12633936821558744</v>
      </c>
      <c r="AI220" s="42">
        <v>6628.5083009227419</v>
      </c>
      <c r="AJ220" s="41">
        <v>10.270420810259314</v>
      </c>
      <c r="AK220" s="30">
        <v>538846.84209125454</v>
      </c>
      <c r="AL220" s="43">
        <f>+$AL$6*W220/H220*10^6</f>
        <v>126.77033244245449</v>
      </c>
      <c r="AM220" s="30">
        <v>11350680</v>
      </c>
      <c r="AN220" s="44">
        <v>4.7472648518965786E-2</v>
      </c>
      <c r="AP220" s="32"/>
      <c r="AR220" s="32"/>
    </row>
    <row r="221" spans="1:44">
      <c r="A221" s="5" t="s">
        <v>300</v>
      </c>
      <c r="B221" s="5" t="s">
        <v>600</v>
      </c>
      <c r="C221" s="5" t="s">
        <v>2148</v>
      </c>
      <c r="D221" s="29" t="s">
        <v>1509</v>
      </c>
      <c r="E221" s="5" t="s">
        <v>126</v>
      </c>
      <c r="F221" s="30" t="s">
        <v>1149</v>
      </c>
      <c r="G221" s="5" t="s">
        <v>969</v>
      </c>
      <c r="H221" s="31">
        <v>52.47</v>
      </c>
      <c r="I221" s="32">
        <v>99.222999999999999</v>
      </c>
      <c r="J221" s="32">
        <v>99.564119999999988</v>
      </c>
      <c r="K221" s="33">
        <v>1</v>
      </c>
      <c r="L221" s="33">
        <v>1</v>
      </c>
      <c r="M221" s="6">
        <v>0.5</v>
      </c>
      <c r="N221" s="6">
        <v>0.5</v>
      </c>
      <c r="O221" s="6">
        <v>0.5</v>
      </c>
      <c r="P221" s="6">
        <v>0.5</v>
      </c>
      <c r="Q221" s="34">
        <v>99.222999999999999</v>
      </c>
      <c r="R221" s="34">
        <v>99.564119999999988</v>
      </c>
      <c r="S221" s="34">
        <v>5206.23081</v>
      </c>
      <c r="T221" s="34">
        <v>5224.1293763999993</v>
      </c>
      <c r="U221" s="35">
        <v>2.8273922496254138E-4</v>
      </c>
      <c r="V221" s="36">
        <v>2.8473254123937753E-4</v>
      </c>
      <c r="W221" s="36">
        <v>1.9933162768361479E-6</v>
      </c>
      <c r="X221" s="37">
        <v>4.1842576537237255</v>
      </c>
      <c r="Y221" s="38">
        <v>79745.714765079581</v>
      </c>
      <c r="Z221" s="39">
        <v>2.6448469324266488E-4</v>
      </c>
      <c r="AA221" s="40">
        <v>2.6643455425874276E-4</v>
      </c>
      <c r="AB221" s="40">
        <v>1.9498610160778845E-6</v>
      </c>
      <c r="AC221" s="41">
        <v>3.8381905480664801E-2</v>
      </c>
      <c r="AD221" s="42">
        <v>731.50191501171719</v>
      </c>
      <c r="AE221" s="39">
        <v>3.0370039445783197E-4</v>
      </c>
      <c r="AF221" s="40">
        <v>3.0572917381841119E-4</v>
      </c>
      <c r="AG221" s="40">
        <v>2.0287793605792211E-6</v>
      </c>
      <c r="AH221" s="41">
        <v>2.6083997106578143E-2</v>
      </c>
      <c r="AI221" s="42">
        <v>497.12210990238503</v>
      </c>
      <c r="AJ221" s="41">
        <v>4.2487235563109689</v>
      </c>
      <c r="AK221" s="30">
        <v>80974.338789993679</v>
      </c>
      <c r="AL221" s="43">
        <f>+$AL$6*W221/H221*10^6</f>
        <v>18.994818723424316</v>
      </c>
      <c r="AM221" s="30">
        <v>1706924.5</v>
      </c>
      <c r="AN221" s="44">
        <v>4.7438734864953709E-2</v>
      </c>
      <c r="AP221" s="32"/>
      <c r="AR221" s="32"/>
    </row>
    <row r="222" spans="1:44">
      <c r="A222" s="5" t="s">
        <v>1225</v>
      </c>
      <c r="B222" s="5" t="s">
        <v>395</v>
      </c>
      <c r="C222" s="5" t="s">
        <v>2243</v>
      </c>
      <c r="D222" s="29" t="s">
        <v>2244</v>
      </c>
      <c r="E222" s="5" t="s">
        <v>745</v>
      </c>
      <c r="F222" s="30" t="s">
        <v>1155</v>
      </c>
      <c r="G222" s="5" t="s">
        <v>971</v>
      </c>
      <c r="H222" s="31">
        <v>56.23</v>
      </c>
      <c r="I222" s="32">
        <v>164.358</v>
      </c>
      <c r="J222" s="32">
        <v>164.09289999999999</v>
      </c>
      <c r="K222" s="33">
        <v>0.9</v>
      </c>
      <c r="L222" s="33">
        <v>0.9</v>
      </c>
      <c r="M222" s="6">
        <v>0</v>
      </c>
      <c r="N222" s="6">
        <v>0</v>
      </c>
      <c r="O222" s="6">
        <v>1</v>
      </c>
      <c r="P222" s="6">
        <v>1</v>
      </c>
      <c r="Q222" s="34">
        <v>147.9222</v>
      </c>
      <c r="R222" s="34">
        <v>147.68360999999999</v>
      </c>
      <c r="S222" s="34">
        <v>8317.665305999999</v>
      </c>
      <c r="T222" s="34">
        <v>8304.2493902999995</v>
      </c>
      <c r="U222" s="35">
        <v>4.5171455664222833E-4</v>
      </c>
      <c r="V222" s="36">
        <v>4.5260939414464973E-4</v>
      </c>
      <c r="W222" s="36">
        <v>8.9483750242139908E-7</v>
      </c>
      <c r="X222" s="37">
        <v>1.8783926624472853</v>
      </c>
      <c r="Y222" s="38">
        <v>33405.524852343689</v>
      </c>
      <c r="Z222" s="39">
        <v>0</v>
      </c>
      <c r="AA222" s="40">
        <v>0</v>
      </c>
      <c r="AB222" s="40">
        <v>0</v>
      </c>
      <c r="AC222" s="41">
        <v>0</v>
      </c>
      <c r="AD222" s="42">
        <v>0</v>
      </c>
      <c r="AE222" s="39">
        <v>9.7040577976235498E-4</v>
      </c>
      <c r="AF222" s="40">
        <v>9.7197106823109034E-4</v>
      </c>
      <c r="AG222" s="40">
        <v>1.5652884687353654E-6</v>
      </c>
      <c r="AH222" s="41">
        <v>2.0124899081089151E-2</v>
      </c>
      <c r="AI222" s="42">
        <v>357.90323814848216</v>
      </c>
      <c r="AJ222" s="41">
        <v>1.8985175615283745</v>
      </c>
      <c r="AK222" s="30">
        <v>33763.428090492169</v>
      </c>
      <c r="AL222" s="43">
        <f>+$AL$6*W222/H222*10^6</f>
        <v>7.9569402669517979</v>
      </c>
      <c r="AM222" s="30">
        <v>713535.0625</v>
      </c>
      <c r="AN222" s="44">
        <v>4.7318526958150947E-2</v>
      </c>
      <c r="AP222" s="32"/>
      <c r="AR222" s="32"/>
    </row>
    <row r="223" spans="1:44">
      <c r="A223" s="5" t="s">
        <v>1674</v>
      </c>
      <c r="B223" s="5" t="s">
        <v>1657</v>
      </c>
      <c r="C223" s="5" t="s">
        <v>2158</v>
      </c>
      <c r="D223" s="29" t="s">
        <v>2159</v>
      </c>
      <c r="E223" s="5" t="s">
        <v>1694</v>
      </c>
      <c r="F223" s="30" t="s">
        <v>1154</v>
      </c>
      <c r="G223" s="5" t="s">
        <v>971</v>
      </c>
      <c r="H223" s="31">
        <v>50.91</v>
      </c>
      <c r="I223" s="32">
        <v>317.64800000000002</v>
      </c>
      <c r="J223" s="32">
        <v>317.17320000000001</v>
      </c>
      <c r="K223" s="33">
        <v>1</v>
      </c>
      <c r="L223" s="33">
        <v>1</v>
      </c>
      <c r="M223" s="6">
        <v>0</v>
      </c>
      <c r="N223" s="6">
        <v>0</v>
      </c>
      <c r="O223" s="6">
        <v>1</v>
      </c>
      <c r="P223" s="6">
        <v>1</v>
      </c>
      <c r="Q223" s="34">
        <v>317.64800000000002</v>
      </c>
      <c r="R223" s="34">
        <v>317.17320000000001</v>
      </c>
      <c r="S223" s="34">
        <v>16171.45968</v>
      </c>
      <c r="T223" s="34">
        <v>16147.287612</v>
      </c>
      <c r="U223" s="35">
        <v>8.7823727823472869E-4</v>
      </c>
      <c r="V223" s="36">
        <v>8.8008123547969499E-4</v>
      </c>
      <c r="W223" s="36">
        <v>1.8439572449663062E-6</v>
      </c>
      <c r="X223" s="37">
        <v>3.8707315567783369</v>
      </c>
      <c r="Y223" s="38">
        <v>76030.869314051015</v>
      </c>
      <c r="Z223" s="39">
        <v>0</v>
      </c>
      <c r="AA223" s="40">
        <v>0</v>
      </c>
      <c r="AB223" s="40">
        <v>0</v>
      </c>
      <c r="AC223" s="41">
        <v>0</v>
      </c>
      <c r="AD223" s="42">
        <v>0</v>
      </c>
      <c r="AE223" s="39">
        <v>1.8866926431081242E-3</v>
      </c>
      <c r="AF223" s="40">
        <v>1.8899596642175634E-3</v>
      </c>
      <c r="AG223" s="40">
        <v>3.2670211094392235E-6</v>
      </c>
      <c r="AH223" s="41">
        <v>4.2004059594441451E-2</v>
      </c>
      <c r="AI223" s="42">
        <v>825.06500872994411</v>
      </c>
      <c r="AJ223" s="41">
        <v>3.9127356163727782</v>
      </c>
      <c r="AK223" s="30">
        <v>76855.934322780959</v>
      </c>
      <c r="AL223" s="43">
        <f>+$AL$6*W223/H223*10^6</f>
        <v>18.109970977865903</v>
      </c>
      <c r="AM223" s="30">
        <v>1634362.125</v>
      </c>
      <c r="AN223" s="44">
        <v>4.7025033893746751E-2</v>
      </c>
      <c r="AP223" s="32"/>
      <c r="AR223" s="32"/>
    </row>
    <row r="224" spans="1:44">
      <c r="A224" s="5" t="s">
        <v>1278</v>
      </c>
      <c r="B224" s="5" t="s">
        <v>451</v>
      </c>
      <c r="C224" s="5" t="s">
        <v>2100</v>
      </c>
      <c r="D224" s="29" t="s">
        <v>2101</v>
      </c>
      <c r="E224" s="5" t="s">
        <v>792</v>
      </c>
      <c r="F224" s="30" t="s">
        <v>1165</v>
      </c>
      <c r="G224" s="5" t="s">
        <v>971</v>
      </c>
      <c r="H224" s="31">
        <v>20.68</v>
      </c>
      <c r="I224" s="32">
        <v>809.93399999999997</v>
      </c>
      <c r="J224" s="32">
        <v>809.28980000000001</v>
      </c>
      <c r="K224" s="33">
        <v>1</v>
      </c>
      <c r="L224" s="33">
        <v>1</v>
      </c>
      <c r="M224" s="6">
        <v>0</v>
      </c>
      <c r="N224" s="6">
        <v>0</v>
      </c>
      <c r="O224" s="6">
        <v>1</v>
      </c>
      <c r="P224" s="6">
        <v>1</v>
      </c>
      <c r="Q224" s="34">
        <v>809.93399999999997</v>
      </c>
      <c r="R224" s="34">
        <v>809.28980000000001</v>
      </c>
      <c r="S224" s="34">
        <v>16749.435119999998</v>
      </c>
      <c r="T224" s="34">
        <v>16736.113064000001</v>
      </c>
      <c r="U224" s="35">
        <v>9.0962588429481679E-4</v>
      </c>
      <c r="V224" s="36">
        <v>9.1217419398332232E-4</v>
      </c>
      <c r="W224" s="36">
        <v>2.548309688505529E-6</v>
      </c>
      <c r="X224" s="37">
        <v>5.3492686745687328</v>
      </c>
      <c r="Y224" s="38">
        <v>258668.69799655379</v>
      </c>
      <c r="Z224" s="39">
        <v>0</v>
      </c>
      <c r="AA224" s="40">
        <v>0</v>
      </c>
      <c r="AB224" s="40">
        <v>0</v>
      </c>
      <c r="AC224" s="41">
        <v>0</v>
      </c>
      <c r="AD224" s="42">
        <v>0</v>
      </c>
      <c r="AE224" s="39">
        <v>1.9541239098040926E-3</v>
      </c>
      <c r="AF224" s="40">
        <v>1.9588787533107461E-3</v>
      </c>
      <c r="AG224" s="40">
        <v>4.754843506653457E-6</v>
      </c>
      <c r="AH224" s="41">
        <v>6.113297812452663E-2</v>
      </c>
      <c r="AI224" s="42">
        <v>2956.1401414181155</v>
      </c>
      <c r="AJ224" s="41">
        <v>5.4104016526932597</v>
      </c>
      <c r="AK224" s="30">
        <v>261624.83813797191</v>
      </c>
      <c r="AL224" s="43">
        <f>+$AL$6*W224/H224*10^6</f>
        <v>61.612903493847412</v>
      </c>
      <c r="AM224" s="30">
        <v>5578510.5</v>
      </c>
      <c r="AN224" s="44">
        <v>4.6898690633991262E-2</v>
      </c>
      <c r="AP224" s="32"/>
      <c r="AR224" s="32"/>
    </row>
    <row r="225" spans="1:44">
      <c r="A225" s="5" t="s">
        <v>1678</v>
      </c>
      <c r="B225" s="5" t="s">
        <v>1662</v>
      </c>
      <c r="C225" s="5" t="s">
        <v>1815</v>
      </c>
      <c r="D225" s="29" t="s">
        <v>1816</v>
      </c>
      <c r="E225" s="5" t="s">
        <v>1702</v>
      </c>
      <c r="F225" s="30" t="s">
        <v>1151</v>
      </c>
      <c r="G225" s="5" t="s">
        <v>969</v>
      </c>
      <c r="H225" s="31">
        <v>38.19</v>
      </c>
      <c r="I225" s="32">
        <v>1214.8219999999999</v>
      </c>
      <c r="J225" s="32">
        <v>1218.7359999999999</v>
      </c>
      <c r="K225" s="33">
        <v>0.91</v>
      </c>
      <c r="L225" s="33">
        <v>0.91</v>
      </c>
      <c r="M225" s="6">
        <v>0.67</v>
      </c>
      <c r="N225" s="6">
        <v>0.67</v>
      </c>
      <c r="O225" s="6">
        <v>0.33</v>
      </c>
      <c r="P225" s="6">
        <v>0.33</v>
      </c>
      <c r="Q225" s="34">
        <v>1105.48802</v>
      </c>
      <c r="R225" s="34">
        <v>1109.0497599999999</v>
      </c>
      <c r="S225" s="34">
        <v>42218.587483799995</v>
      </c>
      <c r="T225" s="34">
        <v>42354.610334399993</v>
      </c>
      <c r="U225" s="35">
        <v>2.2928009033435187E-3</v>
      </c>
      <c r="V225" s="36">
        <v>2.3084680651664488E-3</v>
      </c>
      <c r="W225" s="36">
        <v>1.5667161822930081E-5</v>
      </c>
      <c r="X225" s="37">
        <v>32.887626781322901</v>
      </c>
      <c r="Y225" s="38">
        <v>861158.07230486791</v>
      </c>
      <c r="Z225" s="39">
        <v>2.8739924448567709E-3</v>
      </c>
      <c r="AA225" s="40">
        <v>2.8945570490931318E-3</v>
      </c>
      <c r="AB225" s="40">
        <v>2.0564604236360858E-5</v>
      </c>
      <c r="AC225" s="41">
        <v>0.40480254209859728</v>
      </c>
      <c r="AD225" s="42">
        <v>10599.699976396892</v>
      </c>
      <c r="AE225" s="39">
        <v>1.6254348707422138E-3</v>
      </c>
      <c r="AF225" s="40">
        <v>1.6359408048097976E-3</v>
      </c>
      <c r="AG225" s="40">
        <v>1.050593406758376E-5</v>
      </c>
      <c r="AH225" s="41">
        <v>0.1350746952307901</v>
      </c>
      <c r="AI225" s="42">
        <v>3536.9126795179395</v>
      </c>
      <c r="AJ225" s="41">
        <v>33.427504018652293</v>
      </c>
      <c r="AK225" s="30">
        <v>875294.68496078276</v>
      </c>
      <c r="AL225" s="43">
        <f>+$AL$6*W225/H225*10^6</f>
        <v>205.12125979222418</v>
      </c>
      <c r="AM225" s="30">
        <v>18664106</v>
      </c>
      <c r="AN225" s="44">
        <v>4.6897219987969571E-2</v>
      </c>
      <c r="AP225" s="32"/>
      <c r="AR225" s="32"/>
    </row>
    <row r="226" spans="1:44">
      <c r="A226" s="5" t="s">
        <v>829</v>
      </c>
      <c r="B226" s="5" t="s">
        <v>1556</v>
      </c>
      <c r="C226" s="5" t="s">
        <v>1964</v>
      </c>
      <c r="D226" s="29" t="s">
        <v>1628</v>
      </c>
      <c r="E226" s="5" t="s">
        <v>1645</v>
      </c>
      <c r="F226" s="30" t="s">
        <v>1150</v>
      </c>
      <c r="G226" s="5" t="s">
        <v>969</v>
      </c>
      <c r="H226" s="31">
        <v>186.06</v>
      </c>
      <c r="I226" s="32">
        <v>146.26300000000001</v>
      </c>
      <c r="J226" s="32">
        <v>146.2713</v>
      </c>
      <c r="K226" s="33">
        <v>1</v>
      </c>
      <c r="L226" s="33">
        <v>1</v>
      </c>
      <c r="M226" s="6">
        <v>0.5</v>
      </c>
      <c r="N226" s="6">
        <v>0.5</v>
      </c>
      <c r="O226" s="6">
        <v>0.5</v>
      </c>
      <c r="P226" s="6">
        <v>0.5</v>
      </c>
      <c r="Q226" s="34">
        <v>146.26300000000001</v>
      </c>
      <c r="R226" s="34">
        <v>146.2713</v>
      </c>
      <c r="S226" s="34">
        <v>27213.693780000001</v>
      </c>
      <c r="T226" s="34">
        <v>27215.238077999998</v>
      </c>
      <c r="U226" s="35">
        <v>1.4779173203281653E-3</v>
      </c>
      <c r="V226" s="36">
        <v>1.4833215910367769E-3</v>
      </c>
      <c r="W226" s="36">
        <v>5.404270708611646E-6</v>
      </c>
      <c r="X226" s="37">
        <v>11.344341757543384</v>
      </c>
      <c r="Y226" s="38">
        <v>60971.416519098057</v>
      </c>
      <c r="Z226" s="39">
        <v>1.3824983397927987E-3</v>
      </c>
      <c r="AA226" s="40">
        <v>1.3879977511878324E-3</v>
      </c>
      <c r="AB226" s="40">
        <v>5.499411395033663E-6</v>
      </c>
      <c r="AC226" s="41">
        <v>0.10825278654375733</v>
      </c>
      <c r="AD226" s="42">
        <v>581.81654597311262</v>
      </c>
      <c r="AE226" s="39">
        <v>1.5874842736065037E-3</v>
      </c>
      <c r="AF226" s="40">
        <v>1.592704095431886E-3</v>
      </c>
      <c r="AG226" s="40">
        <v>5.2198218253823696E-6</v>
      </c>
      <c r="AH226" s="41">
        <v>6.7111199983449624E-2</v>
      </c>
      <c r="AI226" s="42">
        <v>360.69654941120945</v>
      </c>
      <c r="AJ226" s="41">
        <v>11.51970574407059</v>
      </c>
      <c r="AK226" s="30">
        <v>61913.929614482375</v>
      </c>
      <c r="AL226" s="43">
        <f>+$AL$6*W226/H226*10^6</f>
        <v>14.52292461735904</v>
      </c>
      <c r="AM226" s="30">
        <v>1320909.625</v>
      </c>
      <c r="AN226" s="44">
        <v>4.6872192043026693E-2</v>
      </c>
      <c r="AP226" s="32"/>
      <c r="AR226" s="32"/>
    </row>
    <row r="227" spans="1:44">
      <c r="A227" s="5" t="s">
        <v>1269</v>
      </c>
      <c r="B227" s="5" t="s">
        <v>442</v>
      </c>
      <c r="C227" s="5" t="s">
        <v>2128</v>
      </c>
      <c r="D227" s="29" t="s">
        <v>2129</v>
      </c>
      <c r="E227" s="5" t="s">
        <v>785</v>
      </c>
      <c r="F227" s="30" t="s">
        <v>1157</v>
      </c>
      <c r="G227" s="5" t="s">
        <v>969</v>
      </c>
      <c r="H227" s="31">
        <v>28.27</v>
      </c>
      <c r="I227" s="32">
        <v>289.887</v>
      </c>
      <c r="J227" s="32">
        <v>290.3066</v>
      </c>
      <c r="K227" s="33">
        <v>1</v>
      </c>
      <c r="L227" s="33">
        <v>1</v>
      </c>
      <c r="M227" s="6">
        <v>0.4</v>
      </c>
      <c r="N227" s="6">
        <v>0.4</v>
      </c>
      <c r="O227" s="6">
        <v>0.6</v>
      </c>
      <c r="P227" s="6">
        <v>0.6</v>
      </c>
      <c r="Q227" s="34">
        <v>289.887</v>
      </c>
      <c r="R227" s="34">
        <v>290.3066</v>
      </c>
      <c r="S227" s="34">
        <v>8195.1054899999999</v>
      </c>
      <c r="T227" s="34">
        <v>8206.9675819999993</v>
      </c>
      <c r="U227" s="35">
        <v>4.4505859599583674E-4</v>
      </c>
      <c r="V227" s="36">
        <v>4.4730720989577706E-4</v>
      </c>
      <c r="W227" s="36">
        <v>2.2486138999403189E-6</v>
      </c>
      <c r="X227" s="37">
        <v>4.7201640955988866</v>
      </c>
      <c r="Y227" s="38">
        <v>166967.24781036034</v>
      </c>
      <c r="Z227" s="39">
        <v>3.3305937300369962E-4</v>
      </c>
      <c r="AA227" s="40">
        <v>3.348492492401394E-4</v>
      </c>
      <c r="AB227" s="40">
        <v>1.7898762364397763E-6</v>
      </c>
      <c r="AC227" s="41">
        <v>3.5232696055078963E-2</v>
      </c>
      <c r="AD227" s="42">
        <v>1246.2927504449581</v>
      </c>
      <c r="AE227" s="39">
        <v>5.7366417911922216E-4</v>
      </c>
      <c r="AF227" s="40">
        <v>5.7635082999304955E-4</v>
      </c>
      <c r="AG227" s="40">
        <v>2.6866508738273903E-6</v>
      </c>
      <c r="AH227" s="41">
        <v>3.4542244948357365E-2</v>
      </c>
      <c r="AI227" s="42">
        <v>1221.8692942468115</v>
      </c>
      <c r="AJ227" s="41">
        <v>4.7899390366023233</v>
      </c>
      <c r="AK227" s="30">
        <v>169435.4098550521</v>
      </c>
      <c r="AL227" s="43">
        <f>+$AL$6*W227/H227*10^6</f>
        <v>39.77032012628792</v>
      </c>
      <c r="AM227" s="30">
        <v>3622218.5</v>
      </c>
      <c r="AN227" s="44">
        <v>4.6776694960575155E-2</v>
      </c>
      <c r="AP227" s="32"/>
      <c r="AR227" s="32"/>
    </row>
    <row r="228" spans="1:44">
      <c r="A228" s="5" t="s">
        <v>808</v>
      </c>
      <c r="B228" s="5" t="s">
        <v>169</v>
      </c>
      <c r="C228" s="5" t="s">
        <v>2048</v>
      </c>
      <c r="D228" s="29" t="s">
        <v>2049</v>
      </c>
      <c r="E228" s="5" t="s">
        <v>665</v>
      </c>
      <c r="F228" s="30" t="s">
        <v>1156</v>
      </c>
      <c r="G228" s="5" t="s">
        <v>969</v>
      </c>
      <c r="H228" s="31">
        <v>280.35000000000002</v>
      </c>
      <c r="I228" s="32">
        <v>56.923000000000002</v>
      </c>
      <c r="J228" s="32">
        <v>56.958449999999999</v>
      </c>
      <c r="K228" s="33">
        <v>1</v>
      </c>
      <c r="L228" s="33">
        <v>1</v>
      </c>
      <c r="M228" s="6">
        <v>1</v>
      </c>
      <c r="N228" s="6">
        <v>1</v>
      </c>
      <c r="O228" s="6">
        <v>0</v>
      </c>
      <c r="P228" s="6">
        <v>0</v>
      </c>
      <c r="Q228" s="34">
        <v>56.923000000000002</v>
      </c>
      <c r="R228" s="34">
        <v>56.958449999999999</v>
      </c>
      <c r="S228" s="34">
        <v>15958.363050000002</v>
      </c>
      <c r="T228" s="34">
        <v>15968.301457500002</v>
      </c>
      <c r="U228" s="35">
        <v>8.6666445747299824E-4</v>
      </c>
      <c r="V228" s="36">
        <v>8.7032589081926712E-4</v>
      </c>
      <c r="W228" s="36">
        <v>3.6614333462688803E-6</v>
      </c>
      <c r="X228" s="37">
        <v>7.6858753830284314</v>
      </c>
      <c r="Y228" s="38">
        <v>27415.285832097132</v>
      </c>
      <c r="Z228" s="39">
        <v>1.621419760271569E-3</v>
      </c>
      <c r="AA228" s="40">
        <v>1.6287909332100305E-3</v>
      </c>
      <c r="AB228" s="40">
        <v>7.3711729384614514E-6</v>
      </c>
      <c r="AC228" s="41">
        <v>0.14509734830985554</v>
      </c>
      <c r="AD228" s="42">
        <v>517.55786805726962</v>
      </c>
      <c r="AE228" s="39">
        <v>0</v>
      </c>
      <c r="AF228" s="40">
        <v>0</v>
      </c>
      <c r="AG228" s="40">
        <v>0</v>
      </c>
      <c r="AH228" s="41">
        <v>0</v>
      </c>
      <c r="AI228" s="42">
        <v>0</v>
      </c>
      <c r="AJ228" s="41">
        <v>7.8309727313382869</v>
      </c>
      <c r="AK228" s="30">
        <v>27932.843700154401</v>
      </c>
      <c r="AL228" s="43">
        <f>+$AL$6*W228/H228*10^6</f>
        <v>6.5301111936309617</v>
      </c>
      <c r="AM228" s="30">
        <v>607587.625</v>
      </c>
      <c r="AN228" s="44">
        <v>4.5973358493195775E-2</v>
      </c>
      <c r="AP228" s="32"/>
      <c r="AR228" s="32"/>
    </row>
    <row r="229" spans="1:44">
      <c r="A229" s="5" t="s">
        <v>1192</v>
      </c>
      <c r="B229" s="5" t="s">
        <v>362</v>
      </c>
      <c r="C229" s="5" t="s">
        <v>1949</v>
      </c>
      <c r="D229" s="29" t="s">
        <v>1950</v>
      </c>
      <c r="E229" s="5" t="s">
        <v>717</v>
      </c>
      <c r="F229" s="30" t="s">
        <v>1160</v>
      </c>
      <c r="G229" s="5" t="s">
        <v>969</v>
      </c>
      <c r="H229" s="31">
        <v>49.21</v>
      </c>
      <c r="I229" s="32">
        <v>377.09500000000003</v>
      </c>
      <c r="J229" s="32">
        <v>377.98749999999995</v>
      </c>
      <c r="K229" s="33">
        <v>1</v>
      </c>
      <c r="L229" s="33">
        <v>1</v>
      </c>
      <c r="M229" s="6">
        <v>0</v>
      </c>
      <c r="N229" s="6">
        <v>0</v>
      </c>
      <c r="O229" s="6">
        <v>1</v>
      </c>
      <c r="P229" s="6">
        <v>1</v>
      </c>
      <c r="Q229" s="34">
        <v>377.09500000000003</v>
      </c>
      <c r="R229" s="34">
        <v>377.98749999999995</v>
      </c>
      <c r="S229" s="34">
        <v>18556.844950000002</v>
      </c>
      <c r="T229" s="34">
        <v>18600.764874999997</v>
      </c>
      <c r="U229" s="35">
        <v>1.0077824342392247E-3</v>
      </c>
      <c r="V229" s="36">
        <v>1.0138039604801283E-3</v>
      </c>
      <c r="W229" s="36">
        <v>6.0215262409036522E-6</v>
      </c>
      <c r="X229" s="37">
        <v>12.640049927546174</v>
      </c>
      <c r="Y229" s="38">
        <v>256859.37670282816</v>
      </c>
      <c r="Z229" s="39">
        <v>0</v>
      </c>
      <c r="AA229" s="40">
        <v>0</v>
      </c>
      <c r="AB229" s="40">
        <v>0</v>
      </c>
      <c r="AC229" s="41">
        <v>0</v>
      </c>
      <c r="AD229" s="42">
        <v>0</v>
      </c>
      <c r="AE229" s="39">
        <v>2.1649908876044733E-3</v>
      </c>
      <c r="AF229" s="40">
        <v>2.1771269690656478E-3</v>
      </c>
      <c r="AG229" s="40">
        <v>1.2136081461174442E-5</v>
      </c>
      <c r="AH229" s="41">
        <v>0.15603348489709246</v>
      </c>
      <c r="AI229" s="42">
        <v>3170.7678296503241</v>
      </c>
      <c r="AJ229" s="41">
        <v>12.796083412443267</v>
      </c>
      <c r="AK229" s="30">
        <v>260030.14453247847</v>
      </c>
      <c r="AL229" s="43">
        <f>+$AL$6*W229/H229*10^6</f>
        <v>61.181937013855432</v>
      </c>
      <c r="AM229" s="30">
        <v>5810109.5</v>
      </c>
      <c r="AN229" s="44">
        <v>4.4754775195283064E-2</v>
      </c>
      <c r="AP229" s="32"/>
      <c r="AR229" s="32"/>
    </row>
    <row r="230" spans="1:44">
      <c r="A230" s="5" t="s">
        <v>1241</v>
      </c>
      <c r="B230" s="5" t="s">
        <v>414</v>
      </c>
      <c r="C230" s="5" t="s">
        <v>2000</v>
      </c>
      <c r="D230" s="29" t="s">
        <v>2001</v>
      </c>
      <c r="E230" s="5" t="s">
        <v>759</v>
      </c>
      <c r="F230" s="30" t="s">
        <v>1151</v>
      </c>
      <c r="G230" s="5" t="s">
        <v>971</v>
      </c>
      <c r="H230" s="31">
        <v>67.47</v>
      </c>
      <c r="I230" s="32">
        <v>610.51800000000003</v>
      </c>
      <c r="J230" s="32">
        <v>609.52929999999992</v>
      </c>
      <c r="K230" s="33">
        <v>1</v>
      </c>
      <c r="L230" s="33">
        <v>1</v>
      </c>
      <c r="M230" s="6">
        <v>1</v>
      </c>
      <c r="N230" s="6">
        <v>1</v>
      </c>
      <c r="O230" s="6">
        <v>0</v>
      </c>
      <c r="P230" s="6">
        <v>0</v>
      </c>
      <c r="Q230" s="34">
        <v>610.51800000000003</v>
      </c>
      <c r="R230" s="34">
        <v>609.52929999999992</v>
      </c>
      <c r="S230" s="34">
        <v>41191.649460000001</v>
      </c>
      <c r="T230" s="34">
        <v>41124.941870999995</v>
      </c>
      <c r="U230" s="35">
        <v>2.2370301026375522E-3</v>
      </c>
      <c r="V230" s="36">
        <v>2.2414470170186943E-3</v>
      </c>
      <c r="W230" s="36">
        <v>4.4169143811421258E-6</v>
      </c>
      <c r="X230" s="37">
        <v>9.271738770161825</v>
      </c>
      <c r="Y230" s="38">
        <v>137420.16852174042</v>
      </c>
      <c r="Z230" s="39">
        <v>4.1852008369131378E-3</v>
      </c>
      <c r="AA230" s="40">
        <v>4.1948063559893081E-3</v>
      </c>
      <c r="AB230" s="40">
        <v>9.6055190761702713E-6</v>
      </c>
      <c r="AC230" s="41">
        <v>0.18907918166181939</v>
      </c>
      <c r="AD230" s="42">
        <v>2802.4185810259282</v>
      </c>
      <c r="AE230" s="39">
        <v>0</v>
      </c>
      <c r="AF230" s="40">
        <v>0</v>
      </c>
      <c r="AG230" s="40">
        <v>0</v>
      </c>
      <c r="AH230" s="41">
        <v>0</v>
      </c>
      <c r="AI230" s="42">
        <v>0</v>
      </c>
      <c r="AJ230" s="41">
        <v>9.4608179518236444</v>
      </c>
      <c r="AK230" s="30">
        <v>140222.58710276635</v>
      </c>
      <c r="AL230" s="43">
        <f>+$AL$6*W230/H230*10^6</f>
        <v>32.732432052335305</v>
      </c>
      <c r="AM230" s="30">
        <v>3143214.75</v>
      </c>
      <c r="AN230" s="44">
        <v>4.4611201669490244E-2</v>
      </c>
      <c r="AP230" s="32"/>
      <c r="AR230" s="32"/>
    </row>
    <row r="231" spans="1:44">
      <c r="A231" s="5" t="s">
        <v>296</v>
      </c>
      <c r="B231" s="5" t="s">
        <v>596</v>
      </c>
      <c r="C231" s="5" t="s">
        <v>1998</v>
      </c>
      <c r="D231" s="29" t="s">
        <v>1999</v>
      </c>
      <c r="E231" s="5" t="s">
        <v>122</v>
      </c>
      <c r="F231" s="30" t="s">
        <v>1169</v>
      </c>
      <c r="G231" s="5" t="s">
        <v>969</v>
      </c>
      <c r="H231" s="31">
        <v>38.630000000000003</v>
      </c>
      <c r="I231" s="32">
        <v>593.76199999999994</v>
      </c>
      <c r="J231" s="32">
        <v>593.76249999999993</v>
      </c>
      <c r="K231" s="33">
        <v>1</v>
      </c>
      <c r="L231" s="33">
        <v>1</v>
      </c>
      <c r="M231" s="6">
        <v>0</v>
      </c>
      <c r="N231" s="6">
        <v>0</v>
      </c>
      <c r="O231" s="6">
        <v>1</v>
      </c>
      <c r="P231" s="6">
        <v>1</v>
      </c>
      <c r="Q231" s="34">
        <v>593.76199999999994</v>
      </c>
      <c r="R231" s="34">
        <v>593.76249999999993</v>
      </c>
      <c r="S231" s="34">
        <v>22937.02606</v>
      </c>
      <c r="T231" s="34">
        <v>22937.045374999998</v>
      </c>
      <c r="U231" s="35">
        <v>1.2456606723415733E-3</v>
      </c>
      <c r="V231" s="36">
        <v>1.2501457654647877E-3</v>
      </c>
      <c r="W231" s="36">
        <v>4.4850931232144706E-6</v>
      </c>
      <c r="X231" s="37">
        <v>9.4148557589972679</v>
      </c>
      <c r="Y231" s="38">
        <v>243718.76155830358</v>
      </c>
      <c r="Z231" s="39">
        <v>0</v>
      </c>
      <c r="AA231" s="40">
        <v>0</v>
      </c>
      <c r="AB231" s="40">
        <v>0</v>
      </c>
      <c r="AC231" s="41">
        <v>0</v>
      </c>
      <c r="AD231" s="42">
        <v>0</v>
      </c>
      <c r="AE231" s="39">
        <v>2.6760180700139079E-3</v>
      </c>
      <c r="AF231" s="40">
        <v>2.6846670237583433E-3</v>
      </c>
      <c r="AG231" s="40">
        <v>8.6489537444354135E-6</v>
      </c>
      <c r="AH231" s="41">
        <v>0.11119951672831116</v>
      </c>
      <c r="AI231" s="42">
        <v>2878.5792577869829</v>
      </c>
      <c r="AJ231" s="41">
        <v>9.5260552757255788</v>
      </c>
      <c r="AK231" s="30">
        <v>246597.34081609055</v>
      </c>
      <c r="AL231" s="43">
        <f>+$AL$6*W231/H231*10^6</f>
        <v>58.051943091049317</v>
      </c>
      <c r="AM231" s="30">
        <v>5728755</v>
      </c>
      <c r="AN231" s="44">
        <v>4.3045537960008859E-2</v>
      </c>
      <c r="AP231" s="32"/>
      <c r="AR231" s="32"/>
    </row>
    <row r="232" spans="1:44">
      <c r="A232" s="5" t="s">
        <v>1007</v>
      </c>
      <c r="B232" s="5" t="s">
        <v>1095</v>
      </c>
      <c r="C232" s="5" t="s">
        <v>1941</v>
      </c>
      <c r="D232" s="29" t="s">
        <v>1942</v>
      </c>
      <c r="E232" s="5" t="s">
        <v>892</v>
      </c>
      <c r="F232" s="30" t="s">
        <v>1154</v>
      </c>
      <c r="G232" s="5" t="s">
        <v>969</v>
      </c>
      <c r="H232" s="31">
        <v>32.69</v>
      </c>
      <c r="I232" s="32">
        <v>861.24400000000003</v>
      </c>
      <c r="J232" s="32">
        <v>861.61770000000001</v>
      </c>
      <c r="K232" s="33">
        <v>1</v>
      </c>
      <c r="L232" s="33">
        <v>1</v>
      </c>
      <c r="M232" s="6">
        <v>0</v>
      </c>
      <c r="N232" s="6">
        <v>0</v>
      </c>
      <c r="O232" s="6">
        <v>1</v>
      </c>
      <c r="P232" s="6">
        <v>1</v>
      </c>
      <c r="Q232" s="34">
        <v>861.24400000000003</v>
      </c>
      <c r="R232" s="34">
        <v>861.61770000000001</v>
      </c>
      <c r="S232" s="34">
        <v>28154.066360000001</v>
      </c>
      <c r="T232" s="34">
        <v>28166.282612999999</v>
      </c>
      <c r="U232" s="35">
        <v>1.5289869375135058E-3</v>
      </c>
      <c r="V232" s="36">
        <v>1.5351567022623299E-3</v>
      </c>
      <c r="W232" s="36">
        <v>6.1697647488240422E-6</v>
      </c>
      <c r="X232" s="37">
        <v>12.951223883506131</v>
      </c>
      <c r="Y232" s="38">
        <v>396183.04935778934</v>
      </c>
      <c r="Z232" s="39">
        <v>0</v>
      </c>
      <c r="AA232" s="40">
        <v>0</v>
      </c>
      <c r="AB232" s="40">
        <v>0</v>
      </c>
      <c r="AC232" s="41">
        <v>0</v>
      </c>
      <c r="AD232" s="42">
        <v>0</v>
      </c>
      <c r="AE232" s="39">
        <v>3.2846799810337178E-3</v>
      </c>
      <c r="AF232" s="40">
        <v>3.2967232211781371E-3</v>
      </c>
      <c r="AG232" s="40">
        <v>1.2043240144419317E-5</v>
      </c>
      <c r="AH232" s="41">
        <v>0.15483982496311116</v>
      </c>
      <c r="AI232" s="42">
        <v>4736.6113479079586</v>
      </c>
      <c r="AJ232" s="41">
        <v>13.106063708469243</v>
      </c>
      <c r="AK232" s="30">
        <v>400919.66070569732</v>
      </c>
      <c r="AL232" s="43">
        <f>+$AL$6*W232/H232*10^6</f>
        <v>94.367769177486124</v>
      </c>
      <c r="AM232" s="30">
        <v>9484770</v>
      </c>
      <c r="AN232" s="44">
        <v>4.2269834767284534E-2</v>
      </c>
      <c r="AP232" s="32"/>
      <c r="AR232" s="32"/>
    </row>
    <row r="233" spans="1:44">
      <c r="A233" s="5" t="s">
        <v>1265</v>
      </c>
      <c r="B233" s="5" t="s">
        <v>438</v>
      </c>
      <c r="C233" s="5" t="s">
        <v>1878</v>
      </c>
      <c r="D233" s="29" t="s">
        <v>1879</v>
      </c>
      <c r="E233" s="5" t="s">
        <v>781</v>
      </c>
      <c r="F233" s="30" t="s">
        <v>1160</v>
      </c>
      <c r="G233" s="5" t="s">
        <v>969</v>
      </c>
      <c r="H233" s="31">
        <v>79.930000000000007</v>
      </c>
      <c r="I233" s="32">
        <v>548.93399999999997</v>
      </c>
      <c r="J233" s="32">
        <v>549.17149999999992</v>
      </c>
      <c r="K233" s="33">
        <v>1</v>
      </c>
      <c r="L233" s="33">
        <v>1</v>
      </c>
      <c r="M233" s="6">
        <v>1</v>
      </c>
      <c r="N233" s="6">
        <v>1</v>
      </c>
      <c r="O233" s="6">
        <v>0</v>
      </c>
      <c r="P233" s="6">
        <v>0</v>
      </c>
      <c r="Q233" s="34">
        <v>548.93399999999997</v>
      </c>
      <c r="R233" s="34">
        <v>549.17149999999992</v>
      </c>
      <c r="S233" s="34">
        <v>43876.294620000001</v>
      </c>
      <c r="T233" s="34">
        <v>43895.277994999997</v>
      </c>
      <c r="U233" s="35">
        <v>2.3828274211851403E-3</v>
      </c>
      <c r="V233" s="36">
        <v>2.3924396107774157E-3</v>
      </c>
      <c r="W233" s="36">
        <v>9.6121895922754615E-6</v>
      </c>
      <c r="X233" s="37">
        <v>20.177368909243217</v>
      </c>
      <c r="Y233" s="38">
        <v>252437.99461082468</v>
      </c>
      <c r="Z233" s="39">
        <v>4.4579692090890941E-3</v>
      </c>
      <c r="AA233" s="40">
        <v>4.477384836407217E-3</v>
      </c>
      <c r="AB233" s="40">
        <v>1.9415627318122852E-5</v>
      </c>
      <c r="AC233" s="41">
        <v>0.3821855847300239</v>
      </c>
      <c r="AD233" s="42">
        <v>4781.5036247969956</v>
      </c>
      <c r="AE233" s="39">
        <v>0</v>
      </c>
      <c r="AF233" s="40">
        <v>0</v>
      </c>
      <c r="AG233" s="40">
        <v>0</v>
      </c>
      <c r="AH233" s="41">
        <v>0</v>
      </c>
      <c r="AI233" s="42">
        <v>0</v>
      </c>
      <c r="AJ233" s="41">
        <v>20.559554493973241</v>
      </c>
      <c r="AK233" s="30">
        <v>257219.49823562166</v>
      </c>
      <c r="AL233" s="43">
        <f>+$AL$6*W233/H233*10^6</f>
        <v>60.128797649665088</v>
      </c>
      <c r="AM233" s="30">
        <v>6119942.5</v>
      </c>
      <c r="AN233" s="44">
        <v>4.2029724664181346E-2</v>
      </c>
      <c r="AP233" s="32"/>
      <c r="AR233" s="32"/>
    </row>
    <row r="234" spans="1:44">
      <c r="A234" s="5" t="s">
        <v>1337</v>
      </c>
      <c r="B234" s="5" t="s">
        <v>509</v>
      </c>
      <c r="C234" s="5" t="s">
        <v>2219</v>
      </c>
      <c r="D234" s="29" t="s">
        <v>2220</v>
      </c>
      <c r="E234" s="5" t="s">
        <v>41</v>
      </c>
      <c r="F234" s="30" t="s">
        <v>1157</v>
      </c>
      <c r="G234" s="5" t="s">
        <v>967</v>
      </c>
      <c r="H234" s="31">
        <v>48.31</v>
      </c>
      <c r="I234" s="32">
        <v>110.85299999999999</v>
      </c>
      <c r="J234" s="32">
        <v>109.70779999999999</v>
      </c>
      <c r="K234" s="33">
        <v>0.88</v>
      </c>
      <c r="L234" s="33">
        <v>0.89</v>
      </c>
      <c r="M234" s="6">
        <v>1</v>
      </c>
      <c r="N234" s="6">
        <v>1</v>
      </c>
      <c r="O234" s="6">
        <v>0</v>
      </c>
      <c r="P234" s="6">
        <v>0</v>
      </c>
      <c r="Q234" s="34">
        <v>97.550640000000001</v>
      </c>
      <c r="R234" s="34">
        <v>97.639941999999991</v>
      </c>
      <c r="S234" s="34">
        <v>4712.6714184000002</v>
      </c>
      <c r="T234" s="34">
        <v>4716.98559802</v>
      </c>
      <c r="U234" s="35">
        <v>2.5593507337058239E-4</v>
      </c>
      <c r="V234" s="36">
        <v>2.5709150741578862E-4</v>
      </c>
      <c r="W234" s="36">
        <v>1.1564340452062307E-6</v>
      </c>
      <c r="X234" s="37">
        <v>2.4275214429900602</v>
      </c>
      <c r="Y234" s="38">
        <v>50248.839639620375</v>
      </c>
      <c r="Z234" s="39">
        <v>4.788222036006884E-4</v>
      </c>
      <c r="AA234" s="40">
        <v>4.8113967503592695E-4</v>
      </c>
      <c r="AB234" s="40">
        <v>2.3174714352385559E-6</v>
      </c>
      <c r="AC234" s="41">
        <v>4.5618107571782911E-2</v>
      </c>
      <c r="AD234" s="42">
        <v>944.27877399674833</v>
      </c>
      <c r="AE234" s="39">
        <v>0</v>
      </c>
      <c r="AF234" s="40">
        <v>0</v>
      </c>
      <c r="AG234" s="40">
        <v>0</v>
      </c>
      <c r="AH234" s="41">
        <v>0</v>
      </c>
      <c r="AI234" s="42">
        <v>0</v>
      </c>
      <c r="AJ234" s="41">
        <v>2.473139550561843</v>
      </c>
      <c r="AK234" s="30">
        <v>51193.118413617121</v>
      </c>
      <c r="AL234" s="43">
        <f>+$AL$6*W234/H234*10^6</f>
        <v>11.968888896773242</v>
      </c>
      <c r="AM234" s="30">
        <v>1227522.25</v>
      </c>
      <c r="AN234" s="44">
        <v>4.1704432171080504E-2</v>
      </c>
      <c r="AP234" s="32"/>
      <c r="AR234" s="32"/>
    </row>
    <row r="235" spans="1:44">
      <c r="A235" s="5" t="s">
        <v>1224</v>
      </c>
      <c r="B235" s="5" t="s">
        <v>394</v>
      </c>
      <c r="C235" s="5" t="s">
        <v>1905</v>
      </c>
      <c r="D235" s="29" t="s">
        <v>1906</v>
      </c>
      <c r="E235" s="5" t="s">
        <v>1434</v>
      </c>
      <c r="F235" s="30" t="s">
        <v>1149</v>
      </c>
      <c r="G235" s="5" t="s">
        <v>969</v>
      </c>
      <c r="H235" s="31">
        <v>143.35</v>
      </c>
      <c r="I235" s="32">
        <v>257.36700000000002</v>
      </c>
      <c r="J235" s="32">
        <v>257.49539999999996</v>
      </c>
      <c r="K235" s="33">
        <v>1</v>
      </c>
      <c r="L235" s="33">
        <v>1</v>
      </c>
      <c r="M235" s="6">
        <v>0.44</v>
      </c>
      <c r="N235" s="6">
        <v>0.44</v>
      </c>
      <c r="O235" s="6">
        <v>0.56000000000000005</v>
      </c>
      <c r="P235" s="6">
        <v>0.56000000000000005</v>
      </c>
      <c r="Q235" s="34">
        <v>257.36700000000002</v>
      </c>
      <c r="R235" s="34">
        <v>257.49539999999996</v>
      </c>
      <c r="S235" s="34">
        <v>36893.559450000001</v>
      </c>
      <c r="T235" s="34">
        <v>36911.965589999993</v>
      </c>
      <c r="U235" s="35">
        <v>2.0036100560440664E-3</v>
      </c>
      <c r="V235" s="36">
        <v>2.0118257047882938E-3</v>
      </c>
      <c r="W235" s="36">
        <v>8.215648744227394E-6</v>
      </c>
      <c r="X235" s="37">
        <v>17.245828741689923</v>
      </c>
      <c r="Y235" s="38">
        <v>120305.74636686378</v>
      </c>
      <c r="Z235" s="39">
        <v>1.6493406183256938E-3</v>
      </c>
      <c r="AA235" s="40">
        <v>1.6566336136367465E-3</v>
      </c>
      <c r="AB235" s="40">
        <v>7.2929953110526489E-6</v>
      </c>
      <c r="AC235" s="41">
        <v>0.14355846616329981</v>
      </c>
      <c r="AD235" s="42">
        <v>1001.4542459944179</v>
      </c>
      <c r="AE235" s="39">
        <v>2.4104077677010814E-3</v>
      </c>
      <c r="AF235" s="40">
        <v>2.4194026607004689E-3</v>
      </c>
      <c r="AG235" s="40">
        <v>8.9948929993875597E-6</v>
      </c>
      <c r="AH235" s="41">
        <v>0.1156472544668533</v>
      </c>
      <c r="AI235" s="42">
        <v>806.74750238474564</v>
      </c>
      <c r="AJ235" s="41">
        <v>17.505034462320076</v>
      </c>
      <c r="AK235" s="30">
        <v>122113.94811524295</v>
      </c>
      <c r="AL235" s="43">
        <f>+$AL$6*W235/H235*10^6</f>
        <v>28.655907723151007</v>
      </c>
      <c r="AM235" s="30">
        <v>2952791.5</v>
      </c>
      <c r="AN235" s="44">
        <v>4.1355425235829538E-2</v>
      </c>
      <c r="AP235" s="32"/>
      <c r="AR235" s="32"/>
    </row>
    <row r="236" spans="1:44">
      <c r="A236" s="5" t="s">
        <v>228</v>
      </c>
      <c r="B236" s="5" t="s">
        <v>528</v>
      </c>
      <c r="C236" s="5" t="s">
        <v>2194</v>
      </c>
      <c r="D236" s="29" t="s">
        <v>2195</v>
      </c>
      <c r="E236" s="5" t="s">
        <v>61</v>
      </c>
      <c r="F236" s="30" t="s">
        <v>1154</v>
      </c>
      <c r="G236" s="5" t="s">
        <v>969</v>
      </c>
      <c r="H236" s="31">
        <v>17.71</v>
      </c>
      <c r="I236" s="32">
        <v>317.37799999999999</v>
      </c>
      <c r="J236" s="32">
        <v>317.85910000000001</v>
      </c>
      <c r="K236" s="33">
        <v>1</v>
      </c>
      <c r="L236" s="33">
        <v>1</v>
      </c>
      <c r="M236" s="6">
        <v>0.47</v>
      </c>
      <c r="N236" s="6">
        <v>0.47</v>
      </c>
      <c r="O236" s="6">
        <v>0.53</v>
      </c>
      <c r="P236" s="6">
        <v>0.53</v>
      </c>
      <c r="Q236" s="34">
        <v>317.37799999999999</v>
      </c>
      <c r="R236" s="34">
        <v>317.85910000000001</v>
      </c>
      <c r="S236" s="34">
        <v>5620.7643799999996</v>
      </c>
      <c r="T236" s="34">
        <v>5629.2846610000006</v>
      </c>
      <c r="U236" s="35">
        <v>3.0525165373877447E-4</v>
      </c>
      <c r="V236" s="36">
        <v>3.0681486069759472E-4</v>
      </c>
      <c r="W236" s="36">
        <v>1.5632069588202512E-6</v>
      </c>
      <c r="X236" s="37">
        <v>3.2813963131729791</v>
      </c>
      <c r="Y236" s="38">
        <v>185284.94145527831</v>
      </c>
      <c r="Z236" s="39">
        <v>2.6841103002568981E-4</v>
      </c>
      <c r="AA236" s="40">
        <v>2.6987191374913943E-4</v>
      </c>
      <c r="AB236" s="40">
        <v>1.4608837234496188E-6</v>
      </c>
      <c r="AC236" s="41">
        <v>2.8756665490175241E-2</v>
      </c>
      <c r="AD236" s="42">
        <v>1623.7529921047567</v>
      </c>
      <c r="AE236" s="39">
        <v>3.4755471414110495E-4</v>
      </c>
      <c r="AF236" s="40">
        <v>3.4920627152788835E-4</v>
      </c>
      <c r="AG236" s="40">
        <v>1.6515573867834045E-6</v>
      </c>
      <c r="AH236" s="41">
        <v>2.1234057746874389E-2</v>
      </c>
      <c r="AI236" s="42">
        <v>1198.9868857636584</v>
      </c>
      <c r="AJ236" s="41">
        <v>3.3313870364100291</v>
      </c>
      <c r="AK236" s="30">
        <v>188107.68133314673</v>
      </c>
      <c r="AL236" s="43">
        <f>+$AL$6*W236/H236*10^6</f>
        <v>44.133454512147125</v>
      </c>
      <c r="AM236" s="30">
        <v>4558328.5</v>
      </c>
      <c r="AN236" s="44">
        <v>4.1266811142098847E-2</v>
      </c>
      <c r="AP236" s="32"/>
      <c r="AR236" s="32"/>
    </row>
    <row r="237" spans="1:44">
      <c r="A237" s="5" t="s">
        <v>1257</v>
      </c>
      <c r="B237" s="5" t="s">
        <v>430</v>
      </c>
      <c r="C237" s="5" t="s">
        <v>1855</v>
      </c>
      <c r="D237" s="29" t="s">
        <v>1856</v>
      </c>
      <c r="E237" s="5" t="s">
        <v>773</v>
      </c>
      <c r="F237" s="30" t="s">
        <v>1151</v>
      </c>
      <c r="G237" s="5" t="s">
        <v>969</v>
      </c>
      <c r="H237" s="31">
        <v>28.01</v>
      </c>
      <c r="I237" s="32">
        <v>1214.8219999999999</v>
      </c>
      <c r="J237" s="32">
        <v>1218.2279999999998</v>
      </c>
      <c r="K237" s="33">
        <v>0.91</v>
      </c>
      <c r="L237" s="33">
        <v>0.91</v>
      </c>
      <c r="M237" s="6">
        <v>1</v>
      </c>
      <c r="N237" s="6">
        <v>1</v>
      </c>
      <c r="O237" s="6">
        <v>0</v>
      </c>
      <c r="P237" s="6">
        <v>0</v>
      </c>
      <c r="Q237" s="34">
        <v>1105.48802</v>
      </c>
      <c r="R237" s="34">
        <v>1108.5874799999999</v>
      </c>
      <c r="S237" s="34">
        <v>30964.719440200002</v>
      </c>
      <c r="T237" s="34">
        <v>31051.535314799999</v>
      </c>
      <c r="U237" s="35">
        <v>1.6816274758484414E-3</v>
      </c>
      <c r="V237" s="36">
        <v>1.6924126342483434E-3</v>
      </c>
      <c r="W237" s="36">
        <v>1.0785158399902054E-5</v>
      </c>
      <c r="X237" s="37">
        <v>22.639599197494761</v>
      </c>
      <c r="Y237" s="38">
        <v>808268.44689377933</v>
      </c>
      <c r="Z237" s="39">
        <v>3.1461126566866438E-3</v>
      </c>
      <c r="AA237" s="40">
        <v>3.1673036307341587E-3</v>
      </c>
      <c r="AB237" s="40">
        <v>2.1190974047514879E-5</v>
      </c>
      <c r="AC237" s="41">
        <v>0.41713227569982292</v>
      </c>
      <c r="AD237" s="42">
        <v>14892.262609775898</v>
      </c>
      <c r="AE237" s="39">
        <v>0</v>
      </c>
      <c r="AF237" s="40">
        <v>0</v>
      </c>
      <c r="AG237" s="40">
        <v>0</v>
      </c>
      <c r="AH237" s="41">
        <v>0</v>
      </c>
      <c r="AI237" s="42">
        <v>0</v>
      </c>
      <c r="AJ237" s="41">
        <v>23.056731473194585</v>
      </c>
      <c r="AK237" s="30">
        <v>823160.7095035552</v>
      </c>
      <c r="AL237" s="43">
        <f>+$AL$6*W237/H237*10^6</f>
        <v>192.52335594255717</v>
      </c>
      <c r="AM237" s="30">
        <v>20119848</v>
      </c>
      <c r="AN237" s="44">
        <v>4.0912869197796881E-2</v>
      </c>
      <c r="AP237" s="32"/>
      <c r="AR237" s="32"/>
    </row>
    <row r="238" spans="1:44">
      <c r="A238" s="5" t="s">
        <v>1267</v>
      </c>
      <c r="B238" s="5" t="s">
        <v>440</v>
      </c>
      <c r="C238" s="5" t="s">
        <v>2092</v>
      </c>
      <c r="D238" s="29" t="s">
        <v>2093</v>
      </c>
      <c r="E238" s="5" t="s">
        <v>783</v>
      </c>
      <c r="F238" s="30" t="s">
        <v>1160</v>
      </c>
      <c r="G238" s="5" t="s">
        <v>969</v>
      </c>
      <c r="H238" s="31">
        <v>78.680000000000007</v>
      </c>
      <c r="I238" s="32">
        <v>152.346</v>
      </c>
      <c r="J238" s="32">
        <v>152.404</v>
      </c>
      <c r="K238" s="33">
        <v>1</v>
      </c>
      <c r="L238" s="33">
        <v>1</v>
      </c>
      <c r="M238" s="6">
        <v>0.66</v>
      </c>
      <c r="N238" s="6">
        <v>0.66</v>
      </c>
      <c r="O238" s="6">
        <v>0.34</v>
      </c>
      <c r="P238" s="6">
        <v>0.34</v>
      </c>
      <c r="Q238" s="34">
        <v>152.346</v>
      </c>
      <c r="R238" s="34">
        <v>152.404</v>
      </c>
      <c r="S238" s="34">
        <v>11986.583280000001</v>
      </c>
      <c r="T238" s="34">
        <v>11991.146720000001</v>
      </c>
      <c r="U238" s="35">
        <v>6.5096561989270649E-4</v>
      </c>
      <c r="V238" s="36">
        <v>6.535576422329408E-4</v>
      </c>
      <c r="W238" s="36">
        <v>2.5920223402343089E-6</v>
      </c>
      <c r="X238" s="37">
        <v>5.441027819711028</v>
      </c>
      <c r="Y238" s="38">
        <v>69153.886879906291</v>
      </c>
      <c r="Z238" s="39">
        <v>8.0379715213332273E-4</v>
      </c>
      <c r="AA238" s="40">
        <v>8.0725598345474179E-4</v>
      </c>
      <c r="AB238" s="40">
        <v>3.4588313214190588E-6</v>
      </c>
      <c r="AC238" s="41">
        <v>6.808512799507474E-2</v>
      </c>
      <c r="AD238" s="42">
        <v>865.34224701416792</v>
      </c>
      <c r="AE238" s="39">
        <v>4.7547343522973866E-4</v>
      </c>
      <c r="AF238" s="40">
        <v>4.7719137844356687E-4</v>
      </c>
      <c r="AG238" s="40">
        <v>1.717943213828206E-6</v>
      </c>
      <c r="AH238" s="41">
        <v>2.2087579699138347E-2</v>
      </c>
      <c r="AI238" s="42">
        <v>280.72673740643552</v>
      </c>
      <c r="AJ238" s="41">
        <v>5.5312005274052414</v>
      </c>
      <c r="AK238" s="30">
        <v>70299.955864326897</v>
      </c>
      <c r="AL238" s="43">
        <f>+$AL$6*W238/H238*10^6</f>
        <v>16.471926412266832</v>
      </c>
      <c r="AM238" s="30">
        <v>1760374</v>
      </c>
      <c r="AN238" s="44">
        <v>3.9934670623587319E-2</v>
      </c>
      <c r="AP238" s="32"/>
      <c r="AR238" s="32"/>
    </row>
    <row r="239" spans="1:44">
      <c r="A239" s="5" t="s">
        <v>810</v>
      </c>
      <c r="B239" s="5" t="s">
        <v>170</v>
      </c>
      <c r="C239" s="5" t="s">
        <v>2090</v>
      </c>
      <c r="D239" s="29" t="s">
        <v>2091</v>
      </c>
      <c r="E239" s="5" t="s">
        <v>667</v>
      </c>
      <c r="F239" s="30" t="s">
        <v>1149</v>
      </c>
      <c r="G239" s="5" t="s">
        <v>971</v>
      </c>
      <c r="H239" s="31">
        <v>144.12</v>
      </c>
      <c r="I239" s="32">
        <v>107.55800000000001</v>
      </c>
      <c r="J239" s="32">
        <v>107.5157</v>
      </c>
      <c r="K239" s="33">
        <v>1</v>
      </c>
      <c r="L239" s="33">
        <v>1</v>
      </c>
      <c r="M239" s="6">
        <v>1</v>
      </c>
      <c r="N239" s="6">
        <v>1</v>
      </c>
      <c r="O239" s="6">
        <v>0</v>
      </c>
      <c r="P239" s="6">
        <v>0</v>
      </c>
      <c r="Q239" s="34">
        <v>107.55800000000001</v>
      </c>
      <c r="R239" s="34">
        <v>107.5157</v>
      </c>
      <c r="S239" s="34">
        <v>15501.258960000001</v>
      </c>
      <c r="T239" s="34">
        <v>15495.162683999999</v>
      </c>
      <c r="U239" s="35">
        <v>8.4184011509356234E-4</v>
      </c>
      <c r="V239" s="36">
        <v>8.445382436093556E-4</v>
      </c>
      <c r="W239" s="36">
        <v>2.6981285157932564E-6</v>
      </c>
      <c r="X239" s="37">
        <v>5.6637599482493908</v>
      </c>
      <c r="Y239" s="38">
        <v>39298.917209612759</v>
      </c>
      <c r="Z239" s="39">
        <v>1.5749765504194811E-3</v>
      </c>
      <c r="AA239" s="40">
        <v>1.5805300617279881E-3</v>
      </c>
      <c r="AB239" s="40">
        <v>5.553511308506974E-6</v>
      </c>
      <c r="AC239" s="41">
        <v>0.10931771258121488</v>
      </c>
      <c r="AD239" s="42">
        <v>758.51868291156586</v>
      </c>
      <c r="AE239" s="39">
        <v>0</v>
      </c>
      <c r="AF239" s="40">
        <v>0</v>
      </c>
      <c r="AG239" s="40">
        <v>0</v>
      </c>
      <c r="AH239" s="41">
        <v>0</v>
      </c>
      <c r="AI239" s="42">
        <v>0</v>
      </c>
      <c r="AJ239" s="41">
        <v>5.773077660830606</v>
      </c>
      <c r="AK239" s="30">
        <v>40057.435892524321</v>
      </c>
      <c r="AL239" s="43">
        <f>+$AL$6*W239/H239*10^6</f>
        <v>9.3607012066099653</v>
      </c>
      <c r="AM239" s="30">
        <v>1015666.9375</v>
      </c>
      <c r="AN239" s="44">
        <v>3.9439539098440252E-2</v>
      </c>
      <c r="AP239" s="32"/>
      <c r="AR239" s="32"/>
    </row>
    <row r="240" spans="1:44">
      <c r="A240" s="5" t="s">
        <v>1272</v>
      </c>
      <c r="B240" s="5" t="s">
        <v>445</v>
      </c>
      <c r="C240" s="5" t="s">
        <v>1992</v>
      </c>
      <c r="D240" s="29" t="s">
        <v>1460</v>
      </c>
      <c r="E240" s="5" t="s">
        <v>787</v>
      </c>
      <c r="F240" s="30" t="s">
        <v>1159</v>
      </c>
      <c r="G240" s="5" t="s">
        <v>967</v>
      </c>
      <c r="H240" s="31">
        <v>120.78</v>
      </c>
      <c r="I240" s="32">
        <v>127.827</v>
      </c>
      <c r="J240" s="32">
        <v>116.3338</v>
      </c>
      <c r="K240" s="33">
        <v>0.78</v>
      </c>
      <c r="L240" s="33">
        <v>0.86</v>
      </c>
      <c r="M240" s="6">
        <v>1</v>
      </c>
      <c r="N240" s="6">
        <v>1</v>
      </c>
      <c r="O240" s="6">
        <v>0</v>
      </c>
      <c r="P240" s="6">
        <v>0</v>
      </c>
      <c r="Q240" s="34">
        <v>99.705060000000003</v>
      </c>
      <c r="R240" s="34">
        <v>100.047068</v>
      </c>
      <c r="S240" s="34">
        <v>12042.377146800001</v>
      </c>
      <c r="T240" s="34">
        <v>12083.68487304</v>
      </c>
      <c r="U240" s="35">
        <v>6.5399566508901141E-4</v>
      </c>
      <c r="V240" s="36">
        <v>6.5860128138853051E-4</v>
      </c>
      <c r="W240" s="36">
        <v>4.605616299519096E-6</v>
      </c>
      <c r="X240" s="37">
        <v>9.6678512463487092</v>
      </c>
      <c r="Y240" s="38">
        <v>80045.133683960172</v>
      </c>
      <c r="Z240" s="39">
        <v>1.2235433048669911E-3</v>
      </c>
      <c r="AA240" s="40">
        <v>1.2325541582088929E-3</v>
      </c>
      <c r="AB240" s="40">
        <v>9.0108533419017492E-6</v>
      </c>
      <c r="AC240" s="41">
        <v>0.17737352478828719</v>
      </c>
      <c r="AD240" s="42">
        <v>1468.5670209329953</v>
      </c>
      <c r="AE240" s="39">
        <v>0</v>
      </c>
      <c r="AF240" s="40">
        <v>0</v>
      </c>
      <c r="AG240" s="40">
        <v>0</v>
      </c>
      <c r="AH240" s="41">
        <v>0</v>
      </c>
      <c r="AI240" s="42">
        <v>0</v>
      </c>
      <c r="AJ240" s="41">
        <v>9.845224771136996</v>
      </c>
      <c r="AK240" s="30">
        <v>81513.70070489317</v>
      </c>
      <c r="AL240" s="43">
        <f>+$AL$6*W240/H240*10^6</f>
        <v>19.066138017548834</v>
      </c>
      <c r="AM240" s="30">
        <v>2090885.5</v>
      </c>
      <c r="AN240" s="44">
        <v>3.8985253235958243E-2</v>
      </c>
      <c r="AP240" s="32"/>
      <c r="AR240" s="32"/>
    </row>
    <row r="241" spans="1:44">
      <c r="A241" s="5" t="s">
        <v>1186</v>
      </c>
      <c r="B241" s="5" t="s">
        <v>354</v>
      </c>
      <c r="C241" s="5" t="s">
        <v>2088</v>
      </c>
      <c r="D241" s="29" t="s">
        <v>2089</v>
      </c>
      <c r="E241" s="5" t="s">
        <v>711</v>
      </c>
      <c r="F241" s="30" t="s">
        <v>1151</v>
      </c>
      <c r="G241" s="5" t="s">
        <v>969</v>
      </c>
      <c r="H241" s="31">
        <v>73.92</v>
      </c>
      <c r="I241" s="32">
        <v>178.559</v>
      </c>
      <c r="J241" s="32">
        <v>178.59520000000001</v>
      </c>
      <c r="K241" s="33">
        <v>1</v>
      </c>
      <c r="L241" s="33">
        <v>1</v>
      </c>
      <c r="M241" s="6">
        <v>1</v>
      </c>
      <c r="N241" s="6">
        <v>1</v>
      </c>
      <c r="O241" s="6">
        <v>0</v>
      </c>
      <c r="P241" s="6">
        <v>0</v>
      </c>
      <c r="Q241" s="34">
        <v>178.559</v>
      </c>
      <c r="R241" s="34">
        <v>178.59520000000001</v>
      </c>
      <c r="S241" s="34">
        <v>13199.08128</v>
      </c>
      <c r="T241" s="34">
        <v>13201.757184</v>
      </c>
      <c r="U241" s="35">
        <v>7.1681378477432285E-4</v>
      </c>
      <c r="V241" s="36">
        <v>7.1953996560779527E-4</v>
      </c>
      <c r="W241" s="36">
        <v>2.7261808334724238E-6</v>
      </c>
      <c r="X241" s="37">
        <v>5.7226457990889035</v>
      </c>
      <c r="Y241" s="38">
        <v>77416.745117544691</v>
      </c>
      <c r="Z241" s="39">
        <v>1.3410680743237355E-3</v>
      </c>
      <c r="AA241" s="40">
        <v>1.3465992272860109E-3</v>
      </c>
      <c r="AB241" s="40">
        <v>5.5311529622754669E-6</v>
      </c>
      <c r="AC241" s="41">
        <v>0.10887760124779901</v>
      </c>
      <c r="AD241" s="42">
        <v>1472.9112722916532</v>
      </c>
      <c r="AE241" s="39">
        <v>0</v>
      </c>
      <c r="AF241" s="40">
        <v>0</v>
      </c>
      <c r="AG241" s="40">
        <v>0</v>
      </c>
      <c r="AH241" s="41">
        <v>0</v>
      </c>
      <c r="AI241" s="42">
        <v>0</v>
      </c>
      <c r="AJ241" s="41">
        <v>5.8315234003367022</v>
      </c>
      <c r="AK241" s="30">
        <v>78889.656389836338</v>
      </c>
      <c r="AL241" s="43">
        <f>+$AL$6*W241/H241*10^6</f>
        <v>18.440075983985547</v>
      </c>
      <c r="AM241" s="30">
        <v>2037806.25</v>
      </c>
      <c r="AN241" s="44">
        <v>3.8713030932080193E-2</v>
      </c>
      <c r="AP241" s="32"/>
      <c r="AR241" s="32"/>
    </row>
    <row r="242" spans="1:44">
      <c r="A242" s="5" t="s">
        <v>1202</v>
      </c>
      <c r="B242" s="5" t="s">
        <v>372</v>
      </c>
      <c r="C242" s="5" t="s">
        <v>2116</v>
      </c>
      <c r="D242" s="29" t="s">
        <v>2117</v>
      </c>
      <c r="E242" s="5" t="s">
        <v>1521</v>
      </c>
      <c r="F242" s="30" t="s">
        <v>1149</v>
      </c>
      <c r="G242" s="5" t="s">
        <v>971</v>
      </c>
      <c r="H242" s="31">
        <v>197.91</v>
      </c>
      <c r="I242" s="32">
        <v>74.245999999999995</v>
      </c>
      <c r="J242" s="32">
        <v>74.19914</v>
      </c>
      <c r="K242" s="33">
        <v>1</v>
      </c>
      <c r="L242" s="33">
        <v>1</v>
      </c>
      <c r="M242" s="6">
        <v>1</v>
      </c>
      <c r="N242" s="6">
        <v>1</v>
      </c>
      <c r="O242" s="6">
        <v>0</v>
      </c>
      <c r="P242" s="6">
        <v>0</v>
      </c>
      <c r="Q242" s="34">
        <v>74.245999999999995</v>
      </c>
      <c r="R242" s="34">
        <v>74.19914</v>
      </c>
      <c r="S242" s="34">
        <v>14694.025859999998</v>
      </c>
      <c r="T242" s="34">
        <v>14684.7517974</v>
      </c>
      <c r="U242" s="35">
        <v>7.9800101740705183E-4</v>
      </c>
      <c r="V242" s="36">
        <v>8.0036813705876189E-4</v>
      </c>
      <c r="W242" s="36">
        <v>2.3671196517100618E-6</v>
      </c>
      <c r="X242" s="37">
        <v>4.9689247185943861</v>
      </c>
      <c r="Y242" s="38">
        <v>25106.991655774778</v>
      </c>
      <c r="Z242" s="39">
        <v>1.4929591345113201E-3</v>
      </c>
      <c r="AA242" s="40">
        <v>1.4978669238994618E-3</v>
      </c>
      <c r="AB242" s="40">
        <v>4.907789388141617E-6</v>
      </c>
      <c r="AC242" s="41">
        <v>9.6607043713077184E-2</v>
      </c>
      <c r="AD242" s="42">
        <v>488.13624229739372</v>
      </c>
      <c r="AE242" s="39">
        <v>0</v>
      </c>
      <c r="AF242" s="40">
        <v>0</v>
      </c>
      <c r="AG242" s="40">
        <v>0</v>
      </c>
      <c r="AH242" s="41">
        <v>0</v>
      </c>
      <c r="AI242" s="42">
        <v>0</v>
      </c>
      <c r="AJ242" s="41">
        <v>5.0655317623074634</v>
      </c>
      <c r="AK242" s="30">
        <v>25595.127898072173</v>
      </c>
      <c r="AL242" s="43">
        <f>+$AL$6*W242/H242*10^6</f>
        <v>5.9802931931435035</v>
      </c>
      <c r="AM242" s="30">
        <v>670535.5625</v>
      </c>
      <c r="AN242" s="44">
        <v>3.8171171418029261E-2</v>
      </c>
      <c r="AP242" s="32"/>
      <c r="AR242" s="32"/>
    </row>
    <row r="243" spans="1:44">
      <c r="A243" s="5" t="s">
        <v>798</v>
      </c>
      <c r="B243" s="5" t="s">
        <v>162</v>
      </c>
      <c r="C243" s="5" t="s">
        <v>2108</v>
      </c>
      <c r="D243" s="29" t="s">
        <v>1575</v>
      </c>
      <c r="E243" s="5" t="s">
        <v>654</v>
      </c>
      <c r="F243" s="30" t="s">
        <v>1159</v>
      </c>
      <c r="G243" s="5" t="s">
        <v>969</v>
      </c>
      <c r="H243" s="31">
        <v>172</v>
      </c>
      <c r="I243" s="32">
        <v>73.177999999999997</v>
      </c>
      <c r="J243" s="32">
        <v>73.178229999999999</v>
      </c>
      <c r="K243" s="33">
        <v>1</v>
      </c>
      <c r="L243" s="33">
        <v>1</v>
      </c>
      <c r="M243" s="6">
        <v>1</v>
      </c>
      <c r="N243" s="6">
        <v>1</v>
      </c>
      <c r="O243" s="6">
        <v>0</v>
      </c>
      <c r="P243" s="6">
        <v>0</v>
      </c>
      <c r="Q243" s="34">
        <v>73.177999999999997</v>
      </c>
      <c r="R243" s="34">
        <v>73.178229999999999</v>
      </c>
      <c r="S243" s="34">
        <v>12586.616</v>
      </c>
      <c r="T243" s="34">
        <v>12586.655559999999</v>
      </c>
      <c r="U243" s="35">
        <v>6.8355210950417366E-4</v>
      </c>
      <c r="V243" s="36">
        <v>6.8601486775834682E-4</v>
      </c>
      <c r="W243" s="36">
        <v>2.4627582541731589E-6</v>
      </c>
      <c r="X243" s="37">
        <v>5.1696839051810866</v>
      </c>
      <c r="Y243" s="38">
        <v>30056.301774308642</v>
      </c>
      <c r="Z243" s="39">
        <v>1.2788396800729692E-3</v>
      </c>
      <c r="AA243" s="40">
        <v>1.2838579300453201E-3</v>
      </c>
      <c r="AB243" s="40">
        <v>5.0182499723508411E-6</v>
      </c>
      <c r="AC243" s="41">
        <v>9.8781397509321356E-2</v>
      </c>
      <c r="AD243" s="42">
        <v>574.31045063558929</v>
      </c>
      <c r="AE243" s="39">
        <v>0</v>
      </c>
      <c r="AF243" s="40">
        <v>0</v>
      </c>
      <c r="AG243" s="40">
        <v>0</v>
      </c>
      <c r="AH243" s="41">
        <v>0</v>
      </c>
      <c r="AI243" s="42">
        <v>0</v>
      </c>
      <c r="AJ243" s="41">
        <v>5.2684653026904078</v>
      </c>
      <c r="AK243" s="30">
        <v>30630.612224944231</v>
      </c>
      <c r="AL243" s="43">
        <f>+$AL$6*W243/H243*10^6</f>
        <v>7.1591809714336021</v>
      </c>
      <c r="AM243" s="30">
        <v>804331.625</v>
      </c>
      <c r="AN243" s="44">
        <v>3.808206872997718E-2</v>
      </c>
      <c r="AP243" s="32"/>
      <c r="AR243" s="32"/>
    </row>
    <row r="244" spans="1:44">
      <c r="A244" s="5" t="s">
        <v>803</v>
      </c>
      <c r="B244" s="5" t="s">
        <v>164</v>
      </c>
      <c r="C244" s="5" t="s">
        <v>2132</v>
      </c>
      <c r="D244" s="29" t="s">
        <v>2133</v>
      </c>
      <c r="E244" s="5" t="s">
        <v>662</v>
      </c>
      <c r="F244" s="30" t="s">
        <v>1170</v>
      </c>
      <c r="G244" s="5" t="s">
        <v>969</v>
      </c>
      <c r="H244" s="31">
        <v>46.78</v>
      </c>
      <c r="I244" s="32">
        <v>226.26499999999999</v>
      </c>
      <c r="J244" s="32">
        <v>226.31469999999999</v>
      </c>
      <c r="K244" s="33">
        <v>1</v>
      </c>
      <c r="L244" s="33">
        <v>1</v>
      </c>
      <c r="M244" s="6">
        <v>0</v>
      </c>
      <c r="N244" s="6">
        <v>0</v>
      </c>
      <c r="O244" s="6">
        <v>1</v>
      </c>
      <c r="P244" s="6">
        <v>1</v>
      </c>
      <c r="Q244" s="34">
        <v>226.26499999999999</v>
      </c>
      <c r="R244" s="34">
        <v>226.31469999999999</v>
      </c>
      <c r="S244" s="34">
        <v>10584.6767</v>
      </c>
      <c r="T244" s="34">
        <v>10587.001666</v>
      </c>
      <c r="U244" s="35">
        <v>5.748310814205085E-4</v>
      </c>
      <c r="V244" s="36">
        <v>5.7702703575519061E-4</v>
      </c>
      <c r="W244" s="36">
        <v>2.1959543346821092E-6</v>
      </c>
      <c r="X244" s="37">
        <v>4.6096240917199438</v>
      </c>
      <c r="Y244" s="38">
        <v>98538.351682769207</v>
      </c>
      <c r="Z244" s="39">
        <v>0</v>
      </c>
      <c r="AA244" s="40">
        <v>0</v>
      </c>
      <c r="AB244" s="40">
        <v>0</v>
      </c>
      <c r="AC244" s="41">
        <v>0</v>
      </c>
      <c r="AD244" s="42">
        <v>0</v>
      </c>
      <c r="AE244" s="39">
        <v>1.2348935751462097E-3</v>
      </c>
      <c r="AF244" s="40">
        <v>1.2391558628629536E-3</v>
      </c>
      <c r="AG244" s="40">
        <v>4.2622877167439784E-6</v>
      </c>
      <c r="AH244" s="41">
        <v>5.4800192978704233E-2</v>
      </c>
      <c r="AI244" s="42">
        <v>1171.4449119004753</v>
      </c>
      <c r="AJ244" s="41">
        <v>4.6644242846986481</v>
      </c>
      <c r="AK244" s="30">
        <v>99709.796594669679</v>
      </c>
      <c r="AL244" s="43">
        <f>+$AL$6*W244/H244*10^6</f>
        <v>23.471080960689498</v>
      </c>
      <c r="AM244" s="30">
        <v>2619307.75</v>
      </c>
      <c r="AN244" s="44">
        <v>3.8067232303905366E-2</v>
      </c>
      <c r="AP244" s="32"/>
      <c r="AR244" s="32"/>
    </row>
    <row r="245" spans="1:44">
      <c r="A245" s="5" t="s">
        <v>1319</v>
      </c>
      <c r="B245" s="5" t="s">
        <v>492</v>
      </c>
      <c r="C245" s="5" t="s">
        <v>2032</v>
      </c>
      <c r="D245" s="29" t="s">
        <v>2033</v>
      </c>
      <c r="E245" s="5" t="s">
        <v>25</v>
      </c>
      <c r="F245" s="30" t="s">
        <v>1170</v>
      </c>
      <c r="G245" s="5" t="s">
        <v>971</v>
      </c>
      <c r="H245" s="31">
        <v>45.38</v>
      </c>
      <c r="I245" s="32">
        <v>654.83100000000002</v>
      </c>
      <c r="J245" s="32">
        <v>654.06939999999997</v>
      </c>
      <c r="K245" s="33">
        <v>1</v>
      </c>
      <c r="L245" s="33">
        <v>1</v>
      </c>
      <c r="M245" s="6">
        <v>0</v>
      </c>
      <c r="N245" s="6">
        <v>0</v>
      </c>
      <c r="O245" s="6">
        <v>1</v>
      </c>
      <c r="P245" s="6">
        <v>1</v>
      </c>
      <c r="Q245" s="34">
        <v>654.83100000000002</v>
      </c>
      <c r="R245" s="34">
        <v>654.06939999999997</v>
      </c>
      <c r="S245" s="34">
        <v>29716.230780000002</v>
      </c>
      <c r="T245" s="34">
        <v>29681.669372</v>
      </c>
      <c r="U245" s="35">
        <v>1.6138247354318155E-3</v>
      </c>
      <c r="V245" s="36">
        <v>1.6177503540964107E-3</v>
      </c>
      <c r="W245" s="36">
        <v>3.9256186645951398E-6</v>
      </c>
      <c r="X245" s="37">
        <v>8.2404383758930884</v>
      </c>
      <c r="Y245" s="38">
        <v>181587.44768384943</v>
      </c>
      <c r="Z245" s="39">
        <v>0</v>
      </c>
      <c r="AA245" s="40">
        <v>0</v>
      </c>
      <c r="AB245" s="40">
        <v>0</v>
      </c>
      <c r="AC245" s="41">
        <v>0</v>
      </c>
      <c r="AD245" s="42">
        <v>0</v>
      </c>
      <c r="AE245" s="39">
        <v>3.4669346554329844E-3</v>
      </c>
      <c r="AF245" s="40">
        <v>3.4740917005796536E-3</v>
      </c>
      <c r="AG245" s="40">
        <v>7.1570451466692123E-6</v>
      </c>
      <c r="AH245" s="41">
        <v>9.2018061956264219E-2</v>
      </c>
      <c r="AI245" s="42">
        <v>2027.722828476514</v>
      </c>
      <c r="AJ245" s="41">
        <v>8.332456437849352</v>
      </c>
      <c r="AK245" s="30">
        <v>183615.17051232595</v>
      </c>
      <c r="AL245" s="43">
        <f>+$AL$6*W245/H245*10^6</f>
        <v>43.252739803824809</v>
      </c>
      <c r="AM245" s="30">
        <v>4849080</v>
      </c>
      <c r="AN245" s="44">
        <v>3.7865980869015554E-2</v>
      </c>
      <c r="AP245" s="32"/>
      <c r="AR245" s="32"/>
    </row>
    <row r="246" spans="1:44">
      <c r="A246" s="5" t="s">
        <v>1012</v>
      </c>
      <c r="B246" s="5" t="s">
        <v>457</v>
      </c>
      <c r="C246" s="5" t="s">
        <v>1795</v>
      </c>
      <c r="D246" s="29" t="s">
        <v>1796</v>
      </c>
      <c r="E246" s="5" t="s">
        <v>897</v>
      </c>
      <c r="F246" s="30" t="s">
        <v>1150</v>
      </c>
      <c r="G246" s="5" t="s">
        <v>971</v>
      </c>
      <c r="H246" s="31">
        <v>116.25</v>
      </c>
      <c r="I246" s="32">
        <v>1469.606</v>
      </c>
      <c r="J246" s="32">
        <v>1467.606</v>
      </c>
      <c r="K246" s="33">
        <v>1</v>
      </c>
      <c r="L246" s="33">
        <v>1</v>
      </c>
      <c r="M246" s="6">
        <v>1</v>
      </c>
      <c r="N246" s="6">
        <v>1</v>
      </c>
      <c r="O246" s="6">
        <v>0</v>
      </c>
      <c r="P246" s="6">
        <v>0</v>
      </c>
      <c r="Q246" s="34">
        <v>1469.606</v>
      </c>
      <c r="R246" s="34">
        <v>1467.606</v>
      </c>
      <c r="S246" s="34">
        <v>170841.69750000001</v>
      </c>
      <c r="T246" s="34">
        <v>170609.19750000001</v>
      </c>
      <c r="U246" s="35">
        <v>9.2780460385379921E-3</v>
      </c>
      <c r="V246" s="36">
        <v>9.2987724581318557E-3</v>
      </c>
      <c r="W246" s="36">
        <v>2.0726419593863551E-5</v>
      </c>
      <c r="X246" s="37">
        <v>43.50773674389746</v>
      </c>
      <c r="Y246" s="38">
        <v>374260.10102277383</v>
      </c>
      <c r="Z246" s="39">
        <v>1.7358052535647626E-2</v>
      </c>
      <c r="AA246" s="40">
        <v>1.7402396538532369E-2</v>
      </c>
      <c r="AB246" s="40">
        <v>4.4344002884742773E-5</v>
      </c>
      <c r="AC246" s="41">
        <v>0.87288648438137717</v>
      </c>
      <c r="AD246" s="42">
        <v>7508.7009409150724</v>
      </c>
      <c r="AE246" s="39">
        <v>0</v>
      </c>
      <c r="AF246" s="40">
        <v>0</v>
      </c>
      <c r="AG246" s="40">
        <v>0</v>
      </c>
      <c r="AH246" s="41">
        <v>0</v>
      </c>
      <c r="AI246" s="42">
        <v>0</v>
      </c>
      <c r="AJ246" s="41">
        <v>44.380623228278836</v>
      </c>
      <c r="AK246" s="30">
        <v>381768.80196368892</v>
      </c>
      <c r="AL246" s="43">
        <f>+$AL$6*W246/H246*10^6</f>
        <v>89.145890726294851</v>
      </c>
      <c r="AM246" s="30">
        <v>10129948</v>
      </c>
      <c r="AN246" s="44">
        <v>3.7687143306529204E-2</v>
      </c>
      <c r="AP246" s="32"/>
      <c r="AR246" s="32"/>
    </row>
    <row r="247" spans="1:44">
      <c r="A247" s="5" t="s">
        <v>1352</v>
      </c>
      <c r="B247" s="5" t="s">
        <v>1363</v>
      </c>
      <c r="C247" s="5" t="s">
        <v>1874</v>
      </c>
      <c r="D247" s="29" t="s">
        <v>1875</v>
      </c>
      <c r="E247" s="5" t="s">
        <v>56</v>
      </c>
      <c r="F247" s="30" t="s">
        <v>1152</v>
      </c>
      <c r="G247" s="5" t="s">
        <v>969</v>
      </c>
      <c r="H247" s="31">
        <v>18.190000000000001</v>
      </c>
      <c r="I247" s="32">
        <v>1077.3130000000001</v>
      </c>
      <c r="J247" s="32">
        <v>1083.4359999999999</v>
      </c>
      <c r="K247" s="33">
        <v>1</v>
      </c>
      <c r="L247" s="33">
        <v>1</v>
      </c>
      <c r="M247" s="6">
        <v>1</v>
      </c>
      <c r="N247" s="6">
        <v>1</v>
      </c>
      <c r="O247" s="6">
        <v>0</v>
      </c>
      <c r="P247" s="6">
        <v>0</v>
      </c>
      <c r="Q247" s="34">
        <v>1077.3130000000001</v>
      </c>
      <c r="R247" s="34">
        <v>1083.4359999999999</v>
      </c>
      <c r="S247" s="34">
        <v>19596.323470000003</v>
      </c>
      <c r="T247" s="34">
        <v>19707.700840000001</v>
      </c>
      <c r="U247" s="35">
        <v>1.0642342823873113E-3</v>
      </c>
      <c r="V247" s="36">
        <v>1.0741356765604272E-3</v>
      </c>
      <c r="W247" s="36">
        <v>9.9013941731158992E-6</v>
      </c>
      <c r="X247" s="37">
        <v>20.78445093377486</v>
      </c>
      <c r="Y247" s="38">
        <v>1142630.6175797062</v>
      </c>
      <c r="Z247" s="39">
        <v>1.9910479541904846E-3</v>
      </c>
      <c r="AA247" s="40">
        <v>2.0102153336747715E-3</v>
      </c>
      <c r="AB247" s="40">
        <v>1.9167379484286932E-5</v>
      </c>
      <c r="AC247" s="41">
        <v>0.37729896726575152</v>
      </c>
      <c r="AD247" s="42">
        <v>20742.109250453628</v>
      </c>
      <c r="AE247" s="39">
        <v>0</v>
      </c>
      <c r="AF247" s="40">
        <v>0</v>
      </c>
      <c r="AG247" s="40">
        <v>0</v>
      </c>
      <c r="AH247" s="41">
        <v>0</v>
      </c>
      <c r="AI247" s="42">
        <v>0</v>
      </c>
      <c r="AJ247" s="41">
        <v>21.161749901040611</v>
      </c>
      <c r="AK247" s="30">
        <v>1163372.7268301598</v>
      </c>
      <c r="AL247" s="43">
        <f>+$AL$6*W247/H247*10^6</f>
        <v>272.16586512138258</v>
      </c>
      <c r="AM247" s="30">
        <v>32199870</v>
      </c>
      <c r="AN247" s="44">
        <v>3.6129733655140835E-2</v>
      </c>
      <c r="AP247" s="32"/>
      <c r="AR247" s="32"/>
    </row>
    <row r="248" spans="1:44">
      <c r="A248" s="5" t="s">
        <v>1329</v>
      </c>
      <c r="B248" s="5" t="s">
        <v>501</v>
      </c>
      <c r="C248" s="5" t="s">
        <v>2118</v>
      </c>
      <c r="D248" s="29" t="s">
        <v>2119</v>
      </c>
      <c r="E248" s="5" t="s">
        <v>35</v>
      </c>
      <c r="F248" s="30" t="s">
        <v>1159</v>
      </c>
      <c r="G248" s="5" t="s">
        <v>969</v>
      </c>
      <c r="H248" s="31">
        <v>61.5</v>
      </c>
      <c r="I248" s="32">
        <v>197.876</v>
      </c>
      <c r="J248" s="32">
        <v>197.87649999999999</v>
      </c>
      <c r="K248" s="33">
        <v>1</v>
      </c>
      <c r="L248" s="33">
        <v>1</v>
      </c>
      <c r="M248" s="6">
        <v>0</v>
      </c>
      <c r="N248" s="6">
        <v>0</v>
      </c>
      <c r="O248" s="6">
        <v>1</v>
      </c>
      <c r="P248" s="6">
        <v>1</v>
      </c>
      <c r="Q248" s="34">
        <v>197.876</v>
      </c>
      <c r="R248" s="34">
        <v>197.87649999999999</v>
      </c>
      <c r="S248" s="34">
        <v>12169.374</v>
      </c>
      <c r="T248" s="34">
        <v>12169.40475</v>
      </c>
      <c r="U248" s="35">
        <v>6.6089259170576452E-4</v>
      </c>
      <c r="V248" s="36">
        <v>6.6327330167038022E-4</v>
      </c>
      <c r="W248" s="36">
        <v>2.3807099646157032E-6</v>
      </c>
      <c r="X248" s="37">
        <v>4.997452740691406</v>
      </c>
      <c r="Y248" s="38">
        <v>81259.39415758384</v>
      </c>
      <c r="Z248" s="39">
        <v>0</v>
      </c>
      <c r="AA248" s="40">
        <v>0</v>
      </c>
      <c r="AB248" s="40">
        <v>0</v>
      </c>
      <c r="AC248" s="41">
        <v>0</v>
      </c>
      <c r="AD248" s="42">
        <v>0</v>
      </c>
      <c r="AE248" s="39">
        <v>1.41977711668334E-3</v>
      </c>
      <c r="AF248" s="40">
        <v>1.4243682696247512E-3</v>
      </c>
      <c r="AG248" s="40">
        <v>4.5911529414112418E-6</v>
      </c>
      <c r="AH248" s="41">
        <v>5.9028410070890144E-2</v>
      </c>
      <c r="AI248" s="42">
        <v>959.8115458681325</v>
      </c>
      <c r="AJ248" s="41">
        <v>5.0564811507622958</v>
      </c>
      <c r="AK248" s="30">
        <v>82219.205703451968</v>
      </c>
      <c r="AL248" s="43">
        <f>+$AL$6*W248/H248*10^6</f>
        <v>19.355365565981327</v>
      </c>
      <c r="AM248" s="30">
        <v>2346963</v>
      </c>
      <c r="AN248" s="44">
        <v>3.503216953290357E-2</v>
      </c>
      <c r="AP248" s="32"/>
      <c r="AR248" s="32"/>
    </row>
    <row r="249" spans="1:44">
      <c r="A249" s="5" t="s">
        <v>1188</v>
      </c>
      <c r="B249" s="5" t="s">
        <v>356</v>
      </c>
      <c r="C249" s="5" t="s">
        <v>2015</v>
      </c>
      <c r="D249" s="29" t="s">
        <v>2016</v>
      </c>
      <c r="E249" s="5" t="s">
        <v>713</v>
      </c>
      <c r="F249" s="30" t="s">
        <v>1152</v>
      </c>
      <c r="G249" s="5" t="s">
        <v>971</v>
      </c>
      <c r="H249" s="31">
        <v>17.3</v>
      </c>
      <c r="I249" s="32">
        <v>1231.598</v>
      </c>
      <c r="J249" s="32">
        <v>1231.598</v>
      </c>
      <c r="K249" s="33">
        <v>1</v>
      </c>
      <c r="L249" s="33">
        <v>1</v>
      </c>
      <c r="M249" s="6">
        <v>0.64</v>
      </c>
      <c r="N249" s="6">
        <v>0.64</v>
      </c>
      <c r="O249" s="6">
        <v>0.36</v>
      </c>
      <c r="P249" s="6">
        <v>0.36</v>
      </c>
      <c r="Q249" s="34">
        <v>1231.598</v>
      </c>
      <c r="R249" s="34">
        <v>1231.598</v>
      </c>
      <c r="S249" s="34">
        <v>21306.645400000001</v>
      </c>
      <c r="T249" s="34">
        <v>21306.645400000001</v>
      </c>
      <c r="U249" s="35">
        <v>1.1571181967915283E-3</v>
      </c>
      <c r="V249" s="36">
        <v>1.1612835082979733E-3</v>
      </c>
      <c r="W249" s="36">
        <v>4.1653115064449724E-6</v>
      </c>
      <c r="X249" s="37">
        <v>8.7435881367754131</v>
      </c>
      <c r="Y249" s="38">
        <v>505409.71888875216</v>
      </c>
      <c r="Z249" s="39">
        <v>1.3854860985295086E-3</v>
      </c>
      <c r="AA249" s="40">
        <v>1.390918464289042E-3</v>
      </c>
      <c r="AB249" s="40">
        <v>5.4323657595334307E-6</v>
      </c>
      <c r="AC249" s="41">
        <v>0.10693303132867167</v>
      </c>
      <c r="AD249" s="42">
        <v>6181.1000768018303</v>
      </c>
      <c r="AE249" s="39">
        <v>8.9488970640513518E-4</v>
      </c>
      <c r="AF249" s="40">
        <v>8.9778125510750386E-4</v>
      </c>
      <c r="AG249" s="40">
        <v>2.8915487023686804E-6</v>
      </c>
      <c r="AH249" s="41">
        <v>3.7176614397625263E-2</v>
      </c>
      <c r="AI249" s="42">
        <v>2148.9372484176452</v>
      </c>
      <c r="AJ249" s="41">
        <v>8.8876977825017089</v>
      </c>
      <c r="AK249" s="30">
        <v>513739.75621397165</v>
      </c>
      <c r="AL249" s="43">
        <f>+$AL$6*W249/H249*10^6</f>
        <v>120.3847256197969</v>
      </c>
      <c r="AM249" s="30">
        <v>14983994</v>
      </c>
      <c r="AN249" s="44">
        <v>3.428590242454526E-2</v>
      </c>
      <c r="AP249" s="32"/>
      <c r="AR249" s="32"/>
    </row>
    <row r="250" spans="1:44">
      <c r="A250" s="5" t="s">
        <v>231</v>
      </c>
      <c r="B250" s="5" t="s">
        <v>531</v>
      </c>
      <c r="C250" s="5" t="s">
        <v>2211</v>
      </c>
      <c r="D250" s="29" t="s">
        <v>2212</v>
      </c>
      <c r="E250" s="5" t="s">
        <v>64</v>
      </c>
      <c r="F250" s="30" t="s">
        <v>1157</v>
      </c>
      <c r="G250" s="5" t="s">
        <v>971</v>
      </c>
      <c r="H250" s="31">
        <v>76.599999999999994</v>
      </c>
      <c r="I250" s="32">
        <v>233.369</v>
      </c>
      <c r="J250" s="32">
        <v>232.8528</v>
      </c>
      <c r="K250" s="33">
        <v>0.94</v>
      </c>
      <c r="L250" s="33">
        <v>0.94</v>
      </c>
      <c r="M250" s="6">
        <v>0.49</v>
      </c>
      <c r="N250" s="6">
        <v>0.49</v>
      </c>
      <c r="O250" s="6">
        <v>0.51</v>
      </c>
      <c r="P250" s="6">
        <v>0.51</v>
      </c>
      <c r="Q250" s="34">
        <v>219.36685999999997</v>
      </c>
      <c r="R250" s="34">
        <v>218.881632</v>
      </c>
      <c r="S250" s="34">
        <v>16803.501475999998</v>
      </c>
      <c r="T250" s="34">
        <v>16766.333011199997</v>
      </c>
      <c r="U250" s="35">
        <v>9.1256211208606776E-4</v>
      </c>
      <c r="V250" s="36">
        <v>9.1382128228118225E-4</v>
      </c>
      <c r="W250" s="36">
        <v>1.2591701951144944E-6</v>
      </c>
      <c r="X250" s="37">
        <v>2.6431794028247486</v>
      </c>
      <c r="Y250" s="38">
        <v>34506.258522516306</v>
      </c>
      <c r="Z250" s="39">
        <v>8.365713533582033E-4</v>
      </c>
      <c r="AA250" s="40">
        <v>8.3799376656357595E-4</v>
      </c>
      <c r="AB250" s="40">
        <v>1.4224132053726425E-6</v>
      </c>
      <c r="AC250" s="41">
        <v>2.799939521478258E-2</v>
      </c>
      <c r="AD250" s="42">
        <v>365.52735267340188</v>
      </c>
      <c r="AE250" s="39">
        <v>9.998201802859832E-4</v>
      </c>
      <c r="AF250" s="40">
        <v>1.0008320823538057E-3</v>
      </c>
      <c r="AG250" s="40">
        <v>1.0119020678225465E-6</v>
      </c>
      <c r="AH250" s="41">
        <v>1.301001534325944E-2</v>
      </c>
      <c r="AI250" s="42">
        <v>169.84354234020157</v>
      </c>
      <c r="AJ250" s="41">
        <v>2.6841888133827907</v>
      </c>
      <c r="AK250" s="30">
        <v>35041.629417529912</v>
      </c>
      <c r="AL250" s="43">
        <f>+$AL$6*W250/H250*10^6</f>
        <v>8.2191265999640635</v>
      </c>
      <c r="AM250" s="30">
        <v>1034107.375</v>
      </c>
      <c r="AN250" s="44">
        <v>3.388587129796837E-2</v>
      </c>
      <c r="AP250" s="32"/>
      <c r="AR250" s="32"/>
    </row>
    <row r="251" spans="1:44">
      <c r="A251" s="5" t="s">
        <v>265</v>
      </c>
      <c r="B251" s="5" t="s">
        <v>566</v>
      </c>
      <c r="C251" s="5" t="s">
        <v>2213</v>
      </c>
      <c r="D251" s="29" t="s">
        <v>2214</v>
      </c>
      <c r="E251" s="5" t="s">
        <v>95</v>
      </c>
      <c r="F251" s="30" t="s">
        <v>1167</v>
      </c>
      <c r="G251" s="5" t="s">
        <v>969</v>
      </c>
      <c r="H251" s="31">
        <v>89.5</v>
      </c>
      <c r="I251" s="32">
        <v>53.308999999999997</v>
      </c>
      <c r="J251" s="32">
        <v>53.374029999999998</v>
      </c>
      <c r="K251" s="33">
        <v>1</v>
      </c>
      <c r="L251" s="33">
        <v>1</v>
      </c>
      <c r="M251" s="6">
        <v>0</v>
      </c>
      <c r="N251" s="6">
        <v>0</v>
      </c>
      <c r="O251" s="6">
        <v>1</v>
      </c>
      <c r="P251" s="6">
        <v>1</v>
      </c>
      <c r="Q251" s="34">
        <v>53.308999999999997</v>
      </c>
      <c r="R251" s="34">
        <v>53.374029999999998</v>
      </c>
      <c r="S251" s="34">
        <v>4771.1554999999998</v>
      </c>
      <c r="T251" s="34">
        <v>4776.9756849999994</v>
      </c>
      <c r="U251" s="35">
        <v>2.5911121836063325E-4</v>
      </c>
      <c r="V251" s="36">
        <v>2.6036116800117734E-4</v>
      </c>
      <c r="W251" s="36">
        <v>1.2499496405440859E-6</v>
      </c>
      <c r="X251" s="37">
        <v>2.6238241321729445</v>
      </c>
      <c r="Y251" s="38">
        <v>29316.470750535693</v>
      </c>
      <c r="Z251" s="39">
        <v>0</v>
      </c>
      <c r="AA251" s="40">
        <v>0</v>
      </c>
      <c r="AB251" s="40">
        <v>0</v>
      </c>
      <c r="AC251" s="41">
        <v>0</v>
      </c>
      <c r="AD251" s="42">
        <v>0</v>
      </c>
      <c r="AE251" s="39">
        <v>5.566414015246683E-4</v>
      </c>
      <c r="AF251" s="40">
        <v>5.591212331468357E-4</v>
      </c>
      <c r="AG251" s="40">
        <v>2.4798316221673984E-6</v>
      </c>
      <c r="AH251" s="41">
        <v>3.188317178017229E-2</v>
      </c>
      <c r="AI251" s="42">
        <v>356.23655620304237</v>
      </c>
      <c r="AJ251" s="41">
        <v>2.6557073039531169</v>
      </c>
      <c r="AK251" s="30">
        <v>29672.707306738735</v>
      </c>
      <c r="AL251" s="43">
        <f>+$AL$6*W251/H251*10^6</f>
        <v>6.9829588857211498</v>
      </c>
      <c r="AM251" s="30">
        <v>879421.4375</v>
      </c>
      <c r="AN251" s="44">
        <v>3.3741168956594528E-2</v>
      </c>
      <c r="AP251" s="32"/>
      <c r="AR251" s="32"/>
    </row>
    <row r="252" spans="1:44">
      <c r="A252" s="5" t="s">
        <v>322</v>
      </c>
      <c r="B252" s="5" t="s">
        <v>1471</v>
      </c>
      <c r="C252" s="5" t="s">
        <v>2059</v>
      </c>
      <c r="D252" s="29" t="s">
        <v>2060</v>
      </c>
      <c r="E252" s="5" t="s">
        <v>148</v>
      </c>
      <c r="F252" s="30" t="s">
        <v>1147</v>
      </c>
      <c r="G252" s="5" t="s">
        <v>969</v>
      </c>
      <c r="H252" s="31">
        <v>83.16</v>
      </c>
      <c r="I252" s="32">
        <v>230.91200000000001</v>
      </c>
      <c r="J252" s="32">
        <v>230.91209999999998</v>
      </c>
      <c r="K252" s="33">
        <v>0.94</v>
      </c>
      <c r="L252" s="33">
        <v>0.94</v>
      </c>
      <c r="M252" s="6">
        <v>1</v>
      </c>
      <c r="N252" s="6">
        <v>1</v>
      </c>
      <c r="O252" s="6">
        <v>0</v>
      </c>
      <c r="P252" s="6">
        <v>0</v>
      </c>
      <c r="Q252" s="34">
        <v>217.05727999999999</v>
      </c>
      <c r="R252" s="34">
        <v>217.05737399999998</v>
      </c>
      <c r="S252" s="34">
        <v>18050.483404799998</v>
      </c>
      <c r="T252" s="34">
        <v>18050.491221839999</v>
      </c>
      <c r="U252" s="35">
        <v>9.8028302515315601E-4</v>
      </c>
      <c r="V252" s="36">
        <v>9.8381220408352604E-4</v>
      </c>
      <c r="W252" s="36">
        <v>3.5291789303700319E-6</v>
      </c>
      <c r="X252" s="37">
        <v>7.408254335935057</v>
      </c>
      <c r="Y252" s="38">
        <v>89084.34747396654</v>
      </c>
      <c r="Z252" s="39">
        <v>1.8339857530059603E-3</v>
      </c>
      <c r="AA252" s="40">
        <v>1.8411774427211482E-3</v>
      </c>
      <c r="AB252" s="40">
        <v>7.1916897151878822E-6</v>
      </c>
      <c r="AC252" s="41">
        <v>0.14156432310741926</v>
      </c>
      <c r="AD252" s="42">
        <v>1702.3126876794045</v>
      </c>
      <c r="AE252" s="39">
        <v>0</v>
      </c>
      <c r="AF252" s="40">
        <v>0</v>
      </c>
      <c r="AG252" s="40">
        <v>0</v>
      </c>
      <c r="AH252" s="41">
        <v>0</v>
      </c>
      <c r="AI252" s="42">
        <v>0</v>
      </c>
      <c r="AJ252" s="41">
        <v>7.5498186590424758</v>
      </c>
      <c r="AK252" s="30">
        <v>90786.660161645937</v>
      </c>
      <c r="AL252" s="43">
        <f>+$AL$6*W252/H252*10^6</f>
        <v>21.219209538059356</v>
      </c>
      <c r="AM252" s="30">
        <v>2763414.25</v>
      </c>
      <c r="AN252" s="44">
        <v>3.2853076646632312E-2</v>
      </c>
      <c r="AP252" s="32"/>
      <c r="AR252" s="32"/>
    </row>
    <row r="253" spans="1:44">
      <c r="A253" s="5" t="s">
        <v>1287</v>
      </c>
      <c r="B253" s="5" t="s">
        <v>460</v>
      </c>
      <c r="C253" s="5" t="s">
        <v>2237</v>
      </c>
      <c r="D253" s="29" t="s">
        <v>640</v>
      </c>
      <c r="E253" s="5" t="s">
        <v>685</v>
      </c>
      <c r="F253" s="30" t="s">
        <v>1159</v>
      </c>
      <c r="G253" s="5" t="s">
        <v>971</v>
      </c>
      <c r="H253" s="31">
        <v>45.62</v>
      </c>
      <c r="I253" s="32">
        <v>106.72</v>
      </c>
      <c r="J253" s="32">
        <v>106.72</v>
      </c>
      <c r="K253" s="33">
        <v>1</v>
      </c>
      <c r="L253" s="33">
        <v>1</v>
      </c>
      <c r="M253" s="6">
        <v>0</v>
      </c>
      <c r="N253" s="6">
        <v>0</v>
      </c>
      <c r="O253" s="6">
        <v>1</v>
      </c>
      <c r="P253" s="6">
        <v>1</v>
      </c>
      <c r="Q253" s="34">
        <v>106.72</v>
      </c>
      <c r="R253" s="34">
        <v>106.72</v>
      </c>
      <c r="S253" s="34">
        <v>4868.5663999999997</v>
      </c>
      <c r="T253" s="34">
        <v>4868.5663999999997</v>
      </c>
      <c r="U253" s="35">
        <v>2.6440139533780486E-4</v>
      </c>
      <c r="V253" s="36">
        <v>2.6535316861159351E-4</v>
      </c>
      <c r="W253" s="36">
        <v>9.5177327378865445E-7</v>
      </c>
      <c r="X253" s="37">
        <v>1.9979090381888382</v>
      </c>
      <c r="Y253" s="38">
        <v>43794.586545130172</v>
      </c>
      <c r="Z253" s="39">
        <v>0</v>
      </c>
      <c r="AA253" s="40">
        <v>0</v>
      </c>
      <c r="AB253" s="40">
        <v>0</v>
      </c>
      <c r="AC253" s="41">
        <v>0</v>
      </c>
      <c r="AD253" s="42">
        <v>0</v>
      </c>
      <c r="AE253" s="39">
        <v>5.6800614113539343E-4</v>
      </c>
      <c r="AF253" s="40">
        <v>5.698414705716156E-4</v>
      </c>
      <c r="AG253" s="40">
        <v>1.8353294362221696E-6</v>
      </c>
      <c r="AH253" s="41">
        <v>2.3596813253447625E-2</v>
      </c>
      <c r="AI253" s="42">
        <v>517.247112087848</v>
      </c>
      <c r="AJ253" s="41">
        <v>2.0215058514422859</v>
      </c>
      <c r="AK253" s="30">
        <v>44311.83365721802</v>
      </c>
      <c r="AL253" s="43">
        <f>+$AL$6*W253/H253*10^6</f>
        <v>10.431535223461799</v>
      </c>
      <c r="AM253" s="30">
        <v>1352381.625</v>
      </c>
      <c r="AN253" s="44">
        <v>3.2765776196654564E-2</v>
      </c>
      <c r="AP253" s="32"/>
      <c r="AR253" s="32"/>
    </row>
    <row r="254" spans="1:44">
      <c r="A254" s="5" t="s">
        <v>805</v>
      </c>
      <c r="B254" s="5" t="s">
        <v>166</v>
      </c>
      <c r="C254" s="5" t="s">
        <v>1895</v>
      </c>
      <c r="D254" s="29" t="s">
        <v>193</v>
      </c>
      <c r="E254" s="5" t="s">
        <v>1357</v>
      </c>
      <c r="F254" s="30" t="s">
        <v>1161</v>
      </c>
      <c r="G254" s="5" t="s">
        <v>969</v>
      </c>
      <c r="H254" s="31">
        <v>745.98</v>
      </c>
      <c r="I254" s="32">
        <v>31.047000000000001</v>
      </c>
      <c r="J254" s="32">
        <v>31.141779999999997</v>
      </c>
      <c r="K254" s="33">
        <v>1</v>
      </c>
      <c r="L254" s="33">
        <v>1</v>
      </c>
      <c r="M254" s="6">
        <v>1</v>
      </c>
      <c r="N254" s="6">
        <v>1</v>
      </c>
      <c r="O254" s="6">
        <v>0</v>
      </c>
      <c r="P254" s="6">
        <v>0</v>
      </c>
      <c r="Q254" s="34">
        <v>31.047000000000001</v>
      </c>
      <c r="R254" s="34">
        <v>31.141779999999997</v>
      </c>
      <c r="S254" s="34">
        <v>23160.441060000001</v>
      </c>
      <c r="T254" s="34">
        <v>23231.1450444</v>
      </c>
      <c r="U254" s="35">
        <v>1.2577938616392269E-3</v>
      </c>
      <c r="V254" s="36">
        <v>1.2661751820837975E-3</v>
      </c>
      <c r="W254" s="36">
        <v>8.3813204445706314E-6</v>
      </c>
      <c r="X254" s="37">
        <v>17.593597476748318</v>
      </c>
      <c r="Y254" s="38">
        <v>23584.543120121609</v>
      </c>
      <c r="Z254" s="39">
        <v>2.3531734848762577E-3</v>
      </c>
      <c r="AA254" s="40">
        <v>2.3696119789017233E-3</v>
      </c>
      <c r="AB254" s="40">
        <v>1.6438494025465631E-5</v>
      </c>
      <c r="AC254" s="41">
        <v>0.32358240855495563</v>
      </c>
      <c r="AD254" s="42">
        <v>433.76820900688438</v>
      </c>
      <c r="AE254" s="39">
        <v>0</v>
      </c>
      <c r="AF254" s="40">
        <v>0</v>
      </c>
      <c r="AG254" s="40">
        <v>0</v>
      </c>
      <c r="AH254" s="41">
        <v>0</v>
      </c>
      <c r="AI254" s="42">
        <v>0</v>
      </c>
      <c r="AJ254" s="41">
        <v>17.917179885303273</v>
      </c>
      <c r="AK254" s="30">
        <v>24018.311329128494</v>
      </c>
      <c r="AL254" s="43">
        <f>+$AL$6*W254/H254*10^6</f>
        <v>5.6176576078250289</v>
      </c>
      <c r="AM254" s="30">
        <v>738505.125</v>
      </c>
      <c r="AN254" s="44">
        <v>3.2522876979531448E-2</v>
      </c>
      <c r="AP254" s="32"/>
      <c r="AR254" s="32"/>
    </row>
    <row r="255" spans="1:44">
      <c r="A255" s="5" t="s">
        <v>1354</v>
      </c>
      <c r="B255" s="5" t="s">
        <v>524</v>
      </c>
      <c r="C255" s="5" t="s">
        <v>1896</v>
      </c>
      <c r="D255" s="29" t="s">
        <v>1897</v>
      </c>
      <c r="E255" s="5" t="s">
        <v>1701</v>
      </c>
      <c r="F255" s="30" t="s">
        <v>1150</v>
      </c>
      <c r="G255" s="5" t="s">
        <v>969</v>
      </c>
      <c r="H255" s="31">
        <v>55.36</v>
      </c>
      <c r="I255" s="32">
        <v>490.03300000000002</v>
      </c>
      <c r="J255" s="32">
        <v>491.55439999999999</v>
      </c>
      <c r="K255" s="33">
        <v>0.84</v>
      </c>
      <c r="L255" s="33">
        <v>0.84</v>
      </c>
      <c r="M255" s="6">
        <v>1</v>
      </c>
      <c r="N255" s="6">
        <v>1</v>
      </c>
      <c r="O255" s="6">
        <v>0</v>
      </c>
      <c r="P255" s="6">
        <v>0</v>
      </c>
      <c r="Q255" s="34">
        <v>411.62772000000001</v>
      </c>
      <c r="R255" s="34">
        <v>412.90569599999998</v>
      </c>
      <c r="S255" s="34">
        <v>22787.7105792</v>
      </c>
      <c r="T255" s="34">
        <v>22858.459330559999</v>
      </c>
      <c r="U255" s="35">
        <v>1.2375516689460244E-3</v>
      </c>
      <c r="V255" s="36">
        <v>1.2458625629391314E-3</v>
      </c>
      <c r="W255" s="36">
        <v>8.3108939931070616E-6</v>
      </c>
      <c r="X255" s="37">
        <v>17.445762222511206</v>
      </c>
      <c r="Y255" s="38">
        <v>315132.98812339606</v>
      </c>
      <c r="Z255" s="39">
        <v>2.3153028984676696E-3</v>
      </c>
      <c r="AA255" s="40">
        <v>2.3315974716446356E-3</v>
      </c>
      <c r="AB255" s="40">
        <v>1.629457317696599E-5</v>
      </c>
      <c r="AC255" s="41">
        <v>0.32074940848045719</v>
      </c>
      <c r="AD255" s="42">
        <v>5793.8838237076807</v>
      </c>
      <c r="AE255" s="39">
        <v>0</v>
      </c>
      <c r="AF255" s="40">
        <v>0</v>
      </c>
      <c r="AG255" s="40">
        <v>0</v>
      </c>
      <c r="AH255" s="41">
        <v>0</v>
      </c>
      <c r="AI255" s="42">
        <v>0</v>
      </c>
      <c r="AJ255" s="41">
        <v>17.766511630991662</v>
      </c>
      <c r="AK255" s="30">
        <v>320926.87194710376</v>
      </c>
      <c r="AL255" s="43">
        <f>+$AL$6*W255/H255*10^6</f>
        <v>75.062265111154829</v>
      </c>
      <c r="AM255" s="30">
        <v>9940836</v>
      </c>
      <c r="AN255" s="44">
        <v>3.2283690420715494E-2</v>
      </c>
      <c r="AP255" s="32"/>
      <c r="AR255" s="32"/>
    </row>
    <row r="256" spans="1:44">
      <c r="A256" s="5" t="s">
        <v>331</v>
      </c>
      <c r="B256" s="5" t="s">
        <v>630</v>
      </c>
      <c r="C256" s="5" t="s">
        <v>2122</v>
      </c>
      <c r="D256" s="29" t="s">
        <v>2123</v>
      </c>
      <c r="E256" s="5" t="s">
        <v>156</v>
      </c>
      <c r="F256" s="30" t="s">
        <v>1152</v>
      </c>
      <c r="G256" s="5" t="s">
        <v>969</v>
      </c>
      <c r="H256" s="31">
        <v>43.57</v>
      </c>
      <c r="I256" s="32">
        <v>258.596</v>
      </c>
      <c r="J256" s="32">
        <v>258.65789999999998</v>
      </c>
      <c r="K256" s="33">
        <v>1</v>
      </c>
      <c r="L256" s="33">
        <v>1</v>
      </c>
      <c r="M256" s="6">
        <v>0.49</v>
      </c>
      <c r="N256" s="6">
        <v>0.49</v>
      </c>
      <c r="O256" s="6">
        <v>0.51</v>
      </c>
      <c r="P256" s="6">
        <v>0.51</v>
      </c>
      <c r="Q256" s="34">
        <v>258.596</v>
      </c>
      <c r="R256" s="34">
        <v>258.65789999999998</v>
      </c>
      <c r="S256" s="34">
        <v>11267.02772</v>
      </c>
      <c r="T256" s="34">
        <v>11269.724703</v>
      </c>
      <c r="U256" s="35">
        <v>6.1188810128536529E-4</v>
      </c>
      <c r="V256" s="36">
        <v>6.1423772700756418E-4</v>
      </c>
      <c r="W256" s="36">
        <v>2.3496257221988955E-6</v>
      </c>
      <c r="X256" s="37">
        <v>4.9322024436090111</v>
      </c>
      <c r="Y256" s="38">
        <v>113201.80040415449</v>
      </c>
      <c r="Z256" s="39">
        <v>5.6093503139849961E-4</v>
      </c>
      <c r="AA256" s="40">
        <v>5.6326920416604716E-4</v>
      </c>
      <c r="AB256" s="40">
        <v>2.3341727675475505E-6</v>
      </c>
      <c r="AC256" s="41">
        <v>4.5946863802508738E-2</v>
      </c>
      <c r="AD256" s="42">
        <v>1054.5527611317129</v>
      </c>
      <c r="AE256" s="39">
        <v>6.7039608990942026E-4</v>
      </c>
      <c r="AF256" s="40">
        <v>6.7272325048793407E-4</v>
      </c>
      <c r="AG256" s="40">
        <v>2.3271605785138037E-6</v>
      </c>
      <c r="AH256" s="41">
        <v>2.9920281611681181E-2</v>
      </c>
      <c r="AI256" s="42">
        <v>686.71750313704797</v>
      </c>
      <c r="AJ256" s="41">
        <v>5.0080695890232008</v>
      </c>
      <c r="AK256" s="30">
        <v>114943.07066842324</v>
      </c>
      <c r="AL256" s="43">
        <f>+$AL$6*W256/H256*10^6</f>
        <v>26.963802182681839</v>
      </c>
      <c r="AM256" s="30">
        <v>3595170</v>
      </c>
      <c r="AN256" s="44">
        <v>3.1971525871773307E-2</v>
      </c>
      <c r="AP256" s="32"/>
      <c r="AR256" s="32"/>
    </row>
    <row r="257" spans="1:44">
      <c r="A257" s="5" t="s">
        <v>1004</v>
      </c>
      <c r="B257" s="5" t="s">
        <v>1092</v>
      </c>
      <c r="C257" s="5" t="s">
        <v>2070</v>
      </c>
      <c r="D257" s="29" t="s">
        <v>2071</v>
      </c>
      <c r="E257" s="5" t="s">
        <v>889</v>
      </c>
      <c r="F257" s="30" t="s">
        <v>1160</v>
      </c>
      <c r="G257" s="5" t="s">
        <v>971</v>
      </c>
      <c r="H257" s="31">
        <v>47.88</v>
      </c>
      <c r="I257" s="32">
        <v>411.1</v>
      </c>
      <c r="J257" s="32">
        <v>411</v>
      </c>
      <c r="K257" s="33">
        <v>0.94</v>
      </c>
      <c r="L257" s="33">
        <v>0.94</v>
      </c>
      <c r="M257" s="6">
        <v>0</v>
      </c>
      <c r="N257" s="6">
        <v>0</v>
      </c>
      <c r="O257" s="6">
        <v>1</v>
      </c>
      <c r="P257" s="6">
        <v>1</v>
      </c>
      <c r="Q257" s="34">
        <v>386.43400000000003</v>
      </c>
      <c r="R257" s="34">
        <v>386.34</v>
      </c>
      <c r="S257" s="34">
        <v>18502.459920000001</v>
      </c>
      <c r="T257" s="34">
        <v>18497.959200000001</v>
      </c>
      <c r="U257" s="35">
        <v>1.0048288999467707E-3</v>
      </c>
      <c r="V257" s="36">
        <v>1.0082007070023689E-3</v>
      </c>
      <c r="W257" s="36">
        <v>3.371807055598192E-6</v>
      </c>
      <c r="X257" s="37">
        <v>7.0779081288895354</v>
      </c>
      <c r="Y257" s="38">
        <v>147825.98431264693</v>
      </c>
      <c r="Z257" s="39">
        <v>0</v>
      </c>
      <c r="AA257" s="40">
        <v>0</v>
      </c>
      <c r="AB257" s="40">
        <v>0</v>
      </c>
      <c r="AC257" s="41">
        <v>0</v>
      </c>
      <c r="AD257" s="42">
        <v>0</v>
      </c>
      <c r="AE257" s="39">
        <v>2.1586458922839137E-3</v>
      </c>
      <c r="AF257" s="40">
        <v>2.1650940763798037E-3</v>
      </c>
      <c r="AG257" s="40">
        <v>6.448184095890052E-6</v>
      </c>
      <c r="AH257" s="41">
        <v>8.2904242111305509E-2</v>
      </c>
      <c r="AI257" s="42">
        <v>1731.5004618067148</v>
      </c>
      <c r="AJ257" s="41">
        <v>7.1608123710008407</v>
      </c>
      <c r="AK257" s="30">
        <v>149557.48477445365</v>
      </c>
      <c r="AL257" s="43">
        <f>+$AL$6*W257/H257*10^6</f>
        <v>35.211017706748031</v>
      </c>
      <c r="AM257" s="30">
        <v>4716190.5</v>
      </c>
      <c r="AN257" s="44">
        <v>3.171150206389111E-2</v>
      </c>
      <c r="AP257" s="32"/>
      <c r="AR257" s="32"/>
    </row>
    <row r="258" spans="1:44">
      <c r="A258" s="5" t="s">
        <v>1488</v>
      </c>
      <c r="B258" s="5" t="s">
        <v>1495</v>
      </c>
      <c r="C258" s="5" t="s">
        <v>2136</v>
      </c>
      <c r="D258" s="29" t="s">
        <v>1504</v>
      </c>
      <c r="E258" s="5" t="s">
        <v>1515</v>
      </c>
      <c r="F258" s="30" t="s">
        <v>1160</v>
      </c>
      <c r="G258" s="5" t="s">
        <v>969</v>
      </c>
      <c r="H258" s="31">
        <v>18</v>
      </c>
      <c r="I258" s="32">
        <v>234.34100000000001</v>
      </c>
      <c r="J258" s="32">
        <v>235.67869999999999</v>
      </c>
      <c r="K258" s="33">
        <v>1</v>
      </c>
      <c r="L258" s="33">
        <v>1</v>
      </c>
      <c r="M258" s="6">
        <v>0</v>
      </c>
      <c r="N258" s="6">
        <v>0</v>
      </c>
      <c r="O258" s="6">
        <v>1</v>
      </c>
      <c r="P258" s="6">
        <v>1</v>
      </c>
      <c r="Q258" s="34">
        <v>234.34100000000001</v>
      </c>
      <c r="R258" s="34">
        <v>235.67869999999999</v>
      </c>
      <c r="S258" s="34">
        <v>4218.1379999999999</v>
      </c>
      <c r="T258" s="34">
        <v>4242.2165999999997</v>
      </c>
      <c r="U258" s="35">
        <v>2.2907802447295729E-4</v>
      </c>
      <c r="V258" s="36">
        <v>2.3121500751159538E-4</v>
      </c>
      <c r="W258" s="36">
        <v>2.1369830386380891E-6</v>
      </c>
      <c r="X258" s="37">
        <v>4.4858348568204773</v>
      </c>
      <c r="Y258" s="38">
        <v>249213.04760113763</v>
      </c>
      <c r="Z258" s="39">
        <v>0</v>
      </c>
      <c r="AA258" s="40">
        <v>0</v>
      </c>
      <c r="AB258" s="40">
        <v>0</v>
      </c>
      <c r="AC258" s="41">
        <v>0</v>
      </c>
      <c r="AD258" s="42">
        <v>0</v>
      </c>
      <c r="AE258" s="39">
        <v>4.9212192898438571E-4</v>
      </c>
      <c r="AF258" s="40">
        <v>4.9653034327051988E-4</v>
      </c>
      <c r="AG258" s="40">
        <v>4.4084142861341687E-6</v>
      </c>
      <c r="AH258" s="41">
        <v>5.6678940903308363E-2</v>
      </c>
      <c r="AI258" s="42">
        <v>3148.830050183798</v>
      </c>
      <c r="AJ258" s="41">
        <v>4.5425137977237853</v>
      </c>
      <c r="AK258" s="30">
        <v>252361.87765132144</v>
      </c>
      <c r="AL258" s="43">
        <f>+$AL$6*W258/H258*10^6</f>
        <v>59.360639962169145</v>
      </c>
      <c r="AM258" s="30">
        <v>7984596.5</v>
      </c>
      <c r="AN258" s="44">
        <v>3.1606090257825986E-2</v>
      </c>
      <c r="AP258" s="32"/>
      <c r="AR258" s="32"/>
    </row>
    <row r="259" spans="1:44">
      <c r="A259" s="5" t="s">
        <v>1344</v>
      </c>
      <c r="B259" s="5" t="s">
        <v>213</v>
      </c>
      <c r="C259" s="5" t="s">
        <v>2156</v>
      </c>
      <c r="D259" s="29" t="s">
        <v>2157</v>
      </c>
      <c r="E259" s="5" t="s">
        <v>48</v>
      </c>
      <c r="F259" s="30" t="s">
        <v>1166</v>
      </c>
      <c r="G259" s="5" t="s">
        <v>969</v>
      </c>
      <c r="H259" s="31">
        <v>23.22</v>
      </c>
      <c r="I259" s="32">
        <v>338.339</v>
      </c>
      <c r="J259" s="32">
        <v>338.61340000000001</v>
      </c>
      <c r="K259" s="33">
        <v>1</v>
      </c>
      <c r="L259" s="33">
        <v>1</v>
      </c>
      <c r="M259" s="6">
        <v>0</v>
      </c>
      <c r="N259" s="6">
        <v>0</v>
      </c>
      <c r="O259" s="6">
        <v>1</v>
      </c>
      <c r="P259" s="6">
        <v>1</v>
      </c>
      <c r="Q259" s="34">
        <v>338.339</v>
      </c>
      <c r="R259" s="34">
        <v>338.61340000000001</v>
      </c>
      <c r="S259" s="34">
        <v>7856.2315799999997</v>
      </c>
      <c r="T259" s="34">
        <v>7862.6031480000001</v>
      </c>
      <c r="U259" s="35">
        <v>4.2665508102116619E-4</v>
      </c>
      <c r="V259" s="36">
        <v>4.2853819532117092E-4</v>
      </c>
      <c r="W259" s="36">
        <v>1.883114300004732E-6</v>
      </c>
      <c r="X259" s="37">
        <v>3.9529278490304987</v>
      </c>
      <c r="Y259" s="38">
        <v>170238.06412706713</v>
      </c>
      <c r="Z259" s="39">
        <v>0</v>
      </c>
      <c r="AA259" s="40">
        <v>0</v>
      </c>
      <c r="AB259" s="40">
        <v>0</v>
      </c>
      <c r="AC259" s="41">
        <v>0</v>
      </c>
      <c r="AD259" s="42">
        <v>0</v>
      </c>
      <c r="AE259" s="39">
        <v>9.1657120741370918E-4</v>
      </c>
      <c r="AF259" s="40">
        <v>9.2027857325255628E-4</v>
      </c>
      <c r="AG259" s="40">
        <v>3.7073658388471009E-6</v>
      </c>
      <c r="AH259" s="41">
        <v>4.7665567627770786E-2</v>
      </c>
      <c r="AI259" s="42">
        <v>2052.7806902571397</v>
      </c>
      <c r="AJ259" s="41">
        <v>4.0005934166582691</v>
      </c>
      <c r="AK259" s="30">
        <v>172290.84481732428</v>
      </c>
      <c r="AL259" s="43">
        <f>+$AL$6*W259/H259*10^6</f>
        <v>40.549403531540307</v>
      </c>
      <c r="AM259" s="30">
        <v>5462585.5</v>
      </c>
      <c r="AN259" s="44">
        <v>3.1540164417989298E-2</v>
      </c>
      <c r="AP259" s="32"/>
      <c r="AR259" s="32"/>
    </row>
    <row r="260" spans="1:44">
      <c r="A260" s="5" t="s">
        <v>1355</v>
      </c>
      <c r="B260" s="5" t="s">
        <v>525</v>
      </c>
      <c r="C260" s="5" t="s">
        <v>2080</v>
      </c>
      <c r="D260" s="29" t="s">
        <v>2081</v>
      </c>
      <c r="E260" s="5" t="s">
        <v>58</v>
      </c>
      <c r="F260" s="30" t="s">
        <v>1160</v>
      </c>
      <c r="G260" s="5" t="s">
        <v>969</v>
      </c>
      <c r="H260" s="31">
        <v>35.31</v>
      </c>
      <c r="I260" s="32">
        <v>428.03199999999998</v>
      </c>
      <c r="J260" s="32">
        <v>428.03389999999996</v>
      </c>
      <c r="K260" s="33">
        <v>1</v>
      </c>
      <c r="L260" s="33">
        <v>1</v>
      </c>
      <c r="M260" s="6">
        <v>0</v>
      </c>
      <c r="N260" s="6">
        <v>0</v>
      </c>
      <c r="O260" s="6">
        <v>1</v>
      </c>
      <c r="P260" s="6">
        <v>1</v>
      </c>
      <c r="Q260" s="34">
        <v>428.03199999999998</v>
      </c>
      <c r="R260" s="34">
        <v>428.03389999999996</v>
      </c>
      <c r="S260" s="34">
        <v>15113.80992</v>
      </c>
      <c r="T260" s="34">
        <v>15113.877009</v>
      </c>
      <c r="U260" s="35">
        <v>8.2079858902989536E-4</v>
      </c>
      <c r="V260" s="36">
        <v>8.2375689778906242E-4</v>
      </c>
      <c r="W260" s="36">
        <v>2.9583087591670588E-6</v>
      </c>
      <c r="X260" s="37">
        <v>6.209915712558149</v>
      </c>
      <c r="Y260" s="38">
        <v>175868.47104384447</v>
      </c>
      <c r="Z260" s="39">
        <v>0</v>
      </c>
      <c r="AA260" s="40">
        <v>0</v>
      </c>
      <c r="AB260" s="40">
        <v>0</v>
      </c>
      <c r="AC260" s="41">
        <v>0</v>
      </c>
      <c r="AD260" s="42">
        <v>0</v>
      </c>
      <c r="AE260" s="39">
        <v>1.7632987095570947E-3</v>
      </c>
      <c r="AF260" s="40">
        <v>1.7690040955068603E-3</v>
      </c>
      <c r="AG260" s="40">
        <v>5.7053859497655825E-6</v>
      </c>
      <c r="AH260" s="41">
        <v>7.3354093351535671E-2</v>
      </c>
      <c r="AI260" s="42">
        <v>2077.4311342830833</v>
      </c>
      <c r="AJ260" s="41">
        <v>6.2832698059096845</v>
      </c>
      <c r="AK260" s="30">
        <v>177945.90217812755</v>
      </c>
      <c r="AL260" s="43">
        <f>+$AL$6*W260/H260*10^6</f>
        <v>41.890523352691289</v>
      </c>
      <c r="AM260" s="30">
        <v>5646423.5</v>
      </c>
      <c r="AN260" s="44">
        <v>3.1514799089747261E-2</v>
      </c>
      <c r="AP260" s="32"/>
      <c r="AR260" s="32"/>
    </row>
    <row r="261" spans="1:44">
      <c r="A261" s="5" t="s">
        <v>285</v>
      </c>
      <c r="B261" s="5" t="s">
        <v>585</v>
      </c>
      <c r="C261" s="5" t="s">
        <v>2163</v>
      </c>
      <c r="D261" s="29" t="s">
        <v>2164</v>
      </c>
      <c r="E261" s="5" t="s">
        <v>112</v>
      </c>
      <c r="F261" s="30" t="s">
        <v>1159</v>
      </c>
      <c r="G261" s="5" t="s">
        <v>971</v>
      </c>
      <c r="H261" s="31">
        <v>14.16</v>
      </c>
      <c r="I261" s="32">
        <v>640.654</v>
      </c>
      <c r="J261" s="32">
        <v>640.65359999999998</v>
      </c>
      <c r="K261" s="33">
        <v>1</v>
      </c>
      <c r="L261" s="33">
        <v>1</v>
      </c>
      <c r="M261" s="6">
        <v>0</v>
      </c>
      <c r="N261" s="6">
        <v>0</v>
      </c>
      <c r="O261" s="6">
        <v>1</v>
      </c>
      <c r="P261" s="6">
        <v>1</v>
      </c>
      <c r="Q261" s="34">
        <v>640.654</v>
      </c>
      <c r="R261" s="34">
        <v>640.65359999999998</v>
      </c>
      <c r="S261" s="34">
        <v>9071.6606400000001</v>
      </c>
      <c r="T261" s="34">
        <v>9071.6549759999998</v>
      </c>
      <c r="U261" s="35">
        <v>4.9266242548259051E-4</v>
      </c>
      <c r="V261" s="36">
        <v>4.9443556781575968E-4</v>
      </c>
      <c r="W261" s="36">
        <v>1.7731423331691747E-6</v>
      </c>
      <c r="X261" s="37">
        <v>3.7220808684112976</v>
      </c>
      <c r="Y261" s="38">
        <v>262858.81839062838</v>
      </c>
      <c r="Z261" s="39">
        <v>0</v>
      </c>
      <c r="AA261" s="40">
        <v>0</v>
      </c>
      <c r="AB261" s="40">
        <v>0</v>
      </c>
      <c r="AC261" s="41">
        <v>0</v>
      </c>
      <c r="AD261" s="42">
        <v>0</v>
      </c>
      <c r="AE261" s="39">
        <v>1.0583729439976898E-3</v>
      </c>
      <c r="AF261" s="40">
        <v>1.0617920733384993E-3</v>
      </c>
      <c r="AG261" s="40">
        <v>3.4191293408094951E-6</v>
      </c>
      <c r="AH261" s="41">
        <v>4.395971369071347E-2</v>
      </c>
      <c r="AI261" s="42">
        <v>3104.4995544289172</v>
      </c>
      <c r="AJ261" s="41">
        <v>3.7660405821020109</v>
      </c>
      <c r="AK261" s="30">
        <v>265963.31794505729</v>
      </c>
      <c r="AL261" s="43">
        <f>+$AL$6*W261/H261*10^6</f>
        <v>62.610958092131874</v>
      </c>
      <c r="AM261" s="30">
        <v>8597029</v>
      </c>
      <c r="AN261" s="44">
        <v>3.0936654737939967E-2</v>
      </c>
      <c r="AP261" s="32"/>
      <c r="AR261" s="32"/>
    </row>
    <row r="262" spans="1:44">
      <c r="A262" s="5" t="s">
        <v>278</v>
      </c>
      <c r="B262" s="5" t="s">
        <v>578</v>
      </c>
      <c r="C262" s="5" t="s">
        <v>1995</v>
      </c>
      <c r="D262" s="29" t="s">
        <v>1996</v>
      </c>
      <c r="E262" s="5" t="s">
        <v>106</v>
      </c>
      <c r="F262" s="30" t="s">
        <v>1148</v>
      </c>
      <c r="G262" s="5" t="s">
        <v>969</v>
      </c>
      <c r="H262" s="31">
        <v>273.17</v>
      </c>
      <c r="I262" s="32">
        <v>93.186000000000007</v>
      </c>
      <c r="J262" s="32">
        <v>93.210650000000001</v>
      </c>
      <c r="K262" s="33">
        <v>0.85</v>
      </c>
      <c r="L262" s="33">
        <v>0.85</v>
      </c>
      <c r="M262" s="6">
        <v>1</v>
      </c>
      <c r="N262" s="6">
        <v>1</v>
      </c>
      <c r="O262" s="6">
        <v>0</v>
      </c>
      <c r="P262" s="6">
        <v>0</v>
      </c>
      <c r="Q262" s="34">
        <v>79.208100000000002</v>
      </c>
      <c r="R262" s="34">
        <v>79.229052499999995</v>
      </c>
      <c r="S262" s="34">
        <v>21637.276677000002</v>
      </c>
      <c r="T262" s="34">
        <v>21643.000271425</v>
      </c>
      <c r="U262" s="35">
        <v>1.1750740720531084E-3</v>
      </c>
      <c r="V262" s="36">
        <v>1.179615974896471E-3</v>
      </c>
      <c r="W262" s="36">
        <v>4.5419028433626215E-6</v>
      </c>
      <c r="X262" s="37">
        <v>9.5341075350942841</v>
      </c>
      <c r="Y262" s="38">
        <v>34901.737142051774</v>
      </c>
      <c r="Z262" s="39">
        <v>2.1984152041553506E-3</v>
      </c>
      <c r="AA262" s="40">
        <v>2.2076188067580681E-3</v>
      </c>
      <c r="AB262" s="40">
        <v>9.203602602717454E-6</v>
      </c>
      <c r="AC262" s="41">
        <v>0.18116768439714873</v>
      </c>
      <c r="AD262" s="42">
        <v>663.20490682413413</v>
      </c>
      <c r="AE262" s="39">
        <v>0</v>
      </c>
      <c r="AF262" s="40">
        <v>0</v>
      </c>
      <c r="AG262" s="40">
        <v>0</v>
      </c>
      <c r="AH262" s="41">
        <v>0</v>
      </c>
      <c r="AI262" s="42">
        <v>0</v>
      </c>
      <c r="AJ262" s="41">
        <v>9.7152752194914331</v>
      </c>
      <c r="AK262" s="30">
        <v>35564.942048875906</v>
      </c>
      <c r="AL262" s="43">
        <f>+$AL$6*W262/H262*10^6</f>
        <v>8.3133265793509938</v>
      </c>
      <c r="AM262" s="30">
        <v>1155826.875</v>
      </c>
      <c r="AN262" s="44">
        <v>3.077012900299269E-2</v>
      </c>
      <c r="AP262" s="32"/>
      <c r="AR262" s="32"/>
    </row>
    <row r="263" spans="1:44">
      <c r="A263" s="5" t="s">
        <v>1233</v>
      </c>
      <c r="B263" s="5" t="s">
        <v>404</v>
      </c>
      <c r="C263" s="5" t="s">
        <v>2104</v>
      </c>
      <c r="D263" s="29" t="s">
        <v>2105</v>
      </c>
      <c r="E263" s="5" t="s">
        <v>752</v>
      </c>
      <c r="F263" s="30" t="s">
        <v>1160</v>
      </c>
      <c r="G263" s="5" t="s">
        <v>969</v>
      </c>
      <c r="H263" s="31">
        <v>27.02</v>
      </c>
      <c r="I263" s="32">
        <v>413.60399999999998</v>
      </c>
      <c r="J263" s="32">
        <v>413.80799999999999</v>
      </c>
      <c r="K263" s="33">
        <v>1</v>
      </c>
      <c r="L263" s="33">
        <v>1</v>
      </c>
      <c r="M263" s="6">
        <v>1</v>
      </c>
      <c r="N263" s="6">
        <v>1</v>
      </c>
      <c r="O263" s="6">
        <v>0</v>
      </c>
      <c r="P263" s="6">
        <v>0</v>
      </c>
      <c r="Q263" s="34">
        <v>413.60399999999998</v>
      </c>
      <c r="R263" s="34">
        <v>413.80799999999999</v>
      </c>
      <c r="S263" s="34">
        <v>11175.58008</v>
      </c>
      <c r="T263" s="34">
        <v>11181.09216</v>
      </c>
      <c r="U263" s="35">
        <v>6.0692177616420654E-4</v>
      </c>
      <c r="V263" s="36">
        <v>6.0940695667501758E-4</v>
      </c>
      <c r="W263" s="36">
        <v>2.4851805108110385E-6</v>
      </c>
      <c r="X263" s="37">
        <v>5.2167514478691537</v>
      </c>
      <c r="Y263" s="38">
        <v>193070.00177161931</v>
      </c>
      <c r="Z263" s="39">
        <v>1.1354740030312396E-3</v>
      </c>
      <c r="AA263" s="40">
        <v>1.1404883344709211E-3</v>
      </c>
      <c r="AB263" s="40">
        <v>5.0143314396814895E-6</v>
      </c>
      <c r="AC263" s="41">
        <v>9.8704263421661873E-2</v>
      </c>
      <c r="AD263" s="42">
        <v>3653.0075285589146</v>
      </c>
      <c r="AE263" s="39">
        <v>0</v>
      </c>
      <c r="AF263" s="40">
        <v>0</v>
      </c>
      <c r="AG263" s="40">
        <v>0</v>
      </c>
      <c r="AH263" s="41">
        <v>0</v>
      </c>
      <c r="AI263" s="42">
        <v>0</v>
      </c>
      <c r="AJ263" s="41">
        <v>5.3154557112908156</v>
      </c>
      <c r="AK263" s="30">
        <v>196723.00930017824</v>
      </c>
      <c r="AL263" s="43">
        <f>+$AL$6*W263/H263*10^6</f>
        <v>45.987796277036246</v>
      </c>
      <c r="AM263" s="30">
        <v>6400373.5</v>
      </c>
      <c r="AN263" s="44">
        <v>3.0736176459104807E-2</v>
      </c>
      <c r="AP263" s="32"/>
      <c r="AR263" s="32"/>
    </row>
    <row r="264" spans="1:44">
      <c r="A264" s="5" t="s">
        <v>299</v>
      </c>
      <c r="B264" s="5" t="s">
        <v>599</v>
      </c>
      <c r="C264" s="5" t="s">
        <v>2228</v>
      </c>
      <c r="D264" s="29" t="s">
        <v>2229</v>
      </c>
      <c r="E264" s="5" t="s">
        <v>125</v>
      </c>
      <c r="F264" s="30" t="s">
        <v>1154</v>
      </c>
      <c r="G264" s="5" t="s">
        <v>969</v>
      </c>
      <c r="H264" s="31">
        <v>22.12</v>
      </c>
      <c r="I264" s="32">
        <v>235.12200000000001</v>
      </c>
      <c r="J264" s="32">
        <v>235.2157</v>
      </c>
      <c r="K264" s="33">
        <v>1</v>
      </c>
      <c r="L264" s="33">
        <v>1</v>
      </c>
      <c r="M264" s="6">
        <v>0</v>
      </c>
      <c r="N264" s="6">
        <v>0</v>
      </c>
      <c r="O264" s="6">
        <v>1</v>
      </c>
      <c r="P264" s="6">
        <v>1</v>
      </c>
      <c r="Q264" s="34">
        <v>235.12200000000001</v>
      </c>
      <c r="R264" s="34">
        <v>235.2157</v>
      </c>
      <c r="S264" s="34">
        <v>5200.8986400000003</v>
      </c>
      <c r="T264" s="34">
        <v>5202.9712840000002</v>
      </c>
      <c r="U264" s="35">
        <v>2.8244964625038116E-4</v>
      </c>
      <c r="V264" s="36">
        <v>2.835793543669305E-4</v>
      </c>
      <c r="W264" s="36">
        <v>1.1297081165493337E-6</v>
      </c>
      <c r="X264" s="37">
        <v>2.3714198735426901</v>
      </c>
      <c r="Y264" s="38">
        <v>107207.04672435307</v>
      </c>
      <c r="Z264" s="39">
        <v>0</v>
      </c>
      <c r="AA264" s="40">
        <v>0</v>
      </c>
      <c r="AB264" s="40">
        <v>0</v>
      </c>
      <c r="AC264" s="41">
        <v>0</v>
      </c>
      <c r="AD264" s="42">
        <v>0</v>
      </c>
      <c r="AE264" s="39">
        <v>6.0677869504721475E-4</v>
      </c>
      <c r="AF264" s="40">
        <v>6.0898189820651251E-4</v>
      </c>
      <c r="AG264" s="40">
        <v>2.2032031592977537E-6</v>
      </c>
      <c r="AH264" s="41">
        <v>2.8326562241799962E-2</v>
      </c>
      <c r="AI264" s="42">
        <v>1280.5859964647359</v>
      </c>
      <c r="AJ264" s="41">
        <v>2.3997464357844902</v>
      </c>
      <c r="AK264" s="30">
        <v>108487.63272081781</v>
      </c>
      <c r="AL264" s="43">
        <f>+$AL$6*W264/H264*10^6</f>
        <v>25.535897752019295</v>
      </c>
      <c r="AM264" s="30">
        <v>3551177.75</v>
      </c>
      <c r="AN264" s="44">
        <v>3.0549761335043793E-2</v>
      </c>
      <c r="AP264" s="32"/>
      <c r="AR264" s="32"/>
    </row>
    <row r="265" spans="1:44">
      <c r="A265" s="5" t="s">
        <v>819</v>
      </c>
      <c r="B265" s="5" t="s">
        <v>179</v>
      </c>
      <c r="C265" s="5" t="s">
        <v>2126</v>
      </c>
      <c r="D265" s="29" t="s">
        <v>2127</v>
      </c>
      <c r="E265" s="5" t="s">
        <v>674</v>
      </c>
      <c r="F265" s="30" t="s">
        <v>1152</v>
      </c>
      <c r="G265" s="5" t="s">
        <v>969</v>
      </c>
      <c r="H265" s="31">
        <v>72.61</v>
      </c>
      <c r="I265" s="32">
        <v>158.32499999999999</v>
      </c>
      <c r="J265" s="32">
        <v>158.3254</v>
      </c>
      <c r="K265" s="33">
        <v>1</v>
      </c>
      <c r="L265" s="33">
        <v>1</v>
      </c>
      <c r="M265" s="6">
        <v>1</v>
      </c>
      <c r="N265" s="6">
        <v>1</v>
      </c>
      <c r="O265" s="6">
        <v>0</v>
      </c>
      <c r="P265" s="6">
        <v>0</v>
      </c>
      <c r="Q265" s="34">
        <v>158.32499999999999</v>
      </c>
      <c r="R265" s="34">
        <v>158.3254</v>
      </c>
      <c r="S265" s="34">
        <v>11495.978249999998</v>
      </c>
      <c r="T265" s="34">
        <v>11496.007294000001</v>
      </c>
      <c r="U265" s="35">
        <v>6.2432191334045606E-4</v>
      </c>
      <c r="V265" s="36">
        <v>6.2657088580426697E-4</v>
      </c>
      <c r="W265" s="36">
        <v>2.2489724638109169E-6</v>
      </c>
      <c r="X265" s="37">
        <v>4.7209167727516963</v>
      </c>
      <c r="Y265" s="38">
        <v>65017.446257425923</v>
      </c>
      <c r="Z265" s="39">
        <v>1.1680274624534354E-3</v>
      </c>
      <c r="AA265" s="40">
        <v>1.172610155088787E-3</v>
      </c>
      <c r="AB265" s="40">
        <v>4.582692635351571E-6</v>
      </c>
      <c r="AC265" s="41">
        <v>9.0207698972723557E-2</v>
      </c>
      <c r="AD265" s="42">
        <v>1242.3591650285573</v>
      </c>
      <c r="AE265" s="39">
        <v>0</v>
      </c>
      <c r="AF265" s="40">
        <v>0</v>
      </c>
      <c r="AG265" s="40">
        <v>0</v>
      </c>
      <c r="AH265" s="41">
        <v>0</v>
      </c>
      <c r="AI265" s="42">
        <v>0</v>
      </c>
      <c r="AJ265" s="41">
        <v>4.8111244717244199</v>
      </c>
      <c r="AK265" s="30">
        <v>66259.805422454476</v>
      </c>
      <c r="AL265" s="43">
        <f>+$AL$6*W265/H265*10^6</f>
        <v>15.486657924603477</v>
      </c>
      <c r="AM265" s="30">
        <v>2179602.25</v>
      </c>
      <c r="AN265" s="44">
        <v>3.0399952753973565E-2</v>
      </c>
      <c r="AP265" s="32"/>
      <c r="AR265" s="32"/>
    </row>
    <row r="266" spans="1:44">
      <c r="A266" s="5" t="s">
        <v>1341</v>
      </c>
      <c r="B266" s="5" t="s">
        <v>513</v>
      </c>
      <c r="C266" s="5" t="s">
        <v>2010</v>
      </c>
      <c r="D266" s="29" t="s">
        <v>2011</v>
      </c>
      <c r="E266" s="5" t="s">
        <v>45</v>
      </c>
      <c r="F266" s="30" t="s">
        <v>1159</v>
      </c>
      <c r="G266" s="5" t="s">
        <v>969</v>
      </c>
      <c r="H266" s="31">
        <v>64.11</v>
      </c>
      <c r="I266" s="32">
        <v>336.41</v>
      </c>
      <c r="J266" s="32">
        <v>336.41019999999997</v>
      </c>
      <c r="K266" s="33">
        <v>1</v>
      </c>
      <c r="L266" s="33">
        <v>1</v>
      </c>
      <c r="M266" s="6">
        <v>0.43</v>
      </c>
      <c r="N266" s="6">
        <v>0.43</v>
      </c>
      <c r="O266" s="6">
        <v>0.56999999999999995</v>
      </c>
      <c r="P266" s="6">
        <v>0.56999999999999995</v>
      </c>
      <c r="Q266" s="34">
        <v>336.41</v>
      </c>
      <c r="R266" s="34">
        <v>336.41019999999997</v>
      </c>
      <c r="S266" s="34">
        <v>21567.2451</v>
      </c>
      <c r="T266" s="34">
        <v>21567.257921999997</v>
      </c>
      <c r="U266" s="35">
        <v>1.1712708073638341E-3</v>
      </c>
      <c r="V266" s="36">
        <v>1.1754877632697361E-3</v>
      </c>
      <c r="W266" s="36">
        <v>4.2169559059019885E-6</v>
      </c>
      <c r="X266" s="37">
        <v>8.8519971615805364</v>
      </c>
      <c r="Y266" s="38">
        <v>138075.13900453184</v>
      </c>
      <c r="Z266" s="39">
        <v>9.422589037599863E-4</v>
      </c>
      <c r="AA266" s="40">
        <v>9.4595397813299282E-4</v>
      </c>
      <c r="AB266" s="40">
        <v>3.6950743730065167E-6</v>
      </c>
      <c r="AC266" s="41">
        <v>7.2735438146273465E-2</v>
      </c>
      <c r="AD266" s="42">
        <v>1134.5412282993832</v>
      </c>
      <c r="AE266" s="39">
        <v>1.434238787125953E-3</v>
      </c>
      <c r="AF266" s="40">
        <v>1.438873924604949E-3</v>
      </c>
      <c r="AG266" s="40">
        <v>4.6351374789960816E-6</v>
      </c>
      <c r="AH266" s="41">
        <v>5.9593918855822568E-2</v>
      </c>
      <c r="AI266" s="42">
        <v>929.55730550339365</v>
      </c>
      <c r="AJ266" s="41">
        <v>8.9843265185826322</v>
      </c>
      <c r="AK266" s="30">
        <v>140139.23753833462</v>
      </c>
      <c r="AL266" s="43">
        <f>+$AL$6*W266/H266*10^6</f>
        <v>32.888441006878715</v>
      </c>
      <c r="AM266" s="30">
        <v>4629511.5</v>
      </c>
      <c r="AN266" s="44">
        <v>3.027084769923017E-2</v>
      </c>
      <c r="AP266" s="32"/>
      <c r="AR266" s="32"/>
    </row>
    <row r="267" spans="1:44">
      <c r="A267" s="5" t="s">
        <v>1214</v>
      </c>
      <c r="B267" s="5" t="s">
        <v>384</v>
      </c>
      <c r="C267" s="5" t="s">
        <v>2124</v>
      </c>
      <c r="D267" s="29" t="s">
        <v>2125</v>
      </c>
      <c r="E267" s="5" t="s">
        <v>736</v>
      </c>
      <c r="F267" s="30" t="s">
        <v>1160</v>
      </c>
      <c r="G267" s="5" t="s">
        <v>969</v>
      </c>
      <c r="H267" s="31">
        <v>52.25</v>
      </c>
      <c r="I267" s="32">
        <v>191.40600000000001</v>
      </c>
      <c r="J267" s="32">
        <v>191.51429999999999</v>
      </c>
      <c r="K267" s="33">
        <v>1</v>
      </c>
      <c r="L267" s="33">
        <v>1</v>
      </c>
      <c r="M267" s="6">
        <v>0.44</v>
      </c>
      <c r="N267" s="6">
        <v>0.44</v>
      </c>
      <c r="O267" s="6">
        <v>0.56000000000000005</v>
      </c>
      <c r="P267" s="6">
        <v>0.56000000000000005</v>
      </c>
      <c r="Q267" s="34">
        <v>191.40600000000001</v>
      </c>
      <c r="R267" s="34">
        <v>191.51429999999999</v>
      </c>
      <c r="S267" s="34">
        <v>10000.9635</v>
      </c>
      <c r="T267" s="34">
        <v>10006.622175</v>
      </c>
      <c r="U267" s="35">
        <v>5.4313086992558151E-4</v>
      </c>
      <c r="V267" s="36">
        <v>5.4539441040288284E-4</v>
      </c>
      <c r="W267" s="36">
        <v>2.2635404773013301E-6</v>
      </c>
      <c r="X267" s="37">
        <v>4.7514971290429537</v>
      </c>
      <c r="Y267" s="38">
        <v>90937.74409651586</v>
      </c>
      <c r="Z267" s="39">
        <v>4.4709688002041485E-4</v>
      </c>
      <c r="AA267" s="40">
        <v>4.491038715792175E-4</v>
      </c>
      <c r="AB267" s="40">
        <v>2.0069915588026566E-6</v>
      </c>
      <c r="AC267" s="41">
        <v>3.9506487731830596E-2</v>
      </c>
      <c r="AD267" s="42">
        <v>756.10502836039416</v>
      </c>
      <c r="AE267" s="39">
        <v>6.5340402130526854E-4</v>
      </c>
      <c r="AF267" s="40">
        <v>6.5588618562697684E-4</v>
      </c>
      <c r="AG267" s="40">
        <v>2.4821643217083069E-6</v>
      </c>
      <c r="AH267" s="41">
        <v>3.191316327617124E-2</v>
      </c>
      <c r="AI267" s="42">
        <v>610.7782445200238</v>
      </c>
      <c r="AJ267" s="41">
        <v>4.8229167800509556</v>
      </c>
      <c r="AK267" s="30">
        <v>92304.627369396287</v>
      </c>
      <c r="AL267" s="43">
        <f>+$AL$6*W267/H267*10^6</f>
        <v>21.660674423936172</v>
      </c>
      <c r="AM267" s="30">
        <v>3084055.75</v>
      </c>
      <c r="AN267" s="44">
        <v>2.9929623473698971E-2</v>
      </c>
      <c r="AP267" s="32"/>
      <c r="AR267" s="32"/>
    </row>
    <row r="268" spans="1:44">
      <c r="A268" s="5" t="s">
        <v>1335</v>
      </c>
      <c r="B268" s="5" t="s">
        <v>507</v>
      </c>
      <c r="C268" s="5" t="s">
        <v>2151</v>
      </c>
      <c r="D268" s="29" t="s">
        <v>2152</v>
      </c>
      <c r="E268" s="5" t="s">
        <v>40</v>
      </c>
      <c r="F268" s="30" t="s">
        <v>1152</v>
      </c>
      <c r="G268" s="5" t="s">
        <v>969</v>
      </c>
      <c r="H268" s="31">
        <v>41.65</v>
      </c>
      <c r="I268" s="32">
        <v>239.46700000000001</v>
      </c>
      <c r="J268" s="32">
        <v>239.4674</v>
      </c>
      <c r="K268" s="33">
        <v>1</v>
      </c>
      <c r="L268" s="33">
        <v>1</v>
      </c>
      <c r="M268" s="6">
        <v>0.54</v>
      </c>
      <c r="N268" s="6">
        <v>0.54</v>
      </c>
      <c r="O268" s="6">
        <v>0.46</v>
      </c>
      <c r="P268" s="6">
        <v>0.46</v>
      </c>
      <c r="Q268" s="34">
        <v>239.46700000000001</v>
      </c>
      <c r="R268" s="34">
        <v>239.4674</v>
      </c>
      <c r="S268" s="34">
        <v>9973.8005499999999</v>
      </c>
      <c r="T268" s="34">
        <v>9973.8172099999992</v>
      </c>
      <c r="U268" s="35">
        <v>5.4165570839107089E-4</v>
      </c>
      <c r="V268" s="36">
        <v>5.4360642998036194E-4</v>
      </c>
      <c r="W268" s="36">
        <v>1.9507215892910525E-6</v>
      </c>
      <c r="X268" s="37">
        <v>4.0948452762502301</v>
      </c>
      <c r="Y268" s="38">
        <v>98315.612875155581</v>
      </c>
      <c r="Z268" s="39">
        <v>5.4721949318353291E-4</v>
      </c>
      <c r="AA268" s="40">
        <v>5.4936600900006949E-4</v>
      </c>
      <c r="AB268" s="40">
        <v>2.1465158165365813E-6</v>
      </c>
      <c r="AC268" s="41">
        <v>4.2252943416849278E-2</v>
      </c>
      <c r="AD268" s="42">
        <v>1014.4764325774136</v>
      </c>
      <c r="AE268" s="39">
        <v>5.3526696953653554E-4</v>
      </c>
      <c r="AF268" s="40">
        <v>5.3699740983980185E-4</v>
      </c>
      <c r="AG268" s="40">
        <v>1.730440303266312E-6</v>
      </c>
      <c r="AH268" s="41">
        <v>2.2248254660190366E-2</v>
      </c>
      <c r="AI268" s="42">
        <v>534.17178055679153</v>
      </c>
      <c r="AJ268" s="41">
        <v>4.1593464743272692</v>
      </c>
      <c r="AK268" s="30">
        <v>99864.261088289786</v>
      </c>
      <c r="AL268" s="43">
        <f>+$AL$6*W268/H268*10^6</f>
        <v>23.418026282005432</v>
      </c>
      <c r="AM268" s="30">
        <v>3447132</v>
      </c>
      <c r="AN268" s="44">
        <v>2.8970245725516108E-2</v>
      </c>
      <c r="AP268" s="32"/>
      <c r="AR268" s="32"/>
    </row>
    <row r="269" spans="1:44">
      <c r="A269" s="5" t="s">
        <v>264</v>
      </c>
      <c r="B269" s="5" t="s">
        <v>564</v>
      </c>
      <c r="C269" s="5" t="s">
        <v>2037</v>
      </c>
      <c r="D269" s="29" t="s">
        <v>2038</v>
      </c>
      <c r="E269" s="5" t="s">
        <v>94</v>
      </c>
      <c r="F269" s="30" t="s">
        <v>1160</v>
      </c>
      <c r="G269" s="5" t="s">
        <v>969</v>
      </c>
      <c r="H269" s="31">
        <v>130.41999999999999</v>
      </c>
      <c r="I269" s="32">
        <v>149.29900000000001</v>
      </c>
      <c r="J269" s="32">
        <v>149.30799999999999</v>
      </c>
      <c r="K269" s="33">
        <v>1</v>
      </c>
      <c r="L269" s="33">
        <v>1</v>
      </c>
      <c r="M269" s="6">
        <v>0.69</v>
      </c>
      <c r="N269" s="6">
        <v>0.69</v>
      </c>
      <c r="O269" s="6">
        <v>0.31</v>
      </c>
      <c r="P269" s="6">
        <v>0.31</v>
      </c>
      <c r="Q269" s="34">
        <v>149.29900000000001</v>
      </c>
      <c r="R269" s="34">
        <v>149.30799999999999</v>
      </c>
      <c r="S269" s="34">
        <v>19471.575580000001</v>
      </c>
      <c r="T269" s="34">
        <v>19472.749359999998</v>
      </c>
      <c r="U269" s="35">
        <v>1.0574594921366437E-3</v>
      </c>
      <c r="V269" s="36">
        <v>1.0613300342900488E-3</v>
      </c>
      <c r="W269" s="36">
        <v>3.870542153405071E-6</v>
      </c>
      <c r="X269" s="37">
        <v>8.1248248547647552</v>
      </c>
      <c r="Y269" s="38">
        <v>62297.384256745558</v>
      </c>
      <c r="Z269" s="39">
        <v>1.3650774922201686E-3</v>
      </c>
      <c r="AA269" s="40">
        <v>1.3705124495421116E-3</v>
      </c>
      <c r="AB269" s="40">
        <v>5.4349573219429799E-6</v>
      </c>
      <c r="AC269" s="41">
        <v>0.10698404476123449</v>
      </c>
      <c r="AD269" s="42">
        <v>820.30397762026155</v>
      </c>
      <c r="AE269" s="39">
        <v>7.042303247988583E-4</v>
      </c>
      <c r="AF269" s="40">
        <v>7.065484083212287E-4</v>
      </c>
      <c r="AG269" s="40">
        <v>2.3180835223704033E-6</v>
      </c>
      <c r="AH269" s="41">
        <v>2.9803577986446592E-2</v>
      </c>
      <c r="AI269" s="42">
        <v>228.51999682906452</v>
      </c>
      <c r="AJ269" s="41">
        <v>8.261612477512438</v>
      </c>
      <c r="AK269" s="30">
        <v>63346.208231194883</v>
      </c>
      <c r="AL269" s="43">
        <f>+$AL$6*W269/H269*10^6</f>
        <v>14.838759980850602</v>
      </c>
      <c r="AM269" s="30">
        <v>2187088.25</v>
      </c>
      <c r="AN269" s="44">
        <v>2.896371841931613E-2</v>
      </c>
      <c r="AP269" s="32"/>
      <c r="AR269" s="32"/>
    </row>
    <row r="270" spans="1:44">
      <c r="A270" s="5" t="s">
        <v>1558</v>
      </c>
      <c r="B270" s="5" t="s">
        <v>1557</v>
      </c>
      <c r="C270" s="5" t="s">
        <v>2143</v>
      </c>
      <c r="D270" s="29" t="s">
        <v>1567</v>
      </c>
      <c r="E270" s="5" t="s">
        <v>1562</v>
      </c>
      <c r="F270" s="30" t="s">
        <v>1150</v>
      </c>
      <c r="G270" s="5" t="s">
        <v>971</v>
      </c>
      <c r="H270" s="31">
        <v>47.86</v>
      </c>
      <c r="I270" s="32">
        <v>499.964</v>
      </c>
      <c r="J270" s="32">
        <v>498.94379999999995</v>
      </c>
      <c r="K270" s="33">
        <v>1</v>
      </c>
      <c r="L270" s="33">
        <v>1</v>
      </c>
      <c r="M270" s="6">
        <v>1</v>
      </c>
      <c r="N270" s="6">
        <v>1</v>
      </c>
      <c r="O270" s="6">
        <v>0</v>
      </c>
      <c r="P270" s="6">
        <v>0</v>
      </c>
      <c r="Q270" s="34">
        <v>499.964</v>
      </c>
      <c r="R270" s="34">
        <v>498.94379999999995</v>
      </c>
      <c r="S270" s="34">
        <v>23928.277040000001</v>
      </c>
      <c r="T270" s="34">
        <v>23879.450267999997</v>
      </c>
      <c r="U270" s="35">
        <v>1.299493386267785E-3</v>
      </c>
      <c r="V270" s="36">
        <v>1.3015099872760829E-3</v>
      </c>
      <c r="W270" s="36">
        <v>2.0166010082979004E-6</v>
      </c>
      <c r="X270" s="37">
        <v>4.2331356551557828</v>
      </c>
      <c r="Y270" s="38">
        <v>88448.300358457651</v>
      </c>
      <c r="Z270" s="39">
        <v>2.4311880297715428E-3</v>
      </c>
      <c r="AA270" s="40">
        <v>2.4357400935896144E-3</v>
      </c>
      <c r="AB270" s="40">
        <v>4.5520638180716021E-6</v>
      </c>
      <c r="AC270" s="41">
        <v>8.9604788119011014E-2</v>
      </c>
      <c r="AD270" s="42">
        <v>1872.2270814670082</v>
      </c>
      <c r="AE270" s="39">
        <v>0</v>
      </c>
      <c r="AF270" s="40">
        <v>0</v>
      </c>
      <c r="AG270" s="40">
        <v>0</v>
      </c>
      <c r="AH270" s="41">
        <v>0</v>
      </c>
      <c r="AI270" s="42">
        <v>0</v>
      </c>
      <c r="AJ270" s="41">
        <v>4.3227404432747942</v>
      </c>
      <c r="AK270" s="30">
        <v>90320.527439924655</v>
      </c>
      <c r="AL270" s="43">
        <f>+$AL$6*W270/H270*10^6</f>
        <v>21.067707984725246</v>
      </c>
      <c r="AM270" s="30">
        <v>3154891.25</v>
      </c>
      <c r="AN270" s="44">
        <v>2.8628729259661378E-2</v>
      </c>
      <c r="AP270" s="32"/>
      <c r="AR270" s="32"/>
    </row>
    <row r="271" spans="1:44">
      <c r="A271" s="5" t="s">
        <v>250</v>
      </c>
      <c r="B271" s="5" t="s">
        <v>550</v>
      </c>
      <c r="C271" s="5" t="s">
        <v>2076</v>
      </c>
      <c r="D271" s="29" t="s">
        <v>2077</v>
      </c>
      <c r="E271" s="5" t="s">
        <v>82</v>
      </c>
      <c r="F271" s="30" t="s">
        <v>1164</v>
      </c>
      <c r="G271" s="5" t="s">
        <v>971</v>
      </c>
      <c r="H271" s="31">
        <v>113.23</v>
      </c>
      <c r="I271" s="32">
        <v>138.67699999999999</v>
      </c>
      <c r="J271" s="32">
        <v>138.67669999999998</v>
      </c>
      <c r="K271" s="33">
        <v>1</v>
      </c>
      <c r="L271" s="33">
        <v>1</v>
      </c>
      <c r="M271" s="6">
        <v>0</v>
      </c>
      <c r="N271" s="6">
        <v>0</v>
      </c>
      <c r="O271" s="6">
        <v>1</v>
      </c>
      <c r="P271" s="6">
        <v>1</v>
      </c>
      <c r="Q271" s="34">
        <v>138.67699999999999</v>
      </c>
      <c r="R271" s="34">
        <v>138.67669999999998</v>
      </c>
      <c r="S271" s="34">
        <v>15702.396709999999</v>
      </c>
      <c r="T271" s="34">
        <v>15702.362740999999</v>
      </c>
      <c r="U271" s="35">
        <v>8.5276347474109765E-4</v>
      </c>
      <c r="V271" s="36">
        <v>8.5583134041531739E-4</v>
      </c>
      <c r="W271" s="36">
        <v>3.0678656742197429E-6</v>
      </c>
      <c r="X271" s="37">
        <v>6.4398914397694682</v>
      </c>
      <c r="Y271" s="38">
        <v>56874.427623151707</v>
      </c>
      <c r="Z271" s="39">
        <v>0</v>
      </c>
      <c r="AA271" s="40">
        <v>0</v>
      </c>
      <c r="AB271" s="40">
        <v>0</v>
      </c>
      <c r="AC271" s="41">
        <v>0</v>
      </c>
      <c r="AD271" s="42">
        <v>0</v>
      </c>
      <c r="AE271" s="39">
        <v>1.8319679817500687E-3</v>
      </c>
      <c r="AF271" s="40">
        <v>1.837883422064529E-3</v>
      </c>
      <c r="AG271" s="40">
        <v>5.9154403144602401E-6</v>
      </c>
      <c r="AH271" s="41">
        <v>7.6054760337498736E-2</v>
      </c>
      <c r="AI271" s="42">
        <v>671.68383235448846</v>
      </c>
      <c r="AJ271" s="41">
        <v>6.515946200106967</v>
      </c>
      <c r="AK271" s="30">
        <v>57546.111455506194</v>
      </c>
      <c r="AL271" s="43">
        <f>+$AL$6*W271/H271*10^6</f>
        <v>13.547053228913462</v>
      </c>
      <c r="AM271" s="30">
        <v>2028295.375</v>
      </c>
      <c r="AN271" s="44">
        <v>2.8371662315458464E-2</v>
      </c>
      <c r="AP271" s="32"/>
      <c r="AR271" s="32"/>
    </row>
    <row r="272" spans="1:44">
      <c r="A272" s="5" t="s">
        <v>1247</v>
      </c>
      <c r="B272" s="5" t="s">
        <v>420</v>
      </c>
      <c r="C272" s="5" t="s">
        <v>2130</v>
      </c>
      <c r="D272" s="29" t="s">
        <v>2131</v>
      </c>
      <c r="E272" s="5" t="s">
        <v>1525</v>
      </c>
      <c r="F272" s="30" t="s">
        <v>1166</v>
      </c>
      <c r="G272" s="5" t="s">
        <v>969</v>
      </c>
      <c r="H272" s="31">
        <v>29.96</v>
      </c>
      <c r="I272" s="32">
        <v>366.625</v>
      </c>
      <c r="J272" s="32">
        <v>366.77819999999997</v>
      </c>
      <c r="K272" s="33">
        <v>0.91</v>
      </c>
      <c r="L272" s="33">
        <v>0.91</v>
      </c>
      <c r="M272" s="6">
        <v>1</v>
      </c>
      <c r="N272" s="6">
        <v>1</v>
      </c>
      <c r="O272" s="6">
        <v>0</v>
      </c>
      <c r="P272" s="6">
        <v>0</v>
      </c>
      <c r="Q272" s="34">
        <v>333.62875000000003</v>
      </c>
      <c r="R272" s="34">
        <v>333.76816199999996</v>
      </c>
      <c r="S272" s="34">
        <v>9995.5173500000019</v>
      </c>
      <c r="T272" s="34">
        <v>9999.694133519999</v>
      </c>
      <c r="U272" s="35">
        <v>5.4283510120417338E-4</v>
      </c>
      <c r="V272" s="36">
        <v>5.4501680894735143E-4</v>
      </c>
      <c r="W272" s="36">
        <v>2.1817077431780536E-6</v>
      </c>
      <c r="X272" s="37">
        <v>4.5797184464226817</v>
      </c>
      <c r="Y272" s="38">
        <v>152861.09634254611</v>
      </c>
      <c r="Z272" s="39">
        <v>1.0155759268446591E-3</v>
      </c>
      <c r="AA272" s="40">
        <v>1.0199839465017755E-3</v>
      </c>
      <c r="AB272" s="40">
        <v>4.4080196571164455E-6</v>
      </c>
      <c r="AC272" s="41">
        <v>8.676936070893676E-2</v>
      </c>
      <c r="AD272" s="42">
        <v>2896.1735884157797</v>
      </c>
      <c r="AE272" s="39">
        <v>0</v>
      </c>
      <c r="AF272" s="40">
        <v>0</v>
      </c>
      <c r="AG272" s="40">
        <v>0</v>
      </c>
      <c r="AH272" s="41">
        <v>0</v>
      </c>
      <c r="AI272" s="42">
        <v>0</v>
      </c>
      <c r="AJ272" s="41">
        <v>4.6664878071316185</v>
      </c>
      <c r="AK272" s="30">
        <v>155757.26993096189</v>
      </c>
      <c r="AL272" s="43">
        <f>+$AL$6*W272/H272*10^6</f>
        <v>36.410342843425461</v>
      </c>
      <c r="AM272" s="30">
        <v>5587809.5</v>
      </c>
      <c r="AN272" s="44">
        <v>2.7874477455067482E-2</v>
      </c>
      <c r="AP272" s="32"/>
      <c r="AR272" s="32"/>
    </row>
    <row r="273" spans="1:44">
      <c r="A273" s="5" t="s">
        <v>862</v>
      </c>
      <c r="B273" s="5" t="s">
        <v>1143</v>
      </c>
      <c r="C273" s="5" t="s">
        <v>1824</v>
      </c>
      <c r="D273" s="29" t="s">
        <v>1825</v>
      </c>
      <c r="E273" s="5" t="s">
        <v>1067</v>
      </c>
      <c r="F273" s="30" t="s">
        <v>1160</v>
      </c>
      <c r="G273" s="5" t="s">
        <v>971</v>
      </c>
      <c r="H273" s="31">
        <v>78.790000000000006</v>
      </c>
      <c r="I273" s="32">
        <v>4181.1080000000002</v>
      </c>
      <c r="J273" s="32">
        <v>4169.4489999999996</v>
      </c>
      <c r="K273" s="33">
        <v>1</v>
      </c>
      <c r="L273" s="33">
        <v>1</v>
      </c>
      <c r="M273" s="6">
        <v>0</v>
      </c>
      <c r="N273" s="6">
        <v>0</v>
      </c>
      <c r="O273" s="6">
        <v>1</v>
      </c>
      <c r="P273" s="6">
        <v>1</v>
      </c>
      <c r="Q273" s="34">
        <v>4181.1080000000002</v>
      </c>
      <c r="R273" s="34">
        <v>4169.4489999999996</v>
      </c>
      <c r="S273" s="34">
        <v>329429.49932000006</v>
      </c>
      <c r="T273" s="34">
        <v>328510.88670999999</v>
      </c>
      <c r="U273" s="35">
        <v>1.7890609294276535E-2</v>
      </c>
      <c r="V273" s="36">
        <v>1.7904943170109114E-2</v>
      </c>
      <c r="W273" s="36">
        <v>1.4333875832578391E-5</v>
      </c>
      <c r="X273" s="37">
        <v>30.088867660875373</v>
      </c>
      <c r="Y273" s="38">
        <v>381886.88489497866</v>
      </c>
      <c r="Z273" s="39">
        <v>0</v>
      </c>
      <c r="AA273" s="40">
        <v>0</v>
      </c>
      <c r="AB273" s="40">
        <v>0</v>
      </c>
      <c r="AC273" s="41">
        <v>0</v>
      </c>
      <c r="AD273" s="42">
        <v>0</v>
      </c>
      <c r="AE273" s="39">
        <v>3.8433896821232216E-2</v>
      </c>
      <c r="AF273" s="40">
        <v>3.8450564581313261E-2</v>
      </c>
      <c r="AG273" s="40">
        <v>1.6667760081044702E-5</v>
      </c>
      <c r="AH273" s="41">
        <v>0.21429723417680235</v>
      </c>
      <c r="AI273" s="42">
        <v>2719.8532069653807</v>
      </c>
      <c r="AJ273" s="41">
        <v>30.303164895052173</v>
      </c>
      <c r="AK273" s="30">
        <v>384606.73810194404</v>
      </c>
      <c r="AL273" s="43">
        <f>+$AL$6*W273/H273*10^6</f>
        <v>90.962532253956027</v>
      </c>
      <c r="AM273" s="30">
        <v>14466724</v>
      </c>
      <c r="AN273" s="44">
        <v>2.6585613861296035E-2</v>
      </c>
      <c r="AP273" s="32"/>
      <c r="AR273" s="32"/>
    </row>
    <row r="274" spans="1:44">
      <c r="A274" s="5" t="s">
        <v>1227</v>
      </c>
      <c r="B274" s="5" t="s">
        <v>397</v>
      </c>
      <c r="C274" s="5" t="s">
        <v>2203</v>
      </c>
      <c r="D274" s="29" t="s">
        <v>2204</v>
      </c>
      <c r="E274" s="5" t="s">
        <v>747</v>
      </c>
      <c r="F274" s="30" t="s">
        <v>1165</v>
      </c>
      <c r="G274" s="5" t="s">
        <v>971</v>
      </c>
      <c r="H274" s="31">
        <v>46.57</v>
      </c>
      <c r="I274" s="32">
        <v>178.00899999999999</v>
      </c>
      <c r="J274" s="32">
        <v>177.92869999999999</v>
      </c>
      <c r="K274" s="33">
        <v>1</v>
      </c>
      <c r="L274" s="33">
        <v>1</v>
      </c>
      <c r="M274" s="6">
        <v>0</v>
      </c>
      <c r="N274" s="6">
        <v>0</v>
      </c>
      <c r="O274" s="6">
        <v>1</v>
      </c>
      <c r="P274" s="6">
        <v>1</v>
      </c>
      <c r="Q274" s="34">
        <v>178.00899999999999</v>
      </c>
      <c r="R274" s="34">
        <v>177.92869999999999</v>
      </c>
      <c r="S274" s="34">
        <v>8289.8791299999993</v>
      </c>
      <c r="T274" s="34">
        <v>8286.1395589999993</v>
      </c>
      <c r="U274" s="35">
        <v>4.5020554904083218E-4</v>
      </c>
      <c r="V274" s="36">
        <v>4.5162234770763769E-4</v>
      </c>
      <c r="W274" s="36">
        <v>1.4167986668055027E-6</v>
      </c>
      <c r="X274" s="37">
        <v>2.9740642437215206</v>
      </c>
      <c r="Y274" s="38">
        <v>63862.234136171799</v>
      </c>
      <c r="Z274" s="39">
        <v>0</v>
      </c>
      <c r="AA274" s="40">
        <v>0</v>
      </c>
      <c r="AB274" s="40">
        <v>0</v>
      </c>
      <c r="AC274" s="41">
        <v>0</v>
      </c>
      <c r="AD274" s="42">
        <v>0</v>
      </c>
      <c r="AE274" s="39">
        <v>9.6716402083170372E-4</v>
      </c>
      <c r="AF274" s="40">
        <v>9.6985140259403632E-4</v>
      </c>
      <c r="AG274" s="40">
        <v>2.6873817623325989E-6</v>
      </c>
      <c r="AH274" s="41">
        <v>3.4551641974976191E-2</v>
      </c>
      <c r="AI274" s="42">
        <v>741.92918133940714</v>
      </c>
      <c r="AJ274" s="41">
        <v>3.0086158856964968</v>
      </c>
      <c r="AK274" s="30">
        <v>64604.163317511207</v>
      </c>
      <c r="AL274" s="43">
        <f>+$AL$6*W274/H274*10^6</f>
        <v>15.211495241630907</v>
      </c>
      <c r="AM274" s="30">
        <v>2469157.75</v>
      </c>
      <c r="AN274" s="44">
        <v>2.616445357430533E-2</v>
      </c>
      <c r="AP274" s="32"/>
      <c r="AR274" s="32"/>
    </row>
    <row r="275" spans="1:44">
      <c r="A275" s="5" t="s">
        <v>1293</v>
      </c>
      <c r="B275" s="5" t="s">
        <v>466</v>
      </c>
      <c r="C275" s="5" t="s">
        <v>2174</v>
      </c>
      <c r="D275" s="29" t="s">
        <v>2175</v>
      </c>
      <c r="E275" s="5" t="s">
        <v>1</v>
      </c>
      <c r="F275" s="30" t="s">
        <v>1166</v>
      </c>
      <c r="G275" s="5" t="s">
        <v>969</v>
      </c>
      <c r="H275" s="31">
        <v>110.46</v>
      </c>
      <c r="I275" s="32">
        <v>71.152000000000001</v>
      </c>
      <c r="J275" s="32">
        <v>71.171669999999992</v>
      </c>
      <c r="K275" s="33">
        <v>1</v>
      </c>
      <c r="L275" s="33">
        <v>1</v>
      </c>
      <c r="M275" s="6">
        <v>1</v>
      </c>
      <c r="N275" s="6">
        <v>1</v>
      </c>
      <c r="O275" s="6">
        <v>0</v>
      </c>
      <c r="P275" s="6">
        <v>0</v>
      </c>
      <c r="Q275" s="34">
        <v>71.152000000000001</v>
      </c>
      <c r="R275" s="34">
        <v>71.171669999999992</v>
      </c>
      <c r="S275" s="34">
        <v>7859.44992</v>
      </c>
      <c r="T275" s="34">
        <v>7861.6226681999988</v>
      </c>
      <c r="U275" s="35">
        <v>4.26829862161395E-4</v>
      </c>
      <c r="V275" s="36">
        <v>4.2848475588945441E-4</v>
      </c>
      <c r="W275" s="36">
        <v>1.6548937280594085E-6</v>
      </c>
      <c r="X275" s="37">
        <v>3.4738600332520986</v>
      </c>
      <c r="Y275" s="38">
        <v>31449.031624588981</v>
      </c>
      <c r="Z275" s="39">
        <v>7.9854477337215363E-4</v>
      </c>
      <c r="AA275" s="40">
        <v>8.0189741885592811E-4</v>
      </c>
      <c r="AB275" s="40">
        <v>3.352645483774481E-6</v>
      </c>
      <c r="AC275" s="41">
        <v>6.5994920154488532E-2</v>
      </c>
      <c r="AD275" s="42">
        <v>597.45536985776334</v>
      </c>
      <c r="AE275" s="39">
        <v>0</v>
      </c>
      <c r="AF275" s="40">
        <v>0</v>
      </c>
      <c r="AG275" s="40">
        <v>0</v>
      </c>
      <c r="AH275" s="41">
        <v>0</v>
      </c>
      <c r="AI275" s="42">
        <v>0</v>
      </c>
      <c r="AJ275" s="41">
        <v>3.5398549534065871</v>
      </c>
      <c r="AK275" s="30">
        <v>32046.486994446743</v>
      </c>
      <c r="AL275" s="43">
        <f>+$AL$6*W275/H275*10^6</f>
        <v>7.4909185590232141</v>
      </c>
      <c r="AM275" s="30">
        <v>1235868.75</v>
      </c>
      <c r="AN275" s="44">
        <v>2.593033199880387E-2</v>
      </c>
      <c r="AP275" s="32"/>
      <c r="AR275" s="32"/>
    </row>
    <row r="276" spans="1:44">
      <c r="A276" s="5" t="s">
        <v>815</v>
      </c>
      <c r="B276" s="5" t="s">
        <v>175</v>
      </c>
      <c r="C276" s="5" t="s">
        <v>2250</v>
      </c>
      <c r="D276" s="29" t="s">
        <v>1578</v>
      </c>
      <c r="E276" s="5" t="s">
        <v>1533</v>
      </c>
      <c r="F276" s="30" t="s">
        <v>1149</v>
      </c>
      <c r="G276" s="5" t="s">
        <v>971</v>
      </c>
      <c r="H276" s="31">
        <v>144.76</v>
      </c>
      <c r="I276" s="32">
        <v>83.619</v>
      </c>
      <c r="J276" s="32">
        <v>83.396959999999993</v>
      </c>
      <c r="K276" s="33">
        <v>1</v>
      </c>
      <c r="L276" s="33">
        <v>1</v>
      </c>
      <c r="M276" s="6">
        <v>0.68</v>
      </c>
      <c r="N276" s="6">
        <v>0.68</v>
      </c>
      <c r="O276" s="6">
        <v>0.32</v>
      </c>
      <c r="P276" s="6">
        <v>0.32</v>
      </c>
      <c r="Q276" s="34">
        <v>83.619</v>
      </c>
      <c r="R276" s="34">
        <v>83.396959999999993</v>
      </c>
      <c r="S276" s="34">
        <v>12104.686439999999</v>
      </c>
      <c r="T276" s="34">
        <v>12072.543929599999</v>
      </c>
      <c r="U276" s="35">
        <v>6.5737954911380188E-4</v>
      </c>
      <c r="V276" s="36">
        <v>6.5799406267151215E-4</v>
      </c>
      <c r="W276" s="36">
        <v>6.1451355771026481E-7</v>
      </c>
      <c r="X276" s="37">
        <v>1.2899523708537566</v>
      </c>
      <c r="Y276" s="38">
        <v>8910.9724430350707</v>
      </c>
      <c r="Z276" s="39">
        <v>8.3631440470838074E-4</v>
      </c>
      <c r="AA276" s="40">
        <v>8.3736408027117453E-4</v>
      </c>
      <c r="AB276" s="40">
        <v>1.0496755627937854E-6</v>
      </c>
      <c r="AC276" s="41">
        <v>2.0662266645832279E-2</v>
      </c>
      <c r="AD276" s="42">
        <v>142.73464110135589</v>
      </c>
      <c r="AE276" s="39">
        <v>4.5191364649360927E-4</v>
      </c>
      <c r="AF276" s="40">
        <v>4.5216998162801725E-4</v>
      </c>
      <c r="AG276" s="40">
        <v>2.563351344079829E-7</v>
      </c>
      <c r="AH276" s="41">
        <v>3.2956984057168283E-3</v>
      </c>
      <c r="AI276" s="42">
        <v>22.76663723208641</v>
      </c>
      <c r="AJ276" s="41">
        <v>1.3139103359053057</v>
      </c>
      <c r="AK276" s="30">
        <v>9076.473721368513</v>
      </c>
      <c r="AL276" s="43">
        <f>+$AL$6*W276/H276*10^6</f>
        <v>2.1225254134783946</v>
      </c>
      <c r="AM276" s="30">
        <v>354039.5</v>
      </c>
      <c r="AN276" s="44">
        <v>2.563689566098843E-2</v>
      </c>
      <c r="AP276" s="32"/>
      <c r="AR276" s="32"/>
    </row>
    <row r="277" spans="1:44">
      <c r="A277" s="5" t="s">
        <v>987</v>
      </c>
      <c r="B277" s="5" t="s">
        <v>1077</v>
      </c>
      <c r="C277" s="5" t="s">
        <v>1925</v>
      </c>
      <c r="D277" s="29" t="s">
        <v>1926</v>
      </c>
      <c r="E277" s="5" t="s">
        <v>874</v>
      </c>
      <c r="F277" s="30" t="s">
        <v>1149</v>
      </c>
      <c r="G277" s="5" t="s">
        <v>969</v>
      </c>
      <c r="H277" s="31">
        <v>40.82</v>
      </c>
      <c r="I277" s="32">
        <v>544.25400000000002</v>
      </c>
      <c r="J277" s="32">
        <v>545.53899999999999</v>
      </c>
      <c r="K277" s="33">
        <v>1</v>
      </c>
      <c r="L277" s="33">
        <v>1</v>
      </c>
      <c r="M277" s="6">
        <v>0.59</v>
      </c>
      <c r="N277" s="6">
        <v>0.59</v>
      </c>
      <c r="O277" s="6">
        <v>0.41</v>
      </c>
      <c r="P277" s="6">
        <v>0.41</v>
      </c>
      <c r="Q277" s="34">
        <v>544.25400000000002</v>
      </c>
      <c r="R277" s="34">
        <v>545.53899999999999</v>
      </c>
      <c r="S277" s="34">
        <v>22216.448280000001</v>
      </c>
      <c r="T277" s="34">
        <v>22268.901979999999</v>
      </c>
      <c r="U277" s="35">
        <v>1.2065276391592761E-3</v>
      </c>
      <c r="V277" s="36">
        <v>1.2137297135136102E-3</v>
      </c>
      <c r="W277" s="36">
        <v>7.2020743543340943E-6</v>
      </c>
      <c r="X277" s="37">
        <v>15.118190269153629</v>
      </c>
      <c r="Y277" s="38">
        <v>370362.32898465532</v>
      </c>
      <c r="Z277" s="39">
        <v>1.3317839052485745E-3</v>
      </c>
      <c r="AA277" s="40">
        <v>1.3401624200996812E-3</v>
      </c>
      <c r="AB277" s="40">
        <v>8.3785148511067008E-6</v>
      </c>
      <c r="AC277" s="41">
        <v>0.16492630112190443</v>
      </c>
      <c r="AD277" s="42">
        <v>4040.3307477193639</v>
      </c>
      <c r="AE277" s="39">
        <v>1.0626993633023692E-3</v>
      </c>
      <c r="AF277" s="40">
        <v>1.0686503072942228E-3</v>
      </c>
      <c r="AG277" s="40">
        <v>5.9509439918536619E-6</v>
      </c>
      <c r="AH277" s="41">
        <v>7.6511230782928791E-2</v>
      </c>
      <c r="AI277" s="42">
        <v>1874.3564621001663</v>
      </c>
      <c r="AJ277" s="41">
        <v>15.359627801058462</v>
      </c>
      <c r="AK277" s="30">
        <v>376277.01619447488</v>
      </c>
      <c r="AL277" s="43">
        <f>+$AL$6*W277/H277*10^6</f>
        <v>88.217471268178514</v>
      </c>
      <c r="AM277" s="30">
        <v>14798589</v>
      </c>
      <c r="AN277" s="44">
        <v>2.5426546827841148E-2</v>
      </c>
      <c r="AP277" s="32"/>
      <c r="AR277" s="32"/>
    </row>
    <row r="278" spans="1:44">
      <c r="A278" s="5" t="s">
        <v>1449</v>
      </c>
      <c r="B278" s="5" t="s">
        <v>1447</v>
      </c>
      <c r="C278" s="5" t="s">
        <v>2155</v>
      </c>
      <c r="D278" s="29" t="s">
        <v>1450</v>
      </c>
      <c r="E278" s="5" t="s">
        <v>1448</v>
      </c>
      <c r="F278" s="30" t="s">
        <v>1159</v>
      </c>
      <c r="G278" s="5" t="s">
        <v>969</v>
      </c>
      <c r="H278" s="31">
        <v>119.75</v>
      </c>
      <c r="I278" s="32">
        <v>80.126999999999995</v>
      </c>
      <c r="J278" s="32">
        <v>80.127404999999996</v>
      </c>
      <c r="K278" s="33">
        <v>1</v>
      </c>
      <c r="L278" s="33">
        <v>1</v>
      </c>
      <c r="M278" s="6">
        <v>1</v>
      </c>
      <c r="N278" s="6">
        <v>1</v>
      </c>
      <c r="O278" s="6">
        <v>0</v>
      </c>
      <c r="P278" s="6">
        <v>0</v>
      </c>
      <c r="Q278" s="34">
        <v>80.126999999999995</v>
      </c>
      <c r="R278" s="34">
        <v>80.127404999999996</v>
      </c>
      <c r="S278" s="34">
        <v>9595.2082499999997</v>
      </c>
      <c r="T278" s="34">
        <v>9595.25674875</v>
      </c>
      <c r="U278" s="35">
        <v>5.2109517287405531E-4</v>
      </c>
      <c r="V278" s="36">
        <v>5.2297361743337616E-4</v>
      </c>
      <c r="W278" s="36">
        <v>1.8784445593208587E-6</v>
      </c>
      <c r="X278" s="37">
        <v>3.943125391475486</v>
      </c>
      <c r="Y278" s="38">
        <v>32927.978216914285</v>
      </c>
      <c r="Z278" s="39">
        <v>9.7490326618874482E-4</v>
      </c>
      <c r="AA278" s="40">
        <v>9.7873072072082365E-4</v>
      </c>
      <c r="AB278" s="40">
        <v>3.8274545320788342E-6</v>
      </c>
      <c r="AC278" s="41">
        <v>7.5341266311015898E-2</v>
      </c>
      <c r="AD278" s="42">
        <v>629.15462472664638</v>
      </c>
      <c r="AE278" s="39">
        <v>0</v>
      </c>
      <c r="AF278" s="40">
        <v>0</v>
      </c>
      <c r="AG278" s="40">
        <v>0</v>
      </c>
      <c r="AH278" s="41">
        <v>0</v>
      </c>
      <c r="AI278" s="42">
        <v>0</v>
      </c>
      <c r="AJ278" s="41">
        <v>4.0184666577865018</v>
      </c>
      <c r="AK278" s="30">
        <v>33557.132841640931</v>
      </c>
      <c r="AL278" s="43">
        <f>+$AL$6*W278/H278*10^6</f>
        <v>7.8431923144921027</v>
      </c>
      <c r="AM278" s="30">
        <v>1355158.75</v>
      </c>
      <c r="AN278" s="44">
        <v>2.4762510548406915E-2</v>
      </c>
      <c r="AP278" s="32"/>
      <c r="AR278" s="32"/>
    </row>
    <row r="279" spans="1:44">
      <c r="A279" s="5" t="s">
        <v>1206</v>
      </c>
      <c r="B279" s="5" t="s">
        <v>376</v>
      </c>
      <c r="C279" s="5" t="s">
        <v>1832</v>
      </c>
      <c r="D279" s="29" t="s">
        <v>1833</v>
      </c>
      <c r="E279" s="5" t="s">
        <v>1688</v>
      </c>
      <c r="F279" s="30" t="s">
        <v>1150</v>
      </c>
      <c r="G279" s="5" t="s">
        <v>971</v>
      </c>
      <c r="H279" s="31">
        <v>316.73</v>
      </c>
      <c r="I279" s="32">
        <v>235.23</v>
      </c>
      <c r="J279" s="32">
        <v>235.16919999999999</v>
      </c>
      <c r="K279" s="33">
        <v>1</v>
      </c>
      <c r="L279" s="33">
        <v>1</v>
      </c>
      <c r="M279" s="6">
        <v>1</v>
      </c>
      <c r="N279" s="6">
        <v>1</v>
      </c>
      <c r="O279" s="6">
        <v>0</v>
      </c>
      <c r="P279" s="6">
        <v>0</v>
      </c>
      <c r="Q279" s="34">
        <v>235.23</v>
      </c>
      <c r="R279" s="34">
        <v>235.16919999999999</v>
      </c>
      <c r="S279" s="34">
        <v>74504.397899999996</v>
      </c>
      <c r="T279" s="34">
        <v>74485.140715999994</v>
      </c>
      <c r="U279" s="35">
        <v>4.04617399560639E-3</v>
      </c>
      <c r="V279" s="36">
        <v>4.0596895429979175E-3</v>
      </c>
      <c r="W279" s="36">
        <v>1.3515547391527473E-5</v>
      </c>
      <c r="X279" s="37">
        <v>28.371078525996115</v>
      </c>
      <c r="Y279" s="38">
        <v>89574.964562864625</v>
      </c>
      <c r="Z279" s="39">
        <v>7.569880607660168E-3</v>
      </c>
      <c r="AA279" s="40">
        <v>7.597597163354659E-3</v>
      </c>
      <c r="AB279" s="40">
        <v>2.7716555694490969E-5</v>
      </c>
      <c r="AC279" s="41">
        <v>0.54558464020957764</v>
      </c>
      <c r="AD279" s="42">
        <v>1722.554352949129</v>
      </c>
      <c r="AE279" s="39">
        <v>0</v>
      </c>
      <c r="AF279" s="40">
        <v>0</v>
      </c>
      <c r="AG279" s="40">
        <v>0</v>
      </c>
      <c r="AH279" s="41">
        <v>0</v>
      </c>
      <c r="AI279" s="42">
        <v>0</v>
      </c>
      <c r="AJ279" s="41">
        <v>28.916663166205694</v>
      </c>
      <c r="AK279" s="30">
        <v>91297.518915813751</v>
      </c>
      <c r="AL279" s="43">
        <f>+$AL$6*W279/H279*10^6</f>
        <v>21.336070772467831</v>
      </c>
      <c r="AM279" s="30">
        <v>3737174.5</v>
      </c>
      <c r="AN279" s="44">
        <v>2.4429557387757449E-2</v>
      </c>
      <c r="AP279" s="32"/>
      <c r="AR279" s="32"/>
    </row>
    <row r="280" spans="1:44">
      <c r="A280" s="5" t="s">
        <v>233</v>
      </c>
      <c r="B280" s="5" t="s">
        <v>533</v>
      </c>
      <c r="C280" s="5" t="s">
        <v>2114</v>
      </c>
      <c r="D280" s="29" t="s">
        <v>2115</v>
      </c>
      <c r="E280" s="5" t="s">
        <v>66</v>
      </c>
      <c r="F280" s="30" t="s">
        <v>1152</v>
      </c>
      <c r="G280" s="5" t="s">
        <v>971</v>
      </c>
      <c r="H280" s="31">
        <v>23.72</v>
      </c>
      <c r="I280" s="32">
        <v>538</v>
      </c>
      <c r="J280" s="32">
        <v>538</v>
      </c>
      <c r="K280" s="33">
        <v>0.95</v>
      </c>
      <c r="L280" s="33">
        <v>0.95</v>
      </c>
      <c r="M280" s="6">
        <v>1</v>
      </c>
      <c r="N280" s="6">
        <v>1</v>
      </c>
      <c r="O280" s="6">
        <v>0</v>
      </c>
      <c r="P280" s="6">
        <v>0</v>
      </c>
      <c r="Q280" s="34">
        <v>511.09999999999997</v>
      </c>
      <c r="R280" s="34">
        <v>511.09999999999997</v>
      </c>
      <c r="S280" s="34">
        <v>12123.291999999999</v>
      </c>
      <c r="T280" s="34">
        <v>12123.291999999999</v>
      </c>
      <c r="U280" s="35">
        <v>6.583899771578851E-4</v>
      </c>
      <c r="V280" s="36">
        <v>6.6076000241130166E-4</v>
      </c>
      <c r="W280" s="36">
        <v>2.3700252534165651E-6</v>
      </c>
      <c r="X280" s="37">
        <v>4.9750239946201686</v>
      </c>
      <c r="Y280" s="38">
        <v>209739.62877825333</v>
      </c>
      <c r="Z280" s="39">
        <v>1.2317645078479542E-3</v>
      </c>
      <c r="AA280" s="40">
        <v>1.2365941451451768E-3</v>
      </c>
      <c r="AB280" s="40">
        <v>4.829637297222621E-6</v>
      </c>
      <c r="AC280" s="41">
        <v>9.5068664237804162E-2</v>
      </c>
      <c r="AD280" s="42">
        <v>4007.9538042919125</v>
      </c>
      <c r="AE280" s="39">
        <v>0</v>
      </c>
      <c r="AF280" s="40">
        <v>0</v>
      </c>
      <c r="AG280" s="40">
        <v>0</v>
      </c>
      <c r="AH280" s="41">
        <v>0</v>
      </c>
      <c r="AI280" s="42">
        <v>0</v>
      </c>
      <c r="AJ280" s="41">
        <v>5.0700926588579724</v>
      </c>
      <c r="AK280" s="30">
        <v>213747.58258254523</v>
      </c>
      <c r="AL280" s="43">
        <f>+$AL$6*W280/H280*10^6</f>
        <v>49.958373807263179</v>
      </c>
      <c r="AM280" s="30">
        <v>8778450</v>
      </c>
      <c r="AN280" s="44">
        <v>2.4349125709270458E-2</v>
      </c>
      <c r="AP280" s="32"/>
      <c r="AR280" s="32"/>
    </row>
    <row r="281" spans="1:44">
      <c r="A281" s="5" t="s">
        <v>1679</v>
      </c>
      <c r="B281" s="5" t="s">
        <v>1663</v>
      </c>
      <c r="C281" s="5" t="s">
        <v>2149</v>
      </c>
      <c r="D281" s="29" t="s">
        <v>2150</v>
      </c>
      <c r="E281" s="5" t="s">
        <v>1703</v>
      </c>
      <c r="F281" s="30" t="s">
        <v>1152</v>
      </c>
      <c r="G281" s="5" t="s">
        <v>969</v>
      </c>
      <c r="H281" s="31">
        <v>56.96</v>
      </c>
      <c r="I281" s="32">
        <v>149.434</v>
      </c>
      <c r="J281" s="32">
        <v>149.5309</v>
      </c>
      <c r="K281" s="33">
        <v>1</v>
      </c>
      <c r="L281" s="33">
        <v>1</v>
      </c>
      <c r="M281" s="6">
        <v>1</v>
      </c>
      <c r="N281" s="6">
        <v>1</v>
      </c>
      <c r="O281" s="6">
        <v>0</v>
      </c>
      <c r="P281" s="6">
        <v>0</v>
      </c>
      <c r="Q281" s="34">
        <v>149.434</v>
      </c>
      <c r="R281" s="34">
        <v>149.5309</v>
      </c>
      <c r="S281" s="34">
        <v>8511.7606400000004</v>
      </c>
      <c r="T281" s="34">
        <v>8517.2800640000005</v>
      </c>
      <c r="U281" s="35">
        <v>4.6225545778679476E-4</v>
      </c>
      <c r="V281" s="36">
        <v>4.6422027908148817E-4</v>
      </c>
      <c r="W281" s="36">
        <v>1.9648212946934106E-6</v>
      </c>
      <c r="X281" s="37">
        <v>4.1244425864867713</v>
      </c>
      <c r="Y281" s="38">
        <v>72409.45552118629</v>
      </c>
      <c r="Z281" s="39">
        <v>8.6482158935454075E-4</v>
      </c>
      <c r="AA281" s="40">
        <v>8.6877546624333877E-4</v>
      </c>
      <c r="AB281" s="40">
        <v>3.9538768887980181E-6</v>
      </c>
      <c r="AC281" s="41">
        <v>7.7829818523828989E-2</v>
      </c>
      <c r="AD281" s="42">
        <v>1366.3942858818293</v>
      </c>
      <c r="AE281" s="39">
        <v>0</v>
      </c>
      <c r="AF281" s="40">
        <v>0</v>
      </c>
      <c r="AG281" s="40">
        <v>0</v>
      </c>
      <c r="AH281" s="41">
        <v>0</v>
      </c>
      <c r="AI281" s="42">
        <v>0</v>
      </c>
      <c r="AJ281" s="41">
        <v>4.2022724050106</v>
      </c>
      <c r="AK281" s="30">
        <v>73775.849807068123</v>
      </c>
      <c r="AL281" s="43">
        <f>+$AL$6*W281/H281*10^6</f>
        <v>17.247377937968842</v>
      </c>
      <c r="AM281" s="30">
        <v>3041920.75</v>
      </c>
      <c r="AN281" s="44">
        <v>2.4253047949085497E-2</v>
      </c>
      <c r="AP281" s="32"/>
      <c r="AR281" s="32"/>
    </row>
    <row r="282" spans="1:44">
      <c r="A282" s="5" t="s">
        <v>1240</v>
      </c>
      <c r="B282" s="5" t="s">
        <v>413</v>
      </c>
      <c r="C282" s="5" t="s">
        <v>2153</v>
      </c>
      <c r="D282" s="29" t="s">
        <v>2154</v>
      </c>
      <c r="E282" s="5" t="s">
        <v>1370</v>
      </c>
      <c r="F282" s="30" t="s">
        <v>1158</v>
      </c>
      <c r="G282" s="5" t="s">
        <v>971</v>
      </c>
      <c r="H282" s="31">
        <v>28.53</v>
      </c>
      <c r="I282" s="32">
        <v>563.74900000000002</v>
      </c>
      <c r="J282" s="32">
        <v>562.98579999999993</v>
      </c>
      <c r="K282" s="33">
        <v>1</v>
      </c>
      <c r="L282" s="33">
        <v>1</v>
      </c>
      <c r="M282" s="6">
        <v>0</v>
      </c>
      <c r="N282" s="6">
        <v>0</v>
      </c>
      <c r="O282" s="6">
        <v>1</v>
      </c>
      <c r="P282" s="6">
        <v>1</v>
      </c>
      <c r="Q282" s="34">
        <v>563.74900000000002</v>
      </c>
      <c r="R282" s="34">
        <v>562.98579999999993</v>
      </c>
      <c r="S282" s="34">
        <v>16083.758970000001</v>
      </c>
      <c r="T282" s="34">
        <v>16061.984873999998</v>
      </c>
      <c r="U282" s="35">
        <v>8.7347444084257236E-4</v>
      </c>
      <c r="V282" s="36">
        <v>8.7543195066773374E-4</v>
      </c>
      <c r="W282" s="36">
        <v>1.957509825161385E-6</v>
      </c>
      <c r="X282" s="37">
        <v>4.1090947600003975</v>
      </c>
      <c r="Y282" s="38">
        <v>144027.15597617938</v>
      </c>
      <c r="Z282" s="39">
        <v>0</v>
      </c>
      <c r="AA282" s="40">
        <v>0</v>
      </c>
      <c r="AB282" s="40">
        <v>0</v>
      </c>
      <c r="AC282" s="41">
        <v>0</v>
      </c>
      <c r="AD282" s="42">
        <v>0</v>
      </c>
      <c r="AE282" s="39">
        <v>1.8764607724157715E-3</v>
      </c>
      <c r="AF282" s="40">
        <v>1.8799754032109339E-3</v>
      </c>
      <c r="AG282" s="40">
        <v>3.5146307951624493E-6</v>
      </c>
      <c r="AH282" s="41">
        <v>4.5187574988703634E-2</v>
      </c>
      <c r="AI282" s="42">
        <v>1583.8617241045788</v>
      </c>
      <c r="AJ282" s="41">
        <v>4.1542823349891016</v>
      </c>
      <c r="AK282" s="30">
        <v>145611.01770028396</v>
      </c>
      <c r="AL282" s="43">
        <f>+$AL$6*W282/H282*10^6</f>
        <v>34.306165880851474</v>
      </c>
      <c r="AM282" s="30">
        <v>6277119.5</v>
      </c>
      <c r="AN282" s="44">
        <v>2.3197107797658458E-2</v>
      </c>
      <c r="AP282" s="32"/>
      <c r="AR282" s="32"/>
    </row>
    <row r="283" spans="1:44">
      <c r="A283" s="5" t="s">
        <v>1180</v>
      </c>
      <c r="B283" s="5" t="s">
        <v>348</v>
      </c>
      <c r="C283" s="5" t="s">
        <v>2013</v>
      </c>
      <c r="D283" s="29" t="s">
        <v>2014</v>
      </c>
      <c r="E283" s="5" t="s">
        <v>706</v>
      </c>
      <c r="F283" s="30" t="s">
        <v>1149</v>
      </c>
      <c r="G283" s="5" t="s">
        <v>971</v>
      </c>
      <c r="H283" s="31">
        <v>117.3</v>
      </c>
      <c r="I283" s="32">
        <v>349.2</v>
      </c>
      <c r="J283" s="32">
        <v>348.59999999999997</v>
      </c>
      <c r="K283" s="33">
        <v>1</v>
      </c>
      <c r="L283" s="33">
        <v>1</v>
      </c>
      <c r="M283" s="6">
        <v>0.45</v>
      </c>
      <c r="N283" s="6">
        <v>0.45</v>
      </c>
      <c r="O283" s="6">
        <v>0.55000000000000004</v>
      </c>
      <c r="P283" s="6">
        <v>0.55000000000000004</v>
      </c>
      <c r="Q283" s="34">
        <v>349.2</v>
      </c>
      <c r="R283" s="34">
        <v>348.59999999999997</v>
      </c>
      <c r="S283" s="34">
        <v>40961.159999999996</v>
      </c>
      <c r="T283" s="34">
        <v>40890.779999999992</v>
      </c>
      <c r="U283" s="35">
        <v>2.2245127145960417E-3</v>
      </c>
      <c r="V283" s="36">
        <v>2.2286844110824028E-3</v>
      </c>
      <c r="W283" s="36">
        <v>4.1716964863610685E-6</v>
      </c>
      <c r="X283" s="37">
        <v>8.7569911282591342</v>
      </c>
      <c r="Y283" s="38">
        <v>74654.655824886067</v>
      </c>
      <c r="Z283" s="39">
        <v>1.8728020730447296E-3</v>
      </c>
      <c r="AA283" s="40">
        <v>1.8769146707254736E-3</v>
      </c>
      <c r="AB283" s="40">
        <v>4.1125976807439985E-6</v>
      </c>
      <c r="AC283" s="41">
        <v>8.0954147070353227E-2</v>
      </c>
      <c r="AD283" s="42">
        <v>690.1461813329347</v>
      </c>
      <c r="AE283" s="39">
        <v>2.62837223200164E-3</v>
      </c>
      <c r="AF283" s="40">
        <v>2.632334276967286E-3</v>
      </c>
      <c r="AG283" s="40">
        <v>3.9620449656459396E-6</v>
      </c>
      <c r="AH283" s="41">
        <v>5.0939974759273809E-2</v>
      </c>
      <c r="AI283" s="42">
        <v>434.27088456328909</v>
      </c>
      <c r="AJ283" s="41">
        <v>8.8888852500887605</v>
      </c>
      <c r="AK283" s="30">
        <v>75779.072890782292</v>
      </c>
      <c r="AL283" s="43">
        <f>+$AL$6*W283/H283*10^6</f>
        <v>17.782167461044626</v>
      </c>
      <c r="AM283" s="30">
        <v>3288379</v>
      </c>
      <c r="AN283" s="44">
        <v>2.3044507002015976E-2</v>
      </c>
      <c r="AP283" s="32"/>
      <c r="AR283" s="32"/>
    </row>
    <row r="284" spans="1:44">
      <c r="A284" s="5" t="s">
        <v>1288</v>
      </c>
      <c r="B284" s="5" t="s">
        <v>461</v>
      </c>
      <c r="C284" s="5" t="s">
        <v>2257</v>
      </c>
      <c r="D284" s="29" t="s">
        <v>641</v>
      </c>
      <c r="E284" s="5" t="s">
        <v>686</v>
      </c>
      <c r="F284" s="30" t="s">
        <v>1155</v>
      </c>
      <c r="G284" s="5" t="s">
        <v>969</v>
      </c>
      <c r="H284" s="31">
        <v>5.27</v>
      </c>
      <c r="I284" s="32">
        <v>497.38900000000001</v>
      </c>
      <c r="J284" s="32">
        <v>497.41909999999996</v>
      </c>
      <c r="K284" s="33">
        <v>1</v>
      </c>
      <c r="L284" s="33">
        <v>1</v>
      </c>
      <c r="M284" s="6">
        <v>0</v>
      </c>
      <c r="N284" s="6">
        <v>0</v>
      </c>
      <c r="O284" s="6">
        <v>1</v>
      </c>
      <c r="P284" s="6">
        <v>1</v>
      </c>
      <c r="Q284" s="34">
        <v>497.38900000000001</v>
      </c>
      <c r="R284" s="34">
        <v>497.41909999999996</v>
      </c>
      <c r="S284" s="34">
        <v>2621.2400299999999</v>
      </c>
      <c r="T284" s="34">
        <v>2621.3986569999997</v>
      </c>
      <c r="U284" s="35">
        <v>1.4235392197738323E-4</v>
      </c>
      <c r="V284" s="36">
        <v>1.4287500316913121E-4</v>
      </c>
      <c r="W284" s="36">
        <v>5.2108119174797672E-7</v>
      </c>
      <c r="X284" s="37">
        <v>1.0938243921048247</v>
      </c>
      <c r="Y284" s="38">
        <v>207556.8106460768</v>
      </c>
      <c r="Z284" s="39">
        <v>0</v>
      </c>
      <c r="AA284" s="40">
        <v>0</v>
      </c>
      <c r="AB284" s="40">
        <v>0</v>
      </c>
      <c r="AC284" s="41">
        <v>0</v>
      </c>
      <c r="AD284" s="42">
        <v>0</v>
      </c>
      <c r="AE284" s="39">
        <v>3.058149590873246E-4</v>
      </c>
      <c r="AF284" s="40">
        <v>3.0682166841954501E-4</v>
      </c>
      <c r="AG284" s="40">
        <v>1.0067093322204128E-6</v>
      </c>
      <c r="AH284" s="41">
        <v>1.2943252390592862E-2</v>
      </c>
      <c r="AI284" s="42">
        <v>2456.0251215546227</v>
      </c>
      <c r="AJ284" s="41">
        <v>1.1067676444954175</v>
      </c>
      <c r="AK284" s="30">
        <v>210012.83576763142</v>
      </c>
      <c r="AL284" s="43">
        <f>+$AL$6*W284/H284*10^6</f>
        <v>49.438443239845995</v>
      </c>
      <c r="AM284" s="30">
        <v>9125770</v>
      </c>
      <c r="AN284" s="44">
        <v>2.3013163356914695E-2</v>
      </c>
      <c r="AP284" s="32"/>
      <c r="AR284" s="32"/>
    </row>
    <row r="285" spans="1:44">
      <c r="A285" s="5" t="s">
        <v>977</v>
      </c>
      <c r="B285" s="5" t="s">
        <v>1070</v>
      </c>
      <c r="C285" s="5" t="s">
        <v>2098</v>
      </c>
      <c r="D285" s="29" t="s">
        <v>2099</v>
      </c>
      <c r="E285" s="5" t="s">
        <v>864</v>
      </c>
      <c r="F285" s="30" t="s">
        <v>1148</v>
      </c>
      <c r="G285" s="5" t="s">
        <v>969</v>
      </c>
      <c r="H285" s="31">
        <v>9.51</v>
      </c>
      <c r="I285" s="32">
        <v>1309.5889999999999</v>
      </c>
      <c r="J285" s="32">
        <v>1309.818</v>
      </c>
      <c r="K285" s="33">
        <v>1</v>
      </c>
      <c r="L285" s="33">
        <v>1</v>
      </c>
      <c r="M285" s="6">
        <v>0</v>
      </c>
      <c r="N285" s="6">
        <v>0</v>
      </c>
      <c r="O285" s="6">
        <v>1</v>
      </c>
      <c r="P285" s="6">
        <v>1</v>
      </c>
      <c r="Q285" s="34">
        <v>1309.5889999999999</v>
      </c>
      <c r="R285" s="34">
        <v>1309.818</v>
      </c>
      <c r="S285" s="34">
        <v>12454.19139</v>
      </c>
      <c r="T285" s="34">
        <v>12456.36918</v>
      </c>
      <c r="U285" s="35">
        <v>6.7636041306124036E-4</v>
      </c>
      <c r="V285" s="36">
        <v>6.7891382385352626E-4</v>
      </c>
      <c r="W285" s="36">
        <v>2.5534107922859034E-6</v>
      </c>
      <c r="X285" s="37">
        <v>5.3599766253257242</v>
      </c>
      <c r="Y285" s="38">
        <v>563614.7871004967</v>
      </c>
      <c r="Z285" s="39">
        <v>0</v>
      </c>
      <c r="AA285" s="40">
        <v>0</v>
      </c>
      <c r="AB285" s="40">
        <v>0</v>
      </c>
      <c r="AC285" s="41">
        <v>0</v>
      </c>
      <c r="AD285" s="42">
        <v>0</v>
      </c>
      <c r="AE285" s="39">
        <v>1.4530062057684049E-3</v>
      </c>
      <c r="AF285" s="40">
        <v>1.4579560281881231E-3</v>
      </c>
      <c r="AG285" s="40">
        <v>4.9498224197182337E-6</v>
      </c>
      <c r="AH285" s="41">
        <v>6.3639820171053255E-2</v>
      </c>
      <c r="AI285" s="42">
        <v>6691.8843502684813</v>
      </c>
      <c r="AJ285" s="41">
        <v>5.4236164454967772</v>
      </c>
      <c r="AK285" s="30">
        <v>570306.67145076522</v>
      </c>
      <c r="AL285" s="43">
        <f>+$AL$6*W285/H285*10^6</f>
        <v>134.24872724952172</v>
      </c>
      <c r="AM285" s="30">
        <v>25893112</v>
      </c>
      <c r="AN285" s="44">
        <v>2.2025420175480075E-2</v>
      </c>
      <c r="AP285" s="32"/>
      <c r="AR285" s="32"/>
    </row>
    <row r="286" spans="1:44">
      <c r="A286" s="5" t="s">
        <v>227</v>
      </c>
      <c r="B286" s="5" t="s">
        <v>527</v>
      </c>
      <c r="C286" s="5" t="s">
        <v>2141</v>
      </c>
      <c r="D286" s="29" t="s">
        <v>2142</v>
      </c>
      <c r="E286" s="5" t="s">
        <v>60</v>
      </c>
      <c r="F286" s="30" t="s">
        <v>1148</v>
      </c>
      <c r="G286" s="5" t="s">
        <v>969</v>
      </c>
      <c r="H286" s="31">
        <v>18.14</v>
      </c>
      <c r="I286" s="32">
        <v>528.84699999999998</v>
      </c>
      <c r="J286" s="32">
        <v>529.05470000000003</v>
      </c>
      <c r="K286" s="33">
        <v>1</v>
      </c>
      <c r="L286" s="33">
        <v>1</v>
      </c>
      <c r="M286" s="6">
        <v>0</v>
      </c>
      <c r="N286" s="6">
        <v>0</v>
      </c>
      <c r="O286" s="6">
        <v>1</v>
      </c>
      <c r="P286" s="6">
        <v>1</v>
      </c>
      <c r="Q286" s="34">
        <v>528.84699999999998</v>
      </c>
      <c r="R286" s="34">
        <v>529.05470000000003</v>
      </c>
      <c r="S286" s="34">
        <v>9593.2845799999996</v>
      </c>
      <c r="T286" s="34">
        <v>9597.0522580000015</v>
      </c>
      <c r="U286" s="35">
        <v>5.2099070248372238E-4</v>
      </c>
      <c r="V286" s="36">
        <v>5.2307147869881134E-4</v>
      </c>
      <c r="W286" s="36">
        <v>2.0807762150889565E-6</v>
      </c>
      <c r="X286" s="37">
        <v>4.3678486474266283</v>
      </c>
      <c r="Y286" s="38">
        <v>240785.48221756495</v>
      </c>
      <c r="Z286" s="39">
        <v>0</v>
      </c>
      <c r="AA286" s="40">
        <v>0</v>
      </c>
      <c r="AB286" s="40">
        <v>0</v>
      </c>
      <c r="AC286" s="41">
        <v>0</v>
      </c>
      <c r="AD286" s="42">
        <v>0</v>
      </c>
      <c r="AE286" s="39">
        <v>1.1192297911556623E-3</v>
      </c>
      <c r="AF286" s="40">
        <v>1.1232872107590779E-3</v>
      </c>
      <c r="AG286" s="40">
        <v>4.0574196034156174E-6</v>
      </c>
      <c r="AH286" s="41">
        <v>5.2166205577648735E-2</v>
      </c>
      <c r="AI286" s="42">
        <v>2875.7555445230837</v>
      </c>
      <c r="AJ286" s="41">
        <v>4.4200148530042771</v>
      </c>
      <c r="AK286" s="30">
        <v>243661.23776208804</v>
      </c>
      <c r="AL286" s="43">
        <f>+$AL$6*W286/H286*10^6</f>
        <v>57.353258409287669</v>
      </c>
      <c r="AM286" s="30">
        <v>11082354</v>
      </c>
      <c r="AN286" s="44">
        <v>2.198641531953302E-2</v>
      </c>
      <c r="AP286" s="32"/>
      <c r="AR286" s="32"/>
    </row>
    <row r="287" spans="1:44">
      <c r="A287" s="5" t="s">
        <v>1033</v>
      </c>
      <c r="B287" s="5" t="s">
        <v>1118</v>
      </c>
      <c r="C287" s="5" t="s">
        <v>1972</v>
      </c>
      <c r="D287" s="29" t="s">
        <v>1973</v>
      </c>
      <c r="E287" s="5" t="s">
        <v>916</v>
      </c>
      <c r="F287" s="30" t="s">
        <v>1150</v>
      </c>
      <c r="G287" s="5" t="s">
        <v>971</v>
      </c>
      <c r="H287" s="31">
        <v>58.26</v>
      </c>
      <c r="I287" s="32">
        <v>2825.2220000000002</v>
      </c>
      <c r="J287" s="32">
        <v>2816.6349999999998</v>
      </c>
      <c r="K287" s="33">
        <v>1</v>
      </c>
      <c r="L287" s="33">
        <v>1</v>
      </c>
      <c r="M287" s="6">
        <v>0.56999999999999995</v>
      </c>
      <c r="N287" s="6">
        <v>0.56999999999999995</v>
      </c>
      <c r="O287" s="6">
        <v>0.43</v>
      </c>
      <c r="P287" s="6">
        <v>0.43</v>
      </c>
      <c r="Q287" s="34">
        <v>2825.2220000000002</v>
      </c>
      <c r="R287" s="34">
        <v>2816.6349999999998</v>
      </c>
      <c r="S287" s="34">
        <v>164597.43372</v>
      </c>
      <c r="T287" s="34">
        <v>164097.15509999997</v>
      </c>
      <c r="U287" s="35">
        <v>8.9389334701463364E-3</v>
      </c>
      <c r="V287" s="36">
        <v>8.9438443452128143E-3</v>
      </c>
      <c r="W287" s="36">
        <v>4.9108750664779433E-6</v>
      </c>
      <c r="X287" s="37">
        <v>10.308633317341057</v>
      </c>
      <c r="Y287" s="38">
        <v>176941.86950465254</v>
      </c>
      <c r="Z287" s="39">
        <v>9.5324609730852525E-3</v>
      </c>
      <c r="AA287" s="40">
        <v>9.5407502600807423E-3</v>
      </c>
      <c r="AB287" s="40">
        <v>8.2892869954897391E-6</v>
      </c>
      <c r="AC287" s="41">
        <v>0.16316990151583333</v>
      </c>
      <c r="AD287" s="42">
        <v>2800.7192158570774</v>
      </c>
      <c r="AE287" s="39">
        <v>8.2574023971978567E-3</v>
      </c>
      <c r="AF287" s="40">
        <v>8.2589048383698883E-3</v>
      </c>
      <c r="AG287" s="40">
        <v>1.5024411720316461E-6</v>
      </c>
      <c r="AH287" s="41">
        <v>1.9316871980050405E-2</v>
      </c>
      <c r="AI287" s="42">
        <v>331.56319910831451</v>
      </c>
      <c r="AJ287" s="41">
        <v>10.49112009083694</v>
      </c>
      <c r="AK287" s="30">
        <v>180074.15191961793</v>
      </c>
      <c r="AL287" s="43">
        <f>+$AL$6*W287/H287*10^6</f>
        <v>42.146198648111429</v>
      </c>
      <c r="AM287" s="30">
        <v>8192762.5</v>
      </c>
      <c r="AN287" s="44">
        <v>2.1979662161525849E-2</v>
      </c>
      <c r="AP287" s="32"/>
      <c r="AR287" s="32"/>
    </row>
    <row r="288" spans="1:44">
      <c r="A288" s="5" t="s">
        <v>1234</v>
      </c>
      <c r="B288" s="5" t="s">
        <v>405</v>
      </c>
      <c r="C288" s="5" t="s">
        <v>2172</v>
      </c>
      <c r="D288" s="29" t="s">
        <v>2173</v>
      </c>
      <c r="E288" s="5" t="s">
        <v>753</v>
      </c>
      <c r="F288" s="30" t="s">
        <v>1166</v>
      </c>
      <c r="G288" s="5" t="s">
        <v>969</v>
      </c>
      <c r="H288" s="31">
        <v>31.19</v>
      </c>
      <c r="I288" s="32">
        <v>276.28699999999998</v>
      </c>
      <c r="J288" s="32">
        <v>276.28729999999996</v>
      </c>
      <c r="K288" s="33">
        <v>1</v>
      </c>
      <c r="L288" s="33">
        <v>1</v>
      </c>
      <c r="M288" s="6">
        <v>0</v>
      </c>
      <c r="N288" s="6">
        <v>0</v>
      </c>
      <c r="O288" s="6">
        <v>1</v>
      </c>
      <c r="P288" s="6">
        <v>1</v>
      </c>
      <c r="Q288" s="34">
        <v>276.28699999999998</v>
      </c>
      <c r="R288" s="34">
        <v>276.28729999999996</v>
      </c>
      <c r="S288" s="34">
        <v>8617.391529999999</v>
      </c>
      <c r="T288" s="34">
        <v>8617.4008869999998</v>
      </c>
      <c r="U288" s="35">
        <v>4.6799204478430878E-4</v>
      </c>
      <c r="V288" s="36">
        <v>4.6967719913644523E-4</v>
      </c>
      <c r="W288" s="36">
        <v>1.6851543521364544E-6</v>
      </c>
      <c r="X288" s="37">
        <v>3.5373814369411347</v>
      </c>
      <c r="Y288" s="38">
        <v>113413.96078682701</v>
      </c>
      <c r="Z288" s="39">
        <v>0</v>
      </c>
      <c r="AA288" s="40">
        <v>0</v>
      </c>
      <c r="AB288" s="40">
        <v>0</v>
      </c>
      <c r="AC288" s="41">
        <v>0</v>
      </c>
      <c r="AD288" s="42">
        <v>0</v>
      </c>
      <c r="AE288" s="39">
        <v>1.0053742534163906E-3</v>
      </c>
      <c r="AF288" s="40">
        <v>1.0086238926418308E-3</v>
      </c>
      <c r="AG288" s="40">
        <v>3.2496392254402484E-6</v>
      </c>
      <c r="AH288" s="41">
        <v>4.1780580875786358E-2</v>
      </c>
      <c r="AI288" s="42">
        <v>1339.5505250332274</v>
      </c>
      <c r="AJ288" s="41">
        <v>3.579162017816921</v>
      </c>
      <c r="AK288" s="30">
        <v>114753.51131186023</v>
      </c>
      <c r="AL288" s="43">
        <f>+$AL$6*W288/H288*10^6</f>
        <v>27.014337161533415</v>
      </c>
      <c r="AM288" s="30">
        <v>5308309</v>
      </c>
      <c r="AN288" s="44">
        <v>2.1617715041053608E-2</v>
      </c>
      <c r="AP288" s="32"/>
      <c r="AR288" s="32"/>
    </row>
    <row r="289" spans="1:44">
      <c r="A289" s="5" t="s">
        <v>1681</v>
      </c>
      <c r="B289" s="5" t="s">
        <v>1666</v>
      </c>
      <c r="C289" s="5" t="s">
        <v>2251</v>
      </c>
      <c r="D289" s="29" t="s">
        <v>2252</v>
      </c>
      <c r="E289" s="5" t="s">
        <v>1706</v>
      </c>
      <c r="F289" s="30" t="s">
        <v>1168</v>
      </c>
      <c r="G289" s="5" t="s">
        <v>971</v>
      </c>
      <c r="H289" s="31">
        <v>26.09</v>
      </c>
      <c r="I289" s="32">
        <v>226.85599999999999</v>
      </c>
      <c r="J289" s="32">
        <v>226.4718</v>
      </c>
      <c r="K289" s="33">
        <v>1</v>
      </c>
      <c r="L289" s="33">
        <v>1</v>
      </c>
      <c r="M289" s="6">
        <v>0</v>
      </c>
      <c r="N289" s="6">
        <v>0</v>
      </c>
      <c r="O289" s="6">
        <v>1</v>
      </c>
      <c r="P289" s="6">
        <v>1</v>
      </c>
      <c r="Q289" s="34">
        <v>226.85599999999999</v>
      </c>
      <c r="R289" s="34">
        <v>226.4718</v>
      </c>
      <c r="S289" s="34">
        <v>5918.6730399999997</v>
      </c>
      <c r="T289" s="34">
        <v>5908.6492619999999</v>
      </c>
      <c r="U289" s="35">
        <v>3.2143043387972429E-4</v>
      </c>
      <c r="V289" s="36">
        <v>3.2204116675624544E-4</v>
      </c>
      <c r="W289" s="36">
        <v>6.1073287652114398E-7</v>
      </c>
      <c r="X289" s="37">
        <v>1.2820161770917826</v>
      </c>
      <c r="Y289" s="38">
        <v>49138.220662774344</v>
      </c>
      <c r="Z289" s="39">
        <v>0</v>
      </c>
      <c r="AA289" s="40">
        <v>0</v>
      </c>
      <c r="AB289" s="40">
        <v>0</v>
      </c>
      <c r="AC289" s="41">
        <v>0</v>
      </c>
      <c r="AD289" s="42">
        <v>0</v>
      </c>
      <c r="AE289" s="39">
        <v>6.9052003359602702E-4</v>
      </c>
      <c r="AF289" s="40">
        <v>6.9157799399633768E-4</v>
      </c>
      <c r="AG289" s="40">
        <v>1.0579604003106572E-6</v>
      </c>
      <c r="AH289" s="41">
        <v>1.3602186889706311E-2</v>
      </c>
      <c r="AI289" s="42">
        <v>521.3563391991687</v>
      </c>
      <c r="AJ289" s="41">
        <v>1.2956183639814889</v>
      </c>
      <c r="AK289" s="30">
        <v>49659.577001973514</v>
      </c>
      <c r="AL289" s="43">
        <f>+$AL$6*W289/H289*10^6</f>
        <v>11.704347959393331</v>
      </c>
      <c r="AM289" s="30">
        <v>2342524</v>
      </c>
      <c r="AN289" s="44">
        <v>2.1199175334798495E-2</v>
      </c>
      <c r="AP289" s="32"/>
      <c r="AR289" s="32"/>
    </row>
    <row r="290" spans="1:44">
      <c r="A290" s="5" t="s">
        <v>1031</v>
      </c>
      <c r="B290" s="5" t="s">
        <v>1116</v>
      </c>
      <c r="C290" s="5" t="s">
        <v>2050</v>
      </c>
      <c r="D290" s="29" t="s">
        <v>2051</v>
      </c>
      <c r="E290" s="5" t="s">
        <v>914</v>
      </c>
      <c r="F290" s="30" t="s">
        <v>1153</v>
      </c>
      <c r="G290" s="5" t="s">
        <v>971</v>
      </c>
      <c r="H290" s="31">
        <v>55.74</v>
      </c>
      <c r="I290" s="32">
        <v>1966.558</v>
      </c>
      <c r="J290" s="32">
        <v>1960.6949999999999</v>
      </c>
      <c r="K290" s="33">
        <v>1</v>
      </c>
      <c r="L290" s="33">
        <v>1</v>
      </c>
      <c r="M290" s="6">
        <v>1</v>
      </c>
      <c r="N290" s="6">
        <v>1</v>
      </c>
      <c r="O290" s="6">
        <v>0</v>
      </c>
      <c r="P290" s="6">
        <v>0</v>
      </c>
      <c r="Q290" s="34">
        <v>1966.558</v>
      </c>
      <c r="R290" s="34">
        <v>1960.6949999999999</v>
      </c>
      <c r="S290" s="34">
        <v>109615.94292</v>
      </c>
      <c r="T290" s="34">
        <v>109289.1393</v>
      </c>
      <c r="U290" s="35">
        <v>5.9530066713924601E-3</v>
      </c>
      <c r="V290" s="36">
        <v>5.9566239885500642E-3</v>
      </c>
      <c r="W290" s="36">
        <v>3.6173171576040289E-6</v>
      </c>
      <c r="X290" s="37">
        <v>7.5932691557983922</v>
      </c>
      <c r="Y290" s="38">
        <v>136226.57258339418</v>
      </c>
      <c r="Z290" s="39">
        <v>1.1137323755226159E-2</v>
      </c>
      <c r="AA290" s="40">
        <v>1.1147657730782667E-2</v>
      </c>
      <c r="AB290" s="40">
        <v>1.0333975556508362E-5</v>
      </c>
      <c r="AC290" s="41">
        <v>0.2034184333031259</v>
      </c>
      <c r="AD290" s="42">
        <v>3649.4157392021148</v>
      </c>
      <c r="AE290" s="39">
        <v>0</v>
      </c>
      <c r="AF290" s="40">
        <v>0</v>
      </c>
      <c r="AG290" s="40">
        <v>0</v>
      </c>
      <c r="AH290" s="41">
        <v>0</v>
      </c>
      <c r="AI290" s="42">
        <v>0</v>
      </c>
      <c r="AJ290" s="41">
        <v>7.7966875891015182</v>
      </c>
      <c r="AK290" s="30">
        <v>139875.9883225963</v>
      </c>
      <c r="AL290" s="43">
        <f>+$AL$6*W290/H290*10^6</f>
        <v>32.448126637998108</v>
      </c>
      <c r="AM290" s="30">
        <v>6657703</v>
      </c>
      <c r="AN290" s="44">
        <v>2.1009646768952641E-2</v>
      </c>
      <c r="AP290" s="32"/>
      <c r="AR290" s="32"/>
    </row>
    <row r="291" spans="1:44">
      <c r="A291" s="5" t="s">
        <v>814</v>
      </c>
      <c r="B291" s="5" t="s">
        <v>174</v>
      </c>
      <c r="C291" s="5" t="s">
        <v>2177</v>
      </c>
      <c r="D291" s="29" t="s">
        <v>2178</v>
      </c>
      <c r="E291" s="5" t="s">
        <v>670</v>
      </c>
      <c r="F291" s="30" t="s">
        <v>1160</v>
      </c>
      <c r="G291" s="5" t="s">
        <v>969</v>
      </c>
      <c r="H291" s="31">
        <v>62.29</v>
      </c>
      <c r="I291" s="32">
        <v>107.654</v>
      </c>
      <c r="J291" s="32">
        <v>107.75149999999999</v>
      </c>
      <c r="K291" s="33">
        <v>1</v>
      </c>
      <c r="L291" s="33">
        <v>1</v>
      </c>
      <c r="M291" s="6">
        <v>0</v>
      </c>
      <c r="N291" s="6">
        <v>0</v>
      </c>
      <c r="O291" s="6">
        <v>1</v>
      </c>
      <c r="P291" s="6">
        <v>1</v>
      </c>
      <c r="Q291" s="34">
        <v>107.654</v>
      </c>
      <c r="R291" s="34">
        <v>107.75149999999999</v>
      </c>
      <c r="S291" s="34">
        <v>6705.7676599999995</v>
      </c>
      <c r="T291" s="34">
        <v>6711.8409349999993</v>
      </c>
      <c r="U291" s="35">
        <v>3.6417585392593734E-4</v>
      </c>
      <c r="V291" s="36">
        <v>3.6581780199593255E-4</v>
      </c>
      <c r="W291" s="36">
        <v>1.6419480699952113E-6</v>
      </c>
      <c r="X291" s="37">
        <v>3.4466852344170715</v>
      </c>
      <c r="Y291" s="38">
        <v>55332.882234982688</v>
      </c>
      <c r="Z291" s="39">
        <v>0</v>
      </c>
      <c r="AA291" s="40">
        <v>0</v>
      </c>
      <c r="AB291" s="40">
        <v>0</v>
      </c>
      <c r="AC291" s="41">
        <v>0</v>
      </c>
      <c r="AD291" s="42">
        <v>0</v>
      </c>
      <c r="AE291" s="39">
        <v>7.8234882693745686E-4</v>
      </c>
      <c r="AF291" s="40">
        <v>7.8558758254651041E-4</v>
      </c>
      <c r="AG291" s="40">
        <v>3.2387556090535423E-6</v>
      </c>
      <c r="AH291" s="41">
        <v>4.1640650322540336E-2</v>
      </c>
      <c r="AI291" s="42">
        <v>668.4965535806765</v>
      </c>
      <c r="AJ291" s="41">
        <v>3.4883258847396119</v>
      </c>
      <c r="AK291" s="30">
        <v>56001.378788563365</v>
      </c>
      <c r="AL291" s="43">
        <f>+$AL$6*W291/H291*10^6</f>
        <v>13.179868919531316</v>
      </c>
      <c r="AM291" s="30">
        <v>2738598.25</v>
      </c>
      <c r="AN291" s="44">
        <v>2.0448920826033307E-2</v>
      </c>
      <c r="AP291" s="32"/>
      <c r="AR291" s="32"/>
    </row>
    <row r="292" spans="1:44">
      <c r="A292" s="5" t="s">
        <v>824</v>
      </c>
      <c r="B292" s="5" t="s">
        <v>182</v>
      </c>
      <c r="C292" s="5" t="s">
        <v>2198</v>
      </c>
      <c r="D292" s="29" t="s">
        <v>2199</v>
      </c>
      <c r="E292" s="5" t="s">
        <v>679</v>
      </c>
      <c r="F292" s="30" t="s">
        <v>1160</v>
      </c>
      <c r="G292" s="5" t="s">
        <v>969</v>
      </c>
      <c r="H292" s="31">
        <v>36.61</v>
      </c>
      <c r="I292" s="32">
        <v>162.80099999999999</v>
      </c>
      <c r="J292" s="32">
        <v>162.98859999999999</v>
      </c>
      <c r="K292" s="33">
        <v>1</v>
      </c>
      <c r="L292" s="33">
        <v>1</v>
      </c>
      <c r="M292" s="6">
        <v>0</v>
      </c>
      <c r="N292" s="6">
        <v>0</v>
      </c>
      <c r="O292" s="6">
        <v>1</v>
      </c>
      <c r="P292" s="6">
        <v>1</v>
      </c>
      <c r="Q292" s="34">
        <v>162.80099999999999</v>
      </c>
      <c r="R292" s="34">
        <v>162.98859999999999</v>
      </c>
      <c r="S292" s="34">
        <v>5960.1446099999994</v>
      </c>
      <c r="T292" s="34">
        <v>5967.0126459999992</v>
      </c>
      <c r="U292" s="35">
        <v>3.2368266586630035E-4</v>
      </c>
      <c r="V292" s="36">
        <v>3.2522216658307227E-4</v>
      </c>
      <c r="W292" s="36">
        <v>1.5395007167719188E-6</v>
      </c>
      <c r="X292" s="37">
        <v>3.2316335003747994</v>
      </c>
      <c r="Y292" s="38">
        <v>88271.879278197201</v>
      </c>
      <c r="Z292" s="39">
        <v>0</v>
      </c>
      <c r="AA292" s="40">
        <v>0</v>
      </c>
      <c r="AB292" s="40">
        <v>0</v>
      </c>
      <c r="AC292" s="41">
        <v>0</v>
      </c>
      <c r="AD292" s="42">
        <v>0</v>
      </c>
      <c r="AE292" s="39">
        <v>6.9535844073832797E-4</v>
      </c>
      <c r="AF292" s="40">
        <v>6.984091376706019E-4</v>
      </c>
      <c r="AG292" s="40">
        <v>3.0506969322739285E-6</v>
      </c>
      <c r="AH292" s="41">
        <v>3.922278168867082E-2</v>
      </c>
      <c r="AI292" s="42">
        <v>1071.36797838489</v>
      </c>
      <c r="AJ292" s="41">
        <v>3.2708562820634701</v>
      </c>
      <c r="AK292" s="30">
        <v>89343.247256582094</v>
      </c>
      <c r="AL292" s="43">
        <f>+$AL$6*W292/H292*10^6</f>
        <v>21.025685834087938</v>
      </c>
      <c r="AM292" s="30">
        <v>4401527.5</v>
      </c>
      <c r="AN292" s="44">
        <v>2.0298236749987836E-2</v>
      </c>
      <c r="AP292" s="32"/>
      <c r="AR292" s="32"/>
    </row>
    <row r="293" spans="1:44">
      <c r="A293" s="5" t="s">
        <v>982</v>
      </c>
      <c r="B293" s="5" t="s">
        <v>357</v>
      </c>
      <c r="C293" s="5" t="s">
        <v>1943</v>
      </c>
      <c r="D293" s="29" t="s">
        <v>1944</v>
      </c>
      <c r="E293" s="5" t="s">
        <v>869</v>
      </c>
      <c r="F293" s="30" t="s">
        <v>1150</v>
      </c>
      <c r="G293" s="5" t="s">
        <v>971</v>
      </c>
      <c r="H293" s="31">
        <v>170.62</v>
      </c>
      <c r="I293" s="32">
        <v>760.32399999999996</v>
      </c>
      <c r="J293" s="32">
        <v>758.25029999999992</v>
      </c>
      <c r="K293" s="33">
        <v>1</v>
      </c>
      <c r="L293" s="33">
        <v>1</v>
      </c>
      <c r="M293" s="6">
        <v>1</v>
      </c>
      <c r="N293" s="6">
        <v>1</v>
      </c>
      <c r="O293" s="6">
        <v>0</v>
      </c>
      <c r="P293" s="6">
        <v>0</v>
      </c>
      <c r="Q293" s="34">
        <v>760.32399999999996</v>
      </c>
      <c r="R293" s="34">
        <v>758.25029999999992</v>
      </c>
      <c r="S293" s="34">
        <v>129726.48088</v>
      </c>
      <c r="T293" s="34">
        <v>129372.66618599999</v>
      </c>
      <c r="U293" s="35">
        <v>7.0451668394488918E-3</v>
      </c>
      <c r="V293" s="36">
        <v>7.0512434428716131E-3</v>
      </c>
      <c r="W293" s="36">
        <v>6.076603422721337E-6</v>
      </c>
      <c r="X293" s="37">
        <v>12.75566485641836</v>
      </c>
      <c r="Y293" s="38">
        <v>74760.666137723369</v>
      </c>
      <c r="Z293" s="39">
        <v>1.3180617515110604E-2</v>
      </c>
      <c r="AA293" s="40">
        <v>1.3196207890350987E-2</v>
      </c>
      <c r="AB293" s="40">
        <v>1.5590375240383259E-5</v>
      </c>
      <c r="AC293" s="41">
        <v>0.30688767248043963</v>
      </c>
      <c r="AD293" s="42">
        <v>1798.6617775198665</v>
      </c>
      <c r="AE293" s="39">
        <v>0</v>
      </c>
      <c r="AF293" s="40">
        <v>0</v>
      </c>
      <c r="AG293" s="40">
        <v>0</v>
      </c>
      <c r="AH293" s="41">
        <v>0</v>
      </c>
      <c r="AI293" s="42">
        <v>0</v>
      </c>
      <c r="AJ293" s="41">
        <v>13.062552528898799</v>
      </c>
      <c r="AK293" s="30">
        <v>76559.327915243237</v>
      </c>
      <c r="AL293" s="43">
        <f>+$AL$6*W293/H293*10^6</f>
        <v>17.80741830594695</v>
      </c>
      <c r="AM293" s="30">
        <v>3786425.25</v>
      </c>
      <c r="AN293" s="44">
        <v>2.0219421449094561E-2</v>
      </c>
      <c r="AP293" s="32"/>
      <c r="AR293" s="32"/>
    </row>
    <row r="294" spans="1:44">
      <c r="A294" s="5" t="s">
        <v>1291</v>
      </c>
      <c r="B294" s="5" t="s">
        <v>1536</v>
      </c>
      <c r="C294" s="5" t="s">
        <v>2235</v>
      </c>
      <c r="D294" s="29" t="s">
        <v>2236</v>
      </c>
      <c r="E294" s="5" t="s">
        <v>0</v>
      </c>
      <c r="F294" s="30" t="s">
        <v>1170</v>
      </c>
      <c r="G294" s="5" t="s">
        <v>971</v>
      </c>
      <c r="H294" s="31">
        <v>31.38</v>
      </c>
      <c r="I294" s="32">
        <v>269.76400000000001</v>
      </c>
      <c r="J294" s="32">
        <v>269.39859999999999</v>
      </c>
      <c r="K294" s="33">
        <v>1</v>
      </c>
      <c r="L294" s="33">
        <v>1</v>
      </c>
      <c r="M294" s="6">
        <v>0</v>
      </c>
      <c r="N294" s="6">
        <v>0</v>
      </c>
      <c r="O294" s="6">
        <v>1</v>
      </c>
      <c r="P294" s="6">
        <v>1</v>
      </c>
      <c r="Q294" s="34">
        <v>269.76400000000001</v>
      </c>
      <c r="R294" s="34">
        <v>269.39859999999999</v>
      </c>
      <c r="S294" s="34">
        <v>8465.1943200000005</v>
      </c>
      <c r="T294" s="34">
        <v>8453.7280679999985</v>
      </c>
      <c r="U294" s="35">
        <v>4.5972654085885747E-4</v>
      </c>
      <c r="V294" s="36">
        <v>4.6075648252934666E-4</v>
      </c>
      <c r="W294" s="36">
        <v>1.029941670489191E-6</v>
      </c>
      <c r="X294" s="37">
        <v>2.1619957493517443</v>
      </c>
      <c r="Y294" s="38">
        <v>68897.251413376172</v>
      </c>
      <c r="Z294" s="39">
        <v>0</v>
      </c>
      <c r="AA294" s="40">
        <v>0</v>
      </c>
      <c r="AB294" s="40">
        <v>0</v>
      </c>
      <c r="AC294" s="41">
        <v>0</v>
      </c>
      <c r="AD294" s="42">
        <v>0</v>
      </c>
      <c r="AE294" s="39">
        <v>9.8761770193058298E-4</v>
      </c>
      <c r="AF294" s="40">
        <v>9.8946680363272074E-4</v>
      </c>
      <c r="AG294" s="40">
        <v>1.8491017021377617E-6</v>
      </c>
      <c r="AH294" s="41">
        <v>2.377388314644514E-2</v>
      </c>
      <c r="AI294" s="42">
        <v>757.6125923022671</v>
      </c>
      <c r="AJ294" s="41">
        <v>2.1857696324981895</v>
      </c>
      <c r="AK294" s="30">
        <v>69654.864005678435</v>
      </c>
      <c r="AL294" s="43">
        <f>+$AL$6*W294/H294*10^6</f>
        <v>16.410797808941858</v>
      </c>
      <c r="AM294" s="30">
        <v>3586885.5</v>
      </c>
      <c r="AN294" s="44">
        <v>1.9419316285863721E-2</v>
      </c>
      <c r="AP294" s="32"/>
      <c r="AR294" s="32"/>
    </row>
    <row r="295" spans="1:44">
      <c r="A295" s="5" t="s">
        <v>1386</v>
      </c>
      <c r="B295" s="5" t="s">
        <v>1360</v>
      </c>
      <c r="C295" s="5" t="s">
        <v>2232</v>
      </c>
      <c r="D295" s="29" t="s">
        <v>1396</v>
      </c>
      <c r="E295" s="5" t="s">
        <v>1692</v>
      </c>
      <c r="F295" s="30" t="s">
        <v>1168</v>
      </c>
      <c r="G295" s="5" t="s">
        <v>969</v>
      </c>
      <c r="H295" s="31">
        <v>28.93</v>
      </c>
      <c r="I295" s="32">
        <v>149.15199999999999</v>
      </c>
      <c r="J295" s="32">
        <v>149.30240000000001</v>
      </c>
      <c r="K295" s="33">
        <v>1</v>
      </c>
      <c r="L295" s="33">
        <v>1</v>
      </c>
      <c r="M295" s="6">
        <v>1</v>
      </c>
      <c r="N295" s="6">
        <v>1</v>
      </c>
      <c r="O295" s="6">
        <v>0</v>
      </c>
      <c r="P295" s="6">
        <v>0</v>
      </c>
      <c r="Q295" s="34">
        <v>149.15199999999999</v>
      </c>
      <c r="R295" s="34">
        <v>149.30240000000001</v>
      </c>
      <c r="S295" s="34">
        <v>4314.9673599999996</v>
      </c>
      <c r="T295" s="34">
        <v>4319.318432</v>
      </c>
      <c r="U295" s="35">
        <v>2.3433661926046322E-4</v>
      </c>
      <c r="V295" s="36">
        <v>2.3541731549017381E-4</v>
      </c>
      <c r="W295" s="36">
        <v>1.0806962297105855E-6</v>
      </c>
      <c r="X295" s="37">
        <v>2.2685368714764151</v>
      </c>
      <c r="Y295" s="38">
        <v>78414.686189990156</v>
      </c>
      <c r="Z295" s="39">
        <v>4.3841422334547301E-4</v>
      </c>
      <c r="AA295" s="40">
        <v>4.4057702182120553E-4</v>
      </c>
      <c r="AB295" s="40">
        <v>2.1627984757325246E-6</v>
      </c>
      <c r="AC295" s="41">
        <v>4.2573458305387168E-2</v>
      </c>
      <c r="AD295" s="42">
        <v>1471.6024301896705</v>
      </c>
      <c r="AE295" s="39">
        <v>0</v>
      </c>
      <c r="AF295" s="40">
        <v>0</v>
      </c>
      <c r="AG295" s="40">
        <v>0</v>
      </c>
      <c r="AH295" s="41">
        <v>0</v>
      </c>
      <c r="AI295" s="42">
        <v>0</v>
      </c>
      <c r="AJ295" s="41">
        <v>2.3111103297818021</v>
      </c>
      <c r="AK295" s="30">
        <v>79886.288620179825</v>
      </c>
      <c r="AL295" s="43">
        <f>+$AL$6*W295/H295*10^6</f>
        <v>18.677777907199889</v>
      </c>
      <c r="AM295" s="30">
        <v>4333447</v>
      </c>
      <c r="AN295" s="44">
        <v>1.8434813814540669E-2</v>
      </c>
      <c r="AP295" s="32"/>
      <c r="AR295" s="32"/>
    </row>
    <row r="296" spans="1:44">
      <c r="A296" s="5" t="s">
        <v>281</v>
      </c>
      <c r="B296" s="5" t="s">
        <v>581</v>
      </c>
      <c r="C296" s="5" t="s">
        <v>2253</v>
      </c>
      <c r="D296" s="29" t="s">
        <v>2254</v>
      </c>
      <c r="E296" s="5" t="s">
        <v>108</v>
      </c>
      <c r="F296" s="30" t="s">
        <v>1164</v>
      </c>
      <c r="G296" s="5" t="s">
        <v>971</v>
      </c>
      <c r="H296" s="31">
        <v>165.11</v>
      </c>
      <c r="I296" s="32">
        <v>58.322000000000003</v>
      </c>
      <c r="J296" s="32">
        <v>58.172309999999996</v>
      </c>
      <c r="K296" s="33">
        <v>1</v>
      </c>
      <c r="L296" s="33">
        <v>1</v>
      </c>
      <c r="M296" s="6">
        <v>0.66</v>
      </c>
      <c r="N296" s="6">
        <v>0.66</v>
      </c>
      <c r="O296" s="6">
        <v>0.34</v>
      </c>
      <c r="P296" s="6">
        <v>0.34</v>
      </c>
      <c r="Q296" s="34">
        <v>58.322000000000003</v>
      </c>
      <c r="R296" s="34">
        <v>58.172309999999996</v>
      </c>
      <c r="S296" s="34">
        <v>9629.5454200000004</v>
      </c>
      <c r="T296" s="34">
        <v>9604.8301040999995</v>
      </c>
      <c r="U296" s="35">
        <v>5.2295995090398037E-4</v>
      </c>
      <c r="V296" s="36">
        <v>5.2349539735125239E-4</v>
      </c>
      <c r="W296" s="36">
        <v>5.3544644727202169E-7</v>
      </c>
      <c r="X296" s="37">
        <v>1.1239791302528457</v>
      </c>
      <c r="Y296" s="38">
        <v>6807.45642452211</v>
      </c>
      <c r="Z296" s="39">
        <v>6.457387400669259E-4</v>
      </c>
      <c r="AA296" s="40">
        <v>6.4660676352736306E-4</v>
      </c>
      <c r="AB296" s="40">
        <v>8.680234604371579E-7</v>
      </c>
      <c r="AC296" s="41">
        <v>1.7086548291792611E-2</v>
      </c>
      <c r="AD296" s="42">
        <v>103.48584756703174</v>
      </c>
      <c r="AE296" s="39">
        <v>3.8197649268309226E-4</v>
      </c>
      <c r="AF296" s="40">
        <v>3.8222717344015174E-4</v>
      </c>
      <c r="AG296" s="40">
        <v>2.5068075705948073E-7</v>
      </c>
      <c r="AH296" s="41">
        <v>3.2230001294707E-3</v>
      </c>
      <c r="AI296" s="42">
        <v>19.520320570956937</v>
      </c>
      <c r="AJ296" s="41">
        <v>1.1442886786741089</v>
      </c>
      <c r="AK296" s="30">
        <v>6930.4625926600984</v>
      </c>
      <c r="AL296" s="43">
        <f>+$AL$6*W296/H296*10^6</f>
        <v>1.6214840023984667</v>
      </c>
      <c r="AM296" s="30">
        <v>383326.6875</v>
      </c>
      <c r="AN296" s="44">
        <v>1.8079781081404876E-2</v>
      </c>
      <c r="AP296" s="32"/>
      <c r="AR296" s="32"/>
    </row>
    <row r="297" spans="1:44">
      <c r="A297" s="5" t="s">
        <v>991</v>
      </c>
      <c r="B297" s="5" t="s">
        <v>1082</v>
      </c>
      <c r="C297" s="5" t="s">
        <v>1974</v>
      </c>
      <c r="D297" s="29" t="s">
        <v>1975</v>
      </c>
      <c r="E297" s="5" t="s">
        <v>879</v>
      </c>
      <c r="F297" s="30" t="s">
        <v>1164</v>
      </c>
      <c r="G297" s="5" t="s">
        <v>971</v>
      </c>
      <c r="H297" s="31">
        <v>78.92</v>
      </c>
      <c r="I297" s="32">
        <v>603.64400000000001</v>
      </c>
      <c r="J297" s="32">
        <v>602.63249999999994</v>
      </c>
      <c r="K297" s="33">
        <v>1</v>
      </c>
      <c r="L297" s="33">
        <v>1</v>
      </c>
      <c r="M297" s="6">
        <v>0</v>
      </c>
      <c r="N297" s="6">
        <v>0</v>
      </c>
      <c r="O297" s="6">
        <v>1</v>
      </c>
      <c r="P297" s="6">
        <v>1</v>
      </c>
      <c r="Q297" s="34">
        <v>603.64400000000001</v>
      </c>
      <c r="R297" s="34">
        <v>602.63249999999994</v>
      </c>
      <c r="S297" s="34">
        <v>47639.584480000005</v>
      </c>
      <c r="T297" s="34">
        <v>47559.756899999993</v>
      </c>
      <c r="U297" s="35">
        <v>2.587203619082865E-3</v>
      </c>
      <c r="V297" s="36">
        <v>2.5921659796633557E-3</v>
      </c>
      <c r="W297" s="36">
        <v>4.9623605804906615E-6</v>
      </c>
      <c r="X297" s="37">
        <v>10.416708818738934</v>
      </c>
      <c r="Y297" s="38">
        <v>131990.73515888158</v>
      </c>
      <c r="Z297" s="39">
        <v>0</v>
      </c>
      <c r="AA297" s="40">
        <v>0</v>
      </c>
      <c r="AB297" s="40">
        <v>0</v>
      </c>
      <c r="AC297" s="41">
        <v>0</v>
      </c>
      <c r="AD297" s="42">
        <v>0</v>
      </c>
      <c r="AE297" s="39">
        <v>5.5580173551249877E-3</v>
      </c>
      <c r="AF297" s="40">
        <v>5.5666328823048483E-3</v>
      </c>
      <c r="AG297" s="40">
        <v>8.615527179860541E-6</v>
      </c>
      <c r="AH297" s="41">
        <v>0.110769751702801</v>
      </c>
      <c r="AI297" s="42">
        <v>1403.5700925342244</v>
      </c>
      <c r="AJ297" s="41">
        <v>10.527478570441735</v>
      </c>
      <c r="AK297" s="30">
        <v>133394.30525141582</v>
      </c>
      <c r="AL297" s="43">
        <f>+$AL$6*W297/H297*10^6</f>
        <v>31.439182593073124</v>
      </c>
      <c r="AM297" s="30">
        <v>7996287.5</v>
      </c>
      <c r="AN297" s="44">
        <v>1.6682029660816451E-2</v>
      </c>
      <c r="AP297" s="32"/>
      <c r="AR297" s="32"/>
    </row>
    <row r="298" spans="1:44">
      <c r="A298" s="5" t="s">
        <v>1438</v>
      </c>
      <c r="B298" s="5" t="s">
        <v>1429</v>
      </c>
      <c r="C298" s="5" t="s">
        <v>2258</v>
      </c>
      <c r="D298" s="29" t="s">
        <v>2259</v>
      </c>
      <c r="E298" s="5" t="s">
        <v>671</v>
      </c>
      <c r="F298" s="30" t="s">
        <v>1164</v>
      </c>
      <c r="G298" s="5" t="s">
        <v>971</v>
      </c>
      <c r="H298" s="31">
        <v>25.95</v>
      </c>
      <c r="I298" s="32">
        <v>97.453999999999994</v>
      </c>
      <c r="J298" s="32">
        <v>97.453729999999993</v>
      </c>
      <c r="K298" s="33">
        <v>1</v>
      </c>
      <c r="L298" s="33">
        <v>1</v>
      </c>
      <c r="M298" s="6">
        <v>0</v>
      </c>
      <c r="N298" s="6">
        <v>0</v>
      </c>
      <c r="O298" s="6">
        <v>1</v>
      </c>
      <c r="P298" s="6">
        <v>1</v>
      </c>
      <c r="Q298" s="34">
        <v>97.453999999999994</v>
      </c>
      <c r="R298" s="34">
        <v>97.453729999999993</v>
      </c>
      <c r="S298" s="34">
        <v>2528.9312999999997</v>
      </c>
      <c r="T298" s="34">
        <v>2528.9242934999997</v>
      </c>
      <c r="U298" s="35">
        <v>1.373408329058527E-4</v>
      </c>
      <c r="V298" s="36">
        <v>1.3783484075703689E-4</v>
      </c>
      <c r="W298" s="36">
        <v>4.9400785118419287E-7</v>
      </c>
      <c r="X298" s="37">
        <v>1.0369935550809652</v>
      </c>
      <c r="Y298" s="38">
        <v>39961.215995412917</v>
      </c>
      <c r="Z298" s="39">
        <v>0</v>
      </c>
      <c r="AA298" s="40">
        <v>0</v>
      </c>
      <c r="AB298" s="40">
        <v>0</v>
      </c>
      <c r="AC298" s="41">
        <v>0</v>
      </c>
      <c r="AD298" s="42">
        <v>0</v>
      </c>
      <c r="AE298" s="39">
        <v>2.9504547969388153E-4</v>
      </c>
      <c r="AF298" s="40">
        <v>2.959980043349771E-4</v>
      </c>
      <c r="AG298" s="40">
        <v>9.5252464109556872E-7</v>
      </c>
      <c r="AH298" s="41">
        <v>1.2246600327789075E-2</v>
      </c>
      <c r="AI298" s="42">
        <v>471.93064846971384</v>
      </c>
      <c r="AJ298" s="41">
        <v>1.0492401554087543</v>
      </c>
      <c r="AK298" s="30">
        <v>40433.146643882632</v>
      </c>
      <c r="AL298" s="43">
        <f>+$AL$6*W298/H298*10^6</f>
        <v>9.5184557068245255</v>
      </c>
      <c r="AM298" s="30">
        <v>2535014</v>
      </c>
      <c r="AN298" s="44">
        <v>1.5949871142282697E-2</v>
      </c>
      <c r="AP298" s="32"/>
      <c r="AR298" s="32"/>
    </row>
    <row r="299" spans="1:44">
      <c r="A299" s="5" t="s">
        <v>1263</v>
      </c>
      <c r="B299" s="5" t="s">
        <v>436</v>
      </c>
      <c r="C299" s="5" t="s">
        <v>2241</v>
      </c>
      <c r="D299" s="29" t="s">
        <v>2242</v>
      </c>
      <c r="E299" s="5" t="s">
        <v>779</v>
      </c>
      <c r="F299" s="30" t="s">
        <v>1148</v>
      </c>
      <c r="G299" s="5" t="s">
        <v>971</v>
      </c>
      <c r="H299" s="31">
        <v>77.489999999999995</v>
      </c>
      <c r="I299" s="32">
        <v>148.977</v>
      </c>
      <c r="J299" s="32">
        <v>148.6643</v>
      </c>
      <c r="K299" s="33">
        <v>1</v>
      </c>
      <c r="L299" s="33">
        <v>1</v>
      </c>
      <c r="M299" s="6">
        <v>0</v>
      </c>
      <c r="N299" s="6">
        <v>0</v>
      </c>
      <c r="O299" s="6">
        <v>1</v>
      </c>
      <c r="P299" s="6">
        <v>1</v>
      </c>
      <c r="Q299" s="34">
        <v>148.977</v>
      </c>
      <c r="R299" s="34">
        <v>148.6643</v>
      </c>
      <c r="S299" s="34">
        <v>11544.227729999999</v>
      </c>
      <c r="T299" s="34">
        <v>11519.996606999999</v>
      </c>
      <c r="U299" s="35">
        <v>6.2694223907665703E-4</v>
      </c>
      <c r="V299" s="36">
        <v>6.27878383678254E-4</v>
      </c>
      <c r="W299" s="36">
        <v>9.3614460159696482E-7</v>
      </c>
      <c r="X299" s="37">
        <v>1.9651022066811901</v>
      </c>
      <c r="Y299" s="38">
        <v>25359.42969003988</v>
      </c>
      <c r="Z299" s="39">
        <v>0</v>
      </c>
      <c r="AA299" s="40">
        <v>0</v>
      </c>
      <c r="AB299" s="40">
        <v>0</v>
      </c>
      <c r="AC299" s="41">
        <v>0</v>
      </c>
      <c r="AD299" s="42">
        <v>0</v>
      </c>
      <c r="AE299" s="39">
        <v>1.3468425213026781E-3</v>
      </c>
      <c r="AF299" s="40">
        <v>1.3483582780164816E-3</v>
      </c>
      <c r="AG299" s="40">
        <v>1.5157567138034903E-6</v>
      </c>
      <c r="AH299" s="41">
        <v>1.9488069775038884E-2</v>
      </c>
      <c r="AI299" s="42">
        <v>251.49141534441719</v>
      </c>
      <c r="AJ299" s="41">
        <v>1.9845902764562289</v>
      </c>
      <c r="AK299" s="30">
        <v>25610.921105384299</v>
      </c>
      <c r="AL299" s="43">
        <f>+$AL$6*W299/H299*10^6</f>
        <v>6.0404220002385136</v>
      </c>
      <c r="AM299" s="30">
        <v>1631051.875</v>
      </c>
      <c r="AN299" s="44">
        <v>1.5702088632456462E-2</v>
      </c>
      <c r="AP299" s="32"/>
      <c r="AR299" s="32"/>
    </row>
    <row r="300" spans="1:44">
      <c r="A300" s="5" t="s">
        <v>1413</v>
      </c>
      <c r="B300" s="5" t="s">
        <v>1411</v>
      </c>
      <c r="C300" s="5" t="s">
        <v>2181</v>
      </c>
      <c r="D300" s="29" t="s">
        <v>2182</v>
      </c>
      <c r="E300" s="5" t="s">
        <v>149</v>
      </c>
      <c r="F300" s="30" t="s">
        <v>1169</v>
      </c>
      <c r="G300" s="5" t="s">
        <v>971</v>
      </c>
      <c r="H300" s="31">
        <v>34.270000000000003</v>
      </c>
      <c r="I300" s="32">
        <v>358.28</v>
      </c>
      <c r="J300" s="32">
        <v>357.858</v>
      </c>
      <c r="K300" s="33">
        <v>1</v>
      </c>
      <c r="L300" s="33">
        <v>1</v>
      </c>
      <c r="M300" s="6">
        <v>0</v>
      </c>
      <c r="N300" s="6">
        <v>0</v>
      </c>
      <c r="O300" s="6">
        <v>1</v>
      </c>
      <c r="P300" s="6">
        <v>1</v>
      </c>
      <c r="Q300" s="34">
        <v>358.28</v>
      </c>
      <c r="R300" s="34">
        <v>357.858</v>
      </c>
      <c r="S300" s="34">
        <v>12278.2556</v>
      </c>
      <c r="T300" s="34">
        <v>12263.793660000001</v>
      </c>
      <c r="U300" s="35">
        <v>6.6680571778875543E-4</v>
      </c>
      <c r="V300" s="36">
        <v>6.6841781327656776E-4</v>
      </c>
      <c r="W300" s="36">
        <v>1.6120954878123296E-6</v>
      </c>
      <c r="X300" s="37">
        <v>3.3840203693709676</v>
      </c>
      <c r="Y300" s="38">
        <v>98745.852622438499</v>
      </c>
      <c r="Z300" s="39">
        <v>0</v>
      </c>
      <c r="AA300" s="40">
        <v>0</v>
      </c>
      <c r="AB300" s="40">
        <v>0</v>
      </c>
      <c r="AC300" s="41">
        <v>0</v>
      </c>
      <c r="AD300" s="42">
        <v>0</v>
      </c>
      <c r="AE300" s="39">
        <v>1.4324801204785942E-3</v>
      </c>
      <c r="AF300" s="40">
        <v>1.4354160218501399E-3</v>
      </c>
      <c r="AG300" s="40">
        <v>2.9359013715456791E-6</v>
      </c>
      <c r="AH300" s="41">
        <v>3.7746856246966408E-2</v>
      </c>
      <c r="AI300" s="42">
        <v>1101.4548073232099</v>
      </c>
      <c r="AJ300" s="41">
        <v>3.4217672256179341</v>
      </c>
      <c r="AK300" s="30">
        <v>99847.307429761713</v>
      </c>
      <c r="AL300" s="43">
        <f>+$AL$6*W300/H300*10^6</f>
        <v>23.520506095890422</v>
      </c>
      <c r="AM300" s="30">
        <v>6598311.5</v>
      </c>
      <c r="AN300" s="44">
        <v>1.5132251247877841E-2</v>
      </c>
      <c r="AP300" s="32"/>
      <c r="AR300" s="32"/>
    </row>
    <row r="301" spans="1:44">
      <c r="A301" s="5" t="s">
        <v>818</v>
      </c>
      <c r="B301" s="5" t="s">
        <v>178</v>
      </c>
      <c r="C301" s="5" t="s">
        <v>2226</v>
      </c>
      <c r="D301" s="29" t="s">
        <v>2227</v>
      </c>
      <c r="E301" s="5" t="s">
        <v>673</v>
      </c>
      <c r="F301" s="30" t="s">
        <v>1167</v>
      </c>
      <c r="G301" s="5" t="s">
        <v>971</v>
      </c>
      <c r="H301" s="31">
        <v>97.85</v>
      </c>
      <c r="I301" s="32">
        <v>110.545</v>
      </c>
      <c r="J301" s="32">
        <v>110.36009999999999</v>
      </c>
      <c r="K301" s="33">
        <v>1</v>
      </c>
      <c r="L301" s="33">
        <v>1</v>
      </c>
      <c r="M301" s="6">
        <v>0.54</v>
      </c>
      <c r="N301" s="6">
        <v>0.54</v>
      </c>
      <c r="O301" s="6">
        <v>0.46</v>
      </c>
      <c r="P301" s="6">
        <v>0.46</v>
      </c>
      <c r="Q301" s="34">
        <v>110.545</v>
      </c>
      <c r="R301" s="34">
        <v>110.36009999999999</v>
      </c>
      <c r="S301" s="34">
        <v>10816.828249999999</v>
      </c>
      <c r="T301" s="34">
        <v>10798.735784999999</v>
      </c>
      <c r="U301" s="35">
        <v>5.874387340037892E-4</v>
      </c>
      <c r="V301" s="36">
        <v>5.8856725412005336E-4</v>
      </c>
      <c r="W301" s="36">
        <v>1.128520116264165E-6</v>
      </c>
      <c r="X301" s="37">
        <v>2.3689260900204223</v>
      </c>
      <c r="Y301" s="38">
        <v>24209.770976192362</v>
      </c>
      <c r="Z301" s="39">
        <v>5.9347279335943018E-4</v>
      </c>
      <c r="AA301" s="40">
        <v>5.9480319876963961E-4</v>
      </c>
      <c r="AB301" s="40">
        <v>1.3304054102094339E-6</v>
      </c>
      <c r="AC301" s="41">
        <v>2.618827407931721E-2</v>
      </c>
      <c r="AD301" s="42">
        <v>267.63693489337982</v>
      </c>
      <c r="AE301" s="39">
        <v>5.8050999198842868E-4</v>
      </c>
      <c r="AF301" s="40">
        <v>5.8141161242410404E-4</v>
      </c>
      <c r="AG301" s="40">
        <v>9.0162043567536699E-7</v>
      </c>
      <c r="AH301" s="41">
        <v>1.1592125438753277E-2</v>
      </c>
      <c r="AI301" s="42">
        <v>118.46832333932834</v>
      </c>
      <c r="AJ301" s="41">
        <v>2.4067064895384931</v>
      </c>
      <c r="AK301" s="30">
        <v>24595.876234425072</v>
      </c>
      <c r="AL301" s="43">
        <f>+$AL$6*W301/H301*10^6</f>
        <v>5.7665820963932815</v>
      </c>
      <c r="AM301" s="30">
        <v>1653143.5</v>
      </c>
      <c r="AN301" s="44">
        <v>1.4878246343662889E-2</v>
      </c>
      <c r="AP301" s="32"/>
      <c r="AR301" s="32"/>
    </row>
    <row r="302" spans="1:44">
      <c r="A302" s="5" t="s">
        <v>209</v>
      </c>
      <c r="B302" s="5" t="s">
        <v>211</v>
      </c>
      <c r="C302" s="5" t="s">
        <v>2240</v>
      </c>
      <c r="D302" s="29" t="s">
        <v>214</v>
      </c>
      <c r="E302" s="5" t="s">
        <v>215</v>
      </c>
      <c r="F302" s="30" t="s">
        <v>1152</v>
      </c>
      <c r="G302" s="5" t="s">
        <v>969</v>
      </c>
      <c r="H302" s="31">
        <v>51.88</v>
      </c>
      <c r="I302" s="32">
        <v>100.821</v>
      </c>
      <c r="J302" s="32">
        <v>100.9027</v>
      </c>
      <c r="K302" s="33">
        <v>0.75</v>
      </c>
      <c r="L302" s="33">
        <v>0.75</v>
      </c>
      <c r="M302" s="6">
        <v>0</v>
      </c>
      <c r="N302" s="6">
        <v>0</v>
      </c>
      <c r="O302" s="6">
        <v>1</v>
      </c>
      <c r="P302" s="6">
        <v>1</v>
      </c>
      <c r="Q302" s="34">
        <v>75.615749999999991</v>
      </c>
      <c r="R302" s="34">
        <v>75.677025</v>
      </c>
      <c r="S302" s="34">
        <v>3922.9451099999997</v>
      </c>
      <c r="T302" s="34">
        <v>3926.124057</v>
      </c>
      <c r="U302" s="35">
        <v>2.1304673197383492E-4</v>
      </c>
      <c r="V302" s="36">
        <v>2.1398690564991668E-4</v>
      </c>
      <c r="W302" s="36">
        <v>9.401736760817638E-7</v>
      </c>
      <c r="X302" s="37">
        <v>1.9735598137084107</v>
      </c>
      <c r="Y302" s="38">
        <v>38040.859940408838</v>
      </c>
      <c r="Z302" s="39">
        <v>0</v>
      </c>
      <c r="AA302" s="40">
        <v>0</v>
      </c>
      <c r="AB302" s="40">
        <v>0</v>
      </c>
      <c r="AC302" s="41">
        <v>0</v>
      </c>
      <c r="AD302" s="42">
        <v>0</v>
      </c>
      <c r="AE302" s="39">
        <v>4.5768235056156605E-4</v>
      </c>
      <c r="AF302" s="40">
        <v>4.5953328402535036E-4</v>
      </c>
      <c r="AG302" s="40">
        <v>1.8509334637843147E-6</v>
      </c>
      <c r="AH302" s="41">
        <v>2.3797434088660457E-2</v>
      </c>
      <c r="AI302" s="42">
        <v>458.7015051784976</v>
      </c>
      <c r="AJ302" s="41">
        <v>1.9973572477970711</v>
      </c>
      <c r="AK302" s="30">
        <v>38499.561445587336</v>
      </c>
      <c r="AL302" s="43">
        <f>+$AL$6*W302/H302*10^6</f>
        <v>9.0610415967787556</v>
      </c>
      <c r="AM302" s="30">
        <v>2639551.5</v>
      </c>
      <c r="AN302" s="44">
        <v>1.4585645116447752E-2</v>
      </c>
      <c r="AP302" s="32"/>
      <c r="AR302" s="32"/>
    </row>
    <row r="303" spans="1:44">
      <c r="A303" s="5" t="s">
        <v>857</v>
      </c>
      <c r="B303" s="5" t="s">
        <v>1138</v>
      </c>
      <c r="C303" s="5" t="s">
        <v>1982</v>
      </c>
      <c r="D303" s="29" t="s">
        <v>1983</v>
      </c>
      <c r="E303" s="5" t="s">
        <v>1063</v>
      </c>
      <c r="F303" s="30" t="s">
        <v>1158</v>
      </c>
      <c r="G303" s="5" t="s">
        <v>971</v>
      </c>
      <c r="H303" s="31">
        <v>47.85</v>
      </c>
      <c r="I303" s="32">
        <v>4078.4870000000001</v>
      </c>
      <c r="J303" s="32">
        <v>4065.6909999999998</v>
      </c>
      <c r="K303" s="33">
        <v>1</v>
      </c>
      <c r="L303" s="33">
        <v>1</v>
      </c>
      <c r="M303" s="6">
        <v>0</v>
      </c>
      <c r="N303" s="6">
        <v>0</v>
      </c>
      <c r="O303" s="6">
        <v>1</v>
      </c>
      <c r="P303" s="6">
        <v>1</v>
      </c>
      <c r="Q303" s="34">
        <v>4078.4870000000001</v>
      </c>
      <c r="R303" s="34">
        <v>4065.6909999999998</v>
      </c>
      <c r="S303" s="34">
        <v>195155.60295</v>
      </c>
      <c r="T303" s="34">
        <v>194543.31435</v>
      </c>
      <c r="U303" s="35">
        <v>1.0598482076360431E-2</v>
      </c>
      <c r="V303" s="36">
        <v>1.0603261957148984E-2</v>
      </c>
      <c r="W303" s="36">
        <v>4.7798807885530981E-6</v>
      </c>
      <c r="X303" s="37">
        <v>10.033657481157634</v>
      </c>
      <c r="Y303" s="38">
        <v>209689.81151844584</v>
      </c>
      <c r="Z303" s="39">
        <v>0</v>
      </c>
      <c r="AA303" s="40">
        <v>0</v>
      </c>
      <c r="AB303" s="40">
        <v>0</v>
      </c>
      <c r="AC303" s="41">
        <v>0</v>
      </c>
      <c r="AD303" s="42">
        <v>0</v>
      </c>
      <c r="AE303" s="39">
        <v>2.2768423360227871E-2</v>
      </c>
      <c r="AF303" s="40">
        <v>2.2770326874679184E-2</v>
      </c>
      <c r="AG303" s="40">
        <v>1.9035144513124269E-6</v>
      </c>
      <c r="AH303" s="41">
        <v>2.4473467349444781E-2</v>
      </c>
      <c r="AI303" s="42">
        <v>511.46222255892957</v>
      </c>
      <c r="AJ303" s="41">
        <v>10.058130948507079</v>
      </c>
      <c r="AK303" s="30">
        <v>210201.27374100478</v>
      </c>
      <c r="AL303" s="43">
        <f>+$AL$6*W303/H303*10^6</f>
        <v>49.946507717378246</v>
      </c>
      <c r="AM303" s="30">
        <v>14745005</v>
      </c>
      <c r="AN303" s="44">
        <v>1.4255761441993732E-2</v>
      </c>
      <c r="AP303" s="32"/>
      <c r="AR303" s="32"/>
    </row>
    <row r="304" spans="1:44">
      <c r="A304" s="5" t="s">
        <v>286</v>
      </c>
      <c r="B304" s="5" t="s">
        <v>586</v>
      </c>
      <c r="C304" s="5" t="s">
        <v>2248</v>
      </c>
      <c r="D304" s="29" t="s">
        <v>2249</v>
      </c>
      <c r="E304" s="5" t="s">
        <v>113</v>
      </c>
      <c r="F304" s="30" t="s">
        <v>1163</v>
      </c>
      <c r="G304" s="5" t="s">
        <v>971</v>
      </c>
      <c r="H304" s="31">
        <v>144.78</v>
      </c>
      <c r="I304" s="32">
        <v>85.046999999999997</v>
      </c>
      <c r="J304" s="32">
        <v>84.832920000000001</v>
      </c>
      <c r="K304" s="33">
        <v>1</v>
      </c>
      <c r="L304" s="33">
        <v>1</v>
      </c>
      <c r="M304" s="6">
        <v>1</v>
      </c>
      <c r="N304" s="6">
        <v>1</v>
      </c>
      <c r="O304" s="6">
        <v>0</v>
      </c>
      <c r="P304" s="6">
        <v>0</v>
      </c>
      <c r="Q304" s="34">
        <v>85.046999999999997</v>
      </c>
      <c r="R304" s="34">
        <v>84.832920000000001</v>
      </c>
      <c r="S304" s="34">
        <v>12313.104659999999</v>
      </c>
      <c r="T304" s="34">
        <v>12282.1101576</v>
      </c>
      <c r="U304" s="35">
        <v>6.6869829546628492E-4</v>
      </c>
      <c r="V304" s="36">
        <v>6.6941612371884218E-4</v>
      </c>
      <c r="W304" s="36">
        <v>7.1782825255726438E-7</v>
      </c>
      <c r="X304" s="37">
        <v>1.5068247797530816</v>
      </c>
      <c r="Y304" s="38">
        <v>10407.686004648996</v>
      </c>
      <c r="Z304" s="39">
        <v>1.2510500697009732E-3</v>
      </c>
      <c r="AA304" s="40">
        <v>1.2527938377559715E-3</v>
      </c>
      <c r="AB304" s="40">
        <v>1.7437680549983042E-6</v>
      </c>
      <c r="AC304" s="41">
        <v>3.4325082718856835E-2</v>
      </c>
      <c r="AD304" s="42">
        <v>237.08442270242324</v>
      </c>
      <c r="AE304" s="39">
        <v>0</v>
      </c>
      <c r="AF304" s="40">
        <v>0</v>
      </c>
      <c r="AG304" s="40">
        <v>0</v>
      </c>
      <c r="AH304" s="41">
        <v>0</v>
      </c>
      <c r="AI304" s="42">
        <v>0</v>
      </c>
      <c r="AJ304" s="41">
        <v>1.5411498624719384</v>
      </c>
      <c r="AK304" s="30">
        <v>10644.770427351419</v>
      </c>
      <c r="AL304" s="43">
        <f>+$AL$6*W304/H304*10^6</f>
        <v>2.4790311250078196</v>
      </c>
      <c r="AM304" s="30">
        <v>793746.5</v>
      </c>
      <c r="AN304" s="44">
        <v>1.34107935308709E-2</v>
      </c>
      <c r="AP304" s="32"/>
      <c r="AR304" s="32"/>
    </row>
    <row r="305" spans="1:44">
      <c r="A305" s="5" t="s">
        <v>334</v>
      </c>
      <c r="B305" s="5" t="s">
        <v>633</v>
      </c>
      <c r="C305" s="5" t="s">
        <v>2190</v>
      </c>
      <c r="D305" s="29" t="s">
        <v>2191</v>
      </c>
      <c r="E305" s="5" t="s">
        <v>159</v>
      </c>
      <c r="F305" s="30" t="s">
        <v>1161</v>
      </c>
      <c r="G305" s="5" t="s">
        <v>971</v>
      </c>
      <c r="H305" s="31">
        <v>80.680000000000007</v>
      </c>
      <c r="I305" s="32">
        <v>432.40100000000001</v>
      </c>
      <c r="J305" s="32">
        <v>431.2056</v>
      </c>
      <c r="K305" s="33">
        <v>1</v>
      </c>
      <c r="L305" s="33">
        <v>1</v>
      </c>
      <c r="M305" s="6">
        <v>0.56000000000000005</v>
      </c>
      <c r="N305" s="6">
        <v>0.56000000000000005</v>
      </c>
      <c r="O305" s="6">
        <v>0.44</v>
      </c>
      <c r="P305" s="6">
        <v>0.44</v>
      </c>
      <c r="Q305" s="34">
        <v>432.40100000000001</v>
      </c>
      <c r="R305" s="34">
        <v>431.2056</v>
      </c>
      <c r="S305" s="34">
        <v>34886.112680000006</v>
      </c>
      <c r="T305" s="34">
        <v>34789.667808000006</v>
      </c>
      <c r="U305" s="35">
        <v>1.8945899290813595E-3</v>
      </c>
      <c r="V305" s="36">
        <v>1.8961533702811474E-3</v>
      </c>
      <c r="W305" s="36">
        <v>1.5634411997878569E-6</v>
      </c>
      <c r="X305" s="37">
        <v>3.2818880186654336</v>
      </c>
      <c r="Y305" s="38">
        <v>40677.838605173936</v>
      </c>
      <c r="Z305" s="39">
        <v>1.9849415680959228E-3</v>
      </c>
      <c r="AA305" s="40">
        <v>1.9872153316800693E-3</v>
      </c>
      <c r="AB305" s="40">
        <v>2.2737635841465521E-6</v>
      </c>
      <c r="AC305" s="41">
        <v>4.4757743373748576E-2</v>
      </c>
      <c r="AD305" s="42">
        <v>554.75636308562923</v>
      </c>
      <c r="AE305" s="39">
        <v>1.7908416626988557E-3</v>
      </c>
      <c r="AF305" s="40">
        <v>1.7916612997903932E-3</v>
      </c>
      <c r="AG305" s="40">
        <v>8.196370915375048E-7</v>
      </c>
      <c r="AH305" s="41">
        <v>1.0538066356316109E-2</v>
      </c>
      <c r="AI305" s="42">
        <v>130.61559688046739</v>
      </c>
      <c r="AJ305" s="41">
        <v>3.337183828395498</v>
      </c>
      <c r="AK305" s="30">
        <v>41363.210565140034</v>
      </c>
      <c r="AL305" s="43">
        <f>+$AL$6*W305/H305*10^6</f>
        <v>9.6891497260030786</v>
      </c>
      <c r="AM305" s="30">
        <v>3134188.75</v>
      </c>
      <c r="AN305" s="44">
        <v>1.3197421682130674E-2</v>
      </c>
      <c r="AP305" s="32"/>
      <c r="AR305" s="32"/>
    </row>
    <row r="306" spans="1:44">
      <c r="A306" s="5" t="s">
        <v>1232</v>
      </c>
      <c r="B306" s="5" t="s">
        <v>403</v>
      </c>
      <c r="C306" s="5" t="s">
        <v>2245</v>
      </c>
      <c r="D306" s="29" t="s">
        <v>2246</v>
      </c>
      <c r="E306" s="5" t="s">
        <v>751</v>
      </c>
      <c r="F306" s="30" t="s">
        <v>1160</v>
      </c>
      <c r="G306" s="5" t="s">
        <v>969</v>
      </c>
      <c r="H306" s="31">
        <v>14.2</v>
      </c>
      <c r="I306" s="32">
        <v>228.822</v>
      </c>
      <c r="J306" s="32">
        <v>229.00409999999999</v>
      </c>
      <c r="K306" s="33">
        <v>1</v>
      </c>
      <c r="L306" s="33">
        <v>1</v>
      </c>
      <c r="M306" s="6">
        <v>0</v>
      </c>
      <c r="N306" s="6">
        <v>0</v>
      </c>
      <c r="O306" s="6">
        <v>1</v>
      </c>
      <c r="P306" s="6">
        <v>1</v>
      </c>
      <c r="Q306" s="34">
        <v>228.822</v>
      </c>
      <c r="R306" s="34">
        <v>229.00409999999999</v>
      </c>
      <c r="S306" s="34">
        <v>3249.2723999999998</v>
      </c>
      <c r="T306" s="34">
        <v>3251.8582199999996</v>
      </c>
      <c r="U306" s="35">
        <v>1.7646101250516334E-4</v>
      </c>
      <c r="V306" s="36">
        <v>1.772371601119903E-4</v>
      </c>
      <c r="W306" s="36">
        <v>7.7614760682695591E-7</v>
      </c>
      <c r="X306" s="37">
        <v>1.6292454950700221</v>
      </c>
      <c r="Y306" s="38">
        <v>114735.59824436775</v>
      </c>
      <c r="Z306" s="39">
        <v>0</v>
      </c>
      <c r="AA306" s="40">
        <v>0</v>
      </c>
      <c r="AB306" s="40">
        <v>0</v>
      </c>
      <c r="AC306" s="41">
        <v>0</v>
      </c>
      <c r="AD306" s="42">
        <v>0</v>
      </c>
      <c r="AE306" s="39">
        <v>3.7908627012291313E-4</v>
      </c>
      <c r="AF306" s="40">
        <v>3.8061382302913564E-4</v>
      </c>
      <c r="AG306" s="40">
        <v>1.527552906222516E-6</v>
      </c>
      <c r="AH306" s="41">
        <v>1.9639733309726393E-2</v>
      </c>
      <c r="AI306" s="42">
        <v>1383.0798105441122</v>
      </c>
      <c r="AJ306" s="41">
        <v>1.6488852283797486</v>
      </c>
      <c r="AK306" s="30">
        <v>116118.67805491186</v>
      </c>
      <c r="AL306" s="43">
        <f>+$AL$6*W306/H306*10^6</f>
        <v>27.329141085456197</v>
      </c>
      <c r="AM306" s="30">
        <v>8860760</v>
      </c>
      <c r="AN306" s="44">
        <v>1.3104821488778824E-2</v>
      </c>
      <c r="AP306" s="32"/>
      <c r="AR306" s="32"/>
    </row>
    <row r="307" spans="1:44">
      <c r="A307" s="5" t="s">
        <v>1274</v>
      </c>
      <c r="B307" s="5" t="s">
        <v>447</v>
      </c>
      <c r="C307" s="5" t="s">
        <v>2134</v>
      </c>
      <c r="D307" s="29" t="s">
        <v>2135</v>
      </c>
      <c r="E307" s="5" t="s">
        <v>1635</v>
      </c>
      <c r="F307" s="30" t="s">
        <v>1148</v>
      </c>
      <c r="G307" s="5" t="s">
        <v>969</v>
      </c>
      <c r="H307" s="31">
        <v>10.25</v>
      </c>
      <c r="I307" s="32">
        <v>1040.0450000000001</v>
      </c>
      <c r="J307" s="32">
        <v>1040.2280000000001</v>
      </c>
      <c r="K307" s="33">
        <v>1</v>
      </c>
      <c r="L307" s="33">
        <v>1</v>
      </c>
      <c r="M307" s="6">
        <v>0</v>
      </c>
      <c r="N307" s="6">
        <v>0</v>
      </c>
      <c r="O307" s="6">
        <v>1</v>
      </c>
      <c r="P307" s="6">
        <v>1</v>
      </c>
      <c r="Q307" s="34">
        <v>1040.0450000000001</v>
      </c>
      <c r="R307" s="34">
        <v>1040.2280000000001</v>
      </c>
      <c r="S307" s="34">
        <v>10660.46125</v>
      </c>
      <c r="T307" s="34">
        <v>10662.337000000001</v>
      </c>
      <c r="U307" s="35">
        <v>5.7894677773001092E-4</v>
      </c>
      <c r="V307" s="36">
        <v>5.8113306367858764E-4</v>
      </c>
      <c r="W307" s="36">
        <v>2.1862859485767159E-6</v>
      </c>
      <c r="X307" s="37">
        <v>4.5893287582443847</v>
      </c>
      <c r="Y307" s="38">
        <v>447739.39104823262</v>
      </c>
      <c r="Z307" s="39">
        <v>0</v>
      </c>
      <c r="AA307" s="40">
        <v>0</v>
      </c>
      <c r="AB307" s="40">
        <v>0</v>
      </c>
      <c r="AC307" s="41">
        <v>0</v>
      </c>
      <c r="AD307" s="42">
        <v>0</v>
      </c>
      <c r="AE307" s="39">
        <v>1.2437352107051254E-3</v>
      </c>
      <c r="AF307" s="40">
        <v>1.2479734888303359E-3</v>
      </c>
      <c r="AG307" s="40">
        <v>4.2382781252105206E-6</v>
      </c>
      <c r="AH307" s="41">
        <v>5.4491501886780841E-2</v>
      </c>
      <c r="AI307" s="42">
        <v>5316.2440865152039</v>
      </c>
      <c r="AJ307" s="41">
        <v>4.6438202601311653</v>
      </c>
      <c r="AK307" s="30">
        <v>453055.63513474783</v>
      </c>
      <c r="AL307" s="43">
        <f>+$AL$6*W307/H307*10^6</f>
        <v>106.64809505252272</v>
      </c>
      <c r="AM307" s="30">
        <v>35086684</v>
      </c>
      <c r="AN307" s="44">
        <v>1.2912466596579712E-2</v>
      </c>
      <c r="AP307" s="32"/>
      <c r="AR307" s="32"/>
    </row>
    <row r="308" spans="1:44">
      <c r="A308" s="5" t="s">
        <v>1614</v>
      </c>
      <c r="B308" s="5" t="s">
        <v>1601</v>
      </c>
      <c r="C308" s="5" t="s">
        <v>2221</v>
      </c>
      <c r="D308" s="29" t="s">
        <v>1629</v>
      </c>
      <c r="E308" s="5" t="s">
        <v>1647</v>
      </c>
      <c r="F308" s="30" t="s">
        <v>1160</v>
      </c>
      <c r="G308" s="5" t="s">
        <v>969</v>
      </c>
      <c r="H308" s="31">
        <v>15.05</v>
      </c>
      <c r="I308" s="32">
        <v>363.351</v>
      </c>
      <c r="J308" s="32">
        <v>363.5539</v>
      </c>
      <c r="K308" s="33">
        <v>0.94</v>
      </c>
      <c r="L308" s="33">
        <v>0.94</v>
      </c>
      <c r="M308" s="6">
        <v>0</v>
      </c>
      <c r="N308" s="6">
        <v>0</v>
      </c>
      <c r="O308" s="6">
        <v>1</v>
      </c>
      <c r="P308" s="6">
        <v>1</v>
      </c>
      <c r="Q308" s="34">
        <v>341.54993999999999</v>
      </c>
      <c r="R308" s="34">
        <v>341.74066599999998</v>
      </c>
      <c r="S308" s="34">
        <v>5140.3265970000002</v>
      </c>
      <c r="T308" s="34">
        <v>5143.1970233000002</v>
      </c>
      <c r="U308" s="35">
        <v>2.7916010855656199E-4</v>
      </c>
      <c r="V308" s="36">
        <v>2.8032145703638155E-4</v>
      </c>
      <c r="W308" s="36">
        <v>1.1613484798195565E-6</v>
      </c>
      <c r="X308" s="37">
        <v>2.437837548308365</v>
      </c>
      <c r="Y308" s="38">
        <v>161982.56134939301</v>
      </c>
      <c r="Z308" s="39">
        <v>0</v>
      </c>
      <c r="AA308" s="40">
        <v>0</v>
      </c>
      <c r="AB308" s="40">
        <v>0</v>
      </c>
      <c r="AC308" s="41">
        <v>0</v>
      </c>
      <c r="AD308" s="42">
        <v>0</v>
      </c>
      <c r="AE308" s="39">
        <v>5.9971187299357755E-4</v>
      </c>
      <c r="AF308" s="40">
        <v>6.0198561843519854E-4</v>
      </c>
      <c r="AG308" s="40">
        <v>2.2737454416209843E-6</v>
      </c>
      <c r="AH308" s="41">
        <v>2.9233523700381257E-2</v>
      </c>
      <c r="AI308" s="42">
        <v>1942.4268239455982</v>
      </c>
      <c r="AJ308" s="41">
        <v>2.4670710720087463</v>
      </c>
      <c r="AK308" s="30">
        <v>163924.98817333861</v>
      </c>
      <c r="AL308" s="43">
        <f>+$AL$6*W308/H308*10^6</f>
        <v>38.583005974071639</v>
      </c>
      <c r="AM308" s="30">
        <v>16339537</v>
      </c>
      <c r="AN308" s="44">
        <v>1.0032413291352051E-2</v>
      </c>
      <c r="AP308" s="32"/>
      <c r="AR308" s="32"/>
    </row>
    <row r="309" spans="1:44">
      <c r="A309" s="5" t="s">
        <v>266</v>
      </c>
      <c r="B309" s="5" t="s">
        <v>567</v>
      </c>
      <c r="C309" s="5" t="s">
        <v>2217</v>
      </c>
      <c r="D309" s="29" t="s">
        <v>2218</v>
      </c>
      <c r="E309" s="5" t="s">
        <v>96</v>
      </c>
      <c r="F309" s="30" t="s">
        <v>1153</v>
      </c>
      <c r="G309" s="5" t="s">
        <v>971</v>
      </c>
      <c r="H309" s="31">
        <v>85.73</v>
      </c>
      <c r="I309" s="32">
        <v>716.673</v>
      </c>
      <c r="J309" s="32">
        <v>714.55070000000001</v>
      </c>
      <c r="K309" s="33">
        <v>0.57999999999999996</v>
      </c>
      <c r="L309" s="33">
        <v>0.57999999999999996</v>
      </c>
      <c r="M309" s="6">
        <v>1</v>
      </c>
      <c r="N309" s="6">
        <v>1</v>
      </c>
      <c r="O309" s="6">
        <v>0</v>
      </c>
      <c r="P309" s="6">
        <v>0</v>
      </c>
      <c r="Q309" s="34">
        <v>415.67033999999995</v>
      </c>
      <c r="R309" s="34">
        <v>414.43940599999996</v>
      </c>
      <c r="S309" s="34">
        <v>35635.418248199996</v>
      </c>
      <c r="T309" s="34">
        <v>35529.89027638</v>
      </c>
      <c r="U309" s="35">
        <v>1.9352831068033401E-3</v>
      </c>
      <c r="V309" s="36">
        <v>1.9364979730500706E-3</v>
      </c>
      <c r="W309" s="36">
        <v>1.2148662467304124E-6</v>
      </c>
      <c r="X309" s="37">
        <v>2.5501790409300895</v>
      </c>
      <c r="Y309" s="38">
        <v>29746.635261053183</v>
      </c>
      <c r="Z309" s="39">
        <v>3.6206703113684036E-3</v>
      </c>
      <c r="AA309" s="40">
        <v>3.6241026194388506E-3</v>
      </c>
      <c r="AB309" s="40">
        <v>3.4323080704470182E-6</v>
      </c>
      <c r="AC309" s="41">
        <v>6.7563032879856461E-2</v>
      </c>
      <c r="AD309" s="42">
        <v>788.09090026660976</v>
      </c>
      <c r="AE309" s="39">
        <v>0</v>
      </c>
      <c r="AF309" s="40">
        <v>0</v>
      </c>
      <c r="AG309" s="40">
        <v>0</v>
      </c>
      <c r="AH309" s="41">
        <v>0</v>
      </c>
      <c r="AI309" s="42">
        <v>0</v>
      </c>
      <c r="AJ309" s="41">
        <v>2.6177420738099459</v>
      </c>
      <c r="AK309" s="30">
        <v>30534.726161319792</v>
      </c>
      <c r="AL309" s="43">
        <f>+$AL$6*W309/H309*10^6</f>
        <v>7.0854207787846279</v>
      </c>
      <c r="AM309" s="30">
        <v>3057268.5</v>
      </c>
      <c r="AN309" s="44">
        <v>9.9875840677126626E-3</v>
      </c>
      <c r="AP309" s="32"/>
      <c r="AR309" s="32"/>
    </row>
    <row r="310" spans="1:44">
      <c r="A310" s="5" t="s">
        <v>823</v>
      </c>
      <c r="B310" s="5" t="s">
        <v>181</v>
      </c>
      <c r="C310" s="5" t="s">
        <v>1872</v>
      </c>
      <c r="D310" s="29" t="s">
        <v>1873</v>
      </c>
      <c r="E310" s="5" t="s">
        <v>678</v>
      </c>
      <c r="F310" s="30" t="s">
        <v>1159</v>
      </c>
      <c r="G310" s="5" t="s">
        <v>969</v>
      </c>
      <c r="H310" s="31">
        <v>120.51</v>
      </c>
      <c r="I310" s="32">
        <v>424.36099999999999</v>
      </c>
      <c r="J310" s="32">
        <v>424.36269999999996</v>
      </c>
      <c r="K310" s="33">
        <v>1</v>
      </c>
      <c r="L310" s="33">
        <v>1</v>
      </c>
      <c r="M310" s="6">
        <v>1</v>
      </c>
      <c r="N310" s="6">
        <v>1</v>
      </c>
      <c r="O310" s="6">
        <v>0</v>
      </c>
      <c r="P310" s="6">
        <v>0</v>
      </c>
      <c r="Q310" s="34">
        <v>424.36099999999999</v>
      </c>
      <c r="R310" s="34">
        <v>424.36269999999996</v>
      </c>
      <c r="S310" s="34">
        <v>51139.74411</v>
      </c>
      <c r="T310" s="34">
        <v>51139.948977</v>
      </c>
      <c r="U310" s="35">
        <v>2.7772897787534108E-3</v>
      </c>
      <c r="V310" s="36">
        <v>2.7872984342335702E-3</v>
      </c>
      <c r="W310" s="36">
        <v>1.0008655480159452E-5</v>
      </c>
      <c r="X310" s="37">
        <v>21.009607849494106</v>
      </c>
      <c r="Y310" s="38">
        <v>174339.12413487764</v>
      </c>
      <c r="Z310" s="39">
        <v>5.1959584686341355E-3</v>
      </c>
      <c r="AA310" s="40">
        <v>5.2163522488760713E-3</v>
      </c>
      <c r="AB310" s="40">
        <v>2.0393780241935791E-5</v>
      </c>
      <c r="AC310" s="41">
        <v>0.40143996889271771</v>
      </c>
      <c r="AD310" s="42">
        <v>3331.1755778999063</v>
      </c>
      <c r="AE310" s="39">
        <v>0</v>
      </c>
      <c r="AF310" s="40">
        <v>0</v>
      </c>
      <c r="AG310" s="40">
        <v>0</v>
      </c>
      <c r="AH310" s="41">
        <v>0</v>
      </c>
      <c r="AI310" s="42">
        <v>0</v>
      </c>
      <c r="AJ310" s="41">
        <v>21.411047818386823</v>
      </c>
      <c r="AK310" s="30">
        <v>177670.29971277755</v>
      </c>
      <c r="AL310" s="43">
        <f>+$AL$6*W310/H310*10^6</f>
        <v>41.52624462766348</v>
      </c>
      <c r="AM310" s="30">
        <v>17987508</v>
      </c>
      <c r="AN310" s="44">
        <v>9.8774271407010665E-3</v>
      </c>
      <c r="AP310" s="32"/>
      <c r="AR310" s="32"/>
    </row>
    <row r="311" spans="1:44">
      <c r="A311" s="5" t="s">
        <v>1420</v>
      </c>
      <c r="B311" s="5" t="s">
        <v>1418</v>
      </c>
      <c r="C311" s="5" t="s">
        <v>2247</v>
      </c>
      <c r="D311" s="29" t="s">
        <v>1425</v>
      </c>
      <c r="E311" s="5" t="s">
        <v>1422</v>
      </c>
      <c r="F311" s="30" t="s">
        <v>1151</v>
      </c>
      <c r="G311" s="5" t="s">
        <v>971</v>
      </c>
      <c r="H311" s="31">
        <v>103.77</v>
      </c>
      <c r="I311" s="32">
        <v>626.255</v>
      </c>
      <c r="J311" s="32">
        <v>624.13459999999998</v>
      </c>
      <c r="K311" s="33">
        <v>1</v>
      </c>
      <c r="L311" s="33">
        <v>1</v>
      </c>
      <c r="M311" s="6">
        <v>0.56999999999999995</v>
      </c>
      <c r="N311" s="6">
        <v>0.56999999999999995</v>
      </c>
      <c r="O311" s="6">
        <v>0.43</v>
      </c>
      <c r="P311" s="6">
        <v>0.43</v>
      </c>
      <c r="Q311" s="34">
        <v>626.255</v>
      </c>
      <c r="R311" s="34">
        <v>624.13459999999998</v>
      </c>
      <c r="S311" s="34">
        <v>64986.481349999995</v>
      </c>
      <c r="T311" s="34">
        <v>64766.447441999997</v>
      </c>
      <c r="U311" s="35">
        <v>3.5292763691246428E-3</v>
      </c>
      <c r="V311" s="36">
        <v>3.5299882216767E-3</v>
      </c>
      <c r="W311" s="36">
        <v>7.1185255205719056E-7</v>
      </c>
      <c r="X311" s="37">
        <v>1.4942809246487216</v>
      </c>
      <c r="Y311" s="38">
        <v>14399.931816986815</v>
      </c>
      <c r="Z311" s="39">
        <v>3.7636133398095341E-3</v>
      </c>
      <c r="AA311" s="40">
        <v>3.7655771661623846E-3</v>
      </c>
      <c r="AB311" s="40">
        <v>1.9638263528505215E-6</v>
      </c>
      <c r="AC311" s="41">
        <v>3.8656805194846072E-2</v>
      </c>
      <c r="AD311" s="42">
        <v>372.52390088509276</v>
      </c>
      <c r="AE311" s="39">
        <v>3.2601937633960805E-3</v>
      </c>
      <c r="AF311" s="40">
        <v>3.2596538667400876E-3</v>
      </c>
      <c r="AG311" s="40">
        <v>-5.3989665599286571E-7</v>
      </c>
      <c r="AH311" s="41">
        <v>-6.9414462146088138E-3</v>
      </c>
      <c r="AI311" s="42">
        <v>-66.89261072187351</v>
      </c>
      <c r="AJ311" s="41">
        <v>1.5259962836289589</v>
      </c>
      <c r="AK311" s="30">
        <v>14705.563107150034</v>
      </c>
      <c r="AL311" s="43">
        <f>+$AL$6*W311/H311*10^6</f>
        <v>3.4299535128514531</v>
      </c>
      <c r="AM311" s="30">
        <v>1980195.75</v>
      </c>
      <c r="AN311" s="44">
        <v>7.4263178815276391E-3</v>
      </c>
      <c r="AP311" s="32"/>
      <c r="AR311" s="32"/>
    </row>
    <row r="312" spans="1:44">
      <c r="A312" s="5" t="s">
        <v>337</v>
      </c>
      <c r="B312" s="5" t="s">
        <v>658</v>
      </c>
      <c r="C312" s="5" t="s">
        <v>2185</v>
      </c>
      <c r="D312" s="29" t="s">
        <v>1576</v>
      </c>
      <c r="E312" s="5" t="s">
        <v>224</v>
      </c>
      <c r="F312" s="30" t="s">
        <v>1152</v>
      </c>
      <c r="G312" s="5" t="s">
        <v>971</v>
      </c>
      <c r="H312" s="31">
        <v>89.9</v>
      </c>
      <c r="I312" s="32">
        <v>191.09800000000001</v>
      </c>
      <c r="J312" s="32">
        <v>190.738</v>
      </c>
      <c r="K312" s="33">
        <v>1</v>
      </c>
      <c r="L312" s="33">
        <v>1</v>
      </c>
      <c r="M312" s="6">
        <v>1</v>
      </c>
      <c r="N312" s="6">
        <v>1</v>
      </c>
      <c r="O312" s="6">
        <v>0</v>
      </c>
      <c r="P312" s="6">
        <v>0</v>
      </c>
      <c r="Q312" s="34">
        <v>191.09800000000001</v>
      </c>
      <c r="R312" s="34">
        <v>190.738</v>
      </c>
      <c r="S312" s="34">
        <v>17179.710200000001</v>
      </c>
      <c r="T312" s="34">
        <v>17147.3462</v>
      </c>
      <c r="U312" s="35">
        <v>9.3299320070465083E-4</v>
      </c>
      <c r="V312" s="36">
        <v>9.3458777669130021E-4</v>
      </c>
      <c r="W312" s="36">
        <v>1.5945759866493794E-6</v>
      </c>
      <c r="X312" s="37">
        <v>3.3472444158093735</v>
      </c>
      <c r="Y312" s="38">
        <v>37232.974591872895</v>
      </c>
      <c r="Z312" s="39">
        <v>1.7455124630730236E-3</v>
      </c>
      <c r="AA312" s="40">
        <v>1.7490552826490856E-3</v>
      </c>
      <c r="AB312" s="40">
        <v>3.5428195760620063E-6</v>
      </c>
      <c r="AC312" s="41">
        <v>6.9738389035021012E-2</v>
      </c>
      <c r="AD312" s="42">
        <v>775.73291473883205</v>
      </c>
      <c r="AE312" s="39">
        <v>0</v>
      </c>
      <c r="AF312" s="40">
        <v>0</v>
      </c>
      <c r="AG312" s="40">
        <v>0</v>
      </c>
      <c r="AH312" s="41">
        <v>0</v>
      </c>
      <c r="AI312" s="42">
        <v>0</v>
      </c>
      <c r="AJ312" s="41">
        <v>3.4169828048443946</v>
      </c>
      <c r="AK312" s="30">
        <v>38008.707506611725</v>
      </c>
      <c r="AL312" s="43">
        <f>+$AL$6*W312/H312*10^6</f>
        <v>8.8686094919320304</v>
      </c>
      <c r="AM312" s="30">
        <v>5281693.5</v>
      </c>
      <c r="AN312" s="44">
        <v>7.1963107110648745E-3</v>
      </c>
      <c r="AP312" s="32"/>
      <c r="AR312" s="32"/>
    </row>
    <row r="313" spans="1:44">
      <c r="A313" s="5" t="s">
        <v>1220</v>
      </c>
      <c r="B313" s="5" t="s">
        <v>390</v>
      </c>
      <c r="C313" s="5" t="s">
        <v>2161</v>
      </c>
      <c r="D313" s="29" t="s">
        <v>2162</v>
      </c>
      <c r="E313" s="5" t="s">
        <v>741</v>
      </c>
      <c r="F313" s="30" t="s">
        <v>1150</v>
      </c>
      <c r="G313" s="5" t="s">
        <v>971</v>
      </c>
      <c r="H313" s="31">
        <v>131.03</v>
      </c>
      <c r="I313" s="32">
        <v>793.14400000000001</v>
      </c>
      <c r="J313" s="32">
        <v>790.54019999999991</v>
      </c>
      <c r="K313" s="33">
        <v>1</v>
      </c>
      <c r="L313" s="33">
        <v>1</v>
      </c>
      <c r="M313" s="6">
        <v>1</v>
      </c>
      <c r="N313" s="6">
        <v>1</v>
      </c>
      <c r="O313" s="6">
        <v>0</v>
      </c>
      <c r="P313" s="6">
        <v>0</v>
      </c>
      <c r="Q313" s="34">
        <v>793.14400000000001</v>
      </c>
      <c r="R313" s="34">
        <v>790.54019999999991</v>
      </c>
      <c r="S313" s="34">
        <v>103925.65832</v>
      </c>
      <c r="T313" s="34">
        <v>103584.482406</v>
      </c>
      <c r="U313" s="35">
        <v>5.6439795236659304E-3</v>
      </c>
      <c r="V313" s="36">
        <v>5.6457010888100361E-3</v>
      </c>
      <c r="W313" s="36">
        <v>1.7215651441056593E-6</v>
      </c>
      <c r="X313" s="37">
        <v>3.6138129278920368</v>
      </c>
      <c r="Y313" s="38">
        <v>27580.042187987765</v>
      </c>
      <c r="Z313" s="39">
        <v>1.0559172984805567E-2</v>
      </c>
      <c r="AA313" s="40">
        <v>1.056577408769443E-2</v>
      </c>
      <c r="AB313" s="40">
        <v>6.6011028888625367E-6</v>
      </c>
      <c r="AC313" s="41">
        <v>0.12993895721762819</v>
      </c>
      <c r="AD313" s="42">
        <v>991.67333601181554</v>
      </c>
      <c r="AE313" s="39">
        <v>0</v>
      </c>
      <c r="AF313" s="40">
        <v>0</v>
      </c>
      <c r="AG313" s="40">
        <v>0</v>
      </c>
      <c r="AH313" s="41">
        <v>0</v>
      </c>
      <c r="AI313" s="42">
        <v>0</v>
      </c>
      <c r="AJ313" s="41">
        <v>3.7437518851096652</v>
      </c>
      <c r="AK313" s="30">
        <v>28571.715523999581</v>
      </c>
      <c r="AL313" s="43">
        <f>+$AL$6*W313/H313*10^6</f>
        <v>6.5693548962285711</v>
      </c>
      <c r="AM313" s="30">
        <v>4773999</v>
      </c>
      <c r="AN313" s="44">
        <v>5.9848599725302789E-3</v>
      </c>
      <c r="AP313" s="32"/>
      <c r="AR313" s="32"/>
    </row>
    <row r="314" spans="1:44">
      <c r="A314" s="5" t="s">
        <v>236</v>
      </c>
      <c r="B314" s="5" t="s">
        <v>536</v>
      </c>
      <c r="C314" s="5" t="s">
        <v>2266</v>
      </c>
      <c r="D314" s="29" t="s">
        <v>2267</v>
      </c>
      <c r="E314" s="5" t="s">
        <v>68</v>
      </c>
      <c r="F314" s="30" t="s">
        <v>1148</v>
      </c>
      <c r="G314" s="5" t="s">
        <v>971</v>
      </c>
      <c r="H314" s="31">
        <v>21.86</v>
      </c>
      <c r="I314" s="32">
        <v>161.251</v>
      </c>
      <c r="J314" s="32">
        <v>160.76759999999999</v>
      </c>
      <c r="K314" s="33">
        <v>1</v>
      </c>
      <c r="L314" s="33">
        <v>1</v>
      </c>
      <c r="M314" s="6">
        <v>0</v>
      </c>
      <c r="N314" s="6">
        <v>0</v>
      </c>
      <c r="O314" s="6">
        <v>1</v>
      </c>
      <c r="P314" s="6">
        <v>1</v>
      </c>
      <c r="Q314" s="34">
        <v>161.251</v>
      </c>
      <c r="R314" s="34">
        <v>160.76759999999999</v>
      </c>
      <c r="S314" s="34">
        <v>3524.94686</v>
      </c>
      <c r="T314" s="34">
        <v>3514.3797359999994</v>
      </c>
      <c r="U314" s="35">
        <v>1.9143230094912825E-4</v>
      </c>
      <c r="V314" s="36">
        <v>1.9154546164800695E-4</v>
      </c>
      <c r="W314" s="36">
        <v>1.1316069887870052E-7</v>
      </c>
      <c r="X314" s="37">
        <v>0.23754058795700589</v>
      </c>
      <c r="Y314" s="38">
        <v>10866.449586322318</v>
      </c>
      <c r="Z314" s="39">
        <v>0</v>
      </c>
      <c r="AA314" s="40">
        <v>0</v>
      </c>
      <c r="AB314" s="40">
        <v>0</v>
      </c>
      <c r="AC314" s="41">
        <v>0</v>
      </c>
      <c r="AD314" s="42">
        <v>0</v>
      </c>
      <c r="AE314" s="39">
        <v>4.1124867140682772E-4</v>
      </c>
      <c r="AF314" s="40">
        <v>4.113406601395692E-4</v>
      </c>
      <c r="AG314" s="40">
        <v>9.198873274148282E-8</v>
      </c>
      <c r="AH314" s="41">
        <v>1.182698269358174E-3</v>
      </c>
      <c r="AI314" s="42">
        <v>54.103306009065598</v>
      </c>
      <c r="AJ314" s="41">
        <v>0.23872328622636407</v>
      </c>
      <c r="AK314" s="30">
        <v>10920.552892331383</v>
      </c>
      <c r="AL314" s="43">
        <f>+$AL$6*W314/H314*10^6</f>
        <v>2.5883050978659772</v>
      </c>
      <c r="AM314" s="30">
        <v>1891550.125</v>
      </c>
      <c r="AN314" s="44">
        <v>5.7733351857812299E-3</v>
      </c>
      <c r="AP314" s="32"/>
      <c r="AR314" s="32"/>
    </row>
    <row r="315" spans="1:44">
      <c r="A315" s="5" t="s">
        <v>986</v>
      </c>
      <c r="B315" s="5" t="s">
        <v>1076</v>
      </c>
      <c r="C315" s="5" t="s">
        <v>2034</v>
      </c>
      <c r="D315" s="29" t="s">
        <v>2035</v>
      </c>
      <c r="E315" s="5" t="s">
        <v>873</v>
      </c>
      <c r="F315" s="30" t="s">
        <v>1165</v>
      </c>
      <c r="G315" s="5" t="s">
        <v>971</v>
      </c>
      <c r="H315" s="31">
        <v>17.52</v>
      </c>
      <c r="I315" s="32">
        <v>10502.1</v>
      </c>
      <c r="J315" s="32">
        <v>10468.549999999999</v>
      </c>
      <c r="K315" s="33">
        <v>1</v>
      </c>
      <c r="L315" s="33">
        <v>1</v>
      </c>
      <c r="M315" s="6">
        <v>0</v>
      </c>
      <c r="N315" s="6">
        <v>0</v>
      </c>
      <c r="O315" s="6">
        <v>1</v>
      </c>
      <c r="P315" s="6">
        <v>1</v>
      </c>
      <c r="Q315" s="34">
        <v>10502.1</v>
      </c>
      <c r="R315" s="34">
        <v>10468.549999999999</v>
      </c>
      <c r="S315" s="34">
        <v>183996.79200000002</v>
      </c>
      <c r="T315" s="34">
        <v>183408.99599999998</v>
      </c>
      <c r="U315" s="35">
        <v>9.9924709956671961E-3</v>
      </c>
      <c r="V315" s="36">
        <v>9.996404329716253E-3</v>
      </c>
      <c r="W315" s="36">
        <v>3.9333340490568802E-6</v>
      </c>
      <c r="X315" s="37">
        <v>8.2566340779302489</v>
      </c>
      <c r="Y315" s="38">
        <v>471269.06837501418</v>
      </c>
      <c r="Z315" s="39">
        <v>0</v>
      </c>
      <c r="AA315" s="40">
        <v>0</v>
      </c>
      <c r="AB315" s="40">
        <v>0</v>
      </c>
      <c r="AC315" s="41">
        <v>0</v>
      </c>
      <c r="AD315" s="42">
        <v>0</v>
      </c>
      <c r="AE315" s="39">
        <v>2.1466546662527116E-2</v>
      </c>
      <c r="AF315" s="40">
        <v>2.1467110317465024E-2</v>
      </c>
      <c r="AG315" s="40">
        <v>5.6365493790802579E-7</v>
      </c>
      <c r="AH315" s="41">
        <v>7.2469062211397229E-3</v>
      </c>
      <c r="AI315" s="42">
        <v>413.63619983674221</v>
      </c>
      <c r="AJ315" s="41">
        <v>8.2638809841513883</v>
      </c>
      <c r="AK315" s="30">
        <v>471682.70457485091</v>
      </c>
      <c r="AL315" s="43">
        <f>+$AL$6*W315/H315*10^6</f>
        <v>112.25268404842694</v>
      </c>
      <c r="AM315" s="30">
        <v>82284568</v>
      </c>
      <c r="AN315" s="44">
        <v>5.7323349449297824E-3</v>
      </c>
      <c r="AP315" s="32"/>
      <c r="AR315" s="32"/>
    </row>
    <row r="316" spans="1:44">
      <c r="A316" s="5" t="s">
        <v>298</v>
      </c>
      <c r="B316" s="5" t="s">
        <v>598</v>
      </c>
      <c r="C316" s="5" t="s">
        <v>2263</v>
      </c>
      <c r="D316" s="29" t="s">
        <v>649</v>
      </c>
      <c r="E316" s="5" t="s">
        <v>124</v>
      </c>
      <c r="F316" s="30" t="s">
        <v>1151</v>
      </c>
      <c r="G316" s="5" t="s">
        <v>971</v>
      </c>
      <c r="H316" s="31">
        <v>30.52</v>
      </c>
      <c r="I316" s="32">
        <v>142</v>
      </c>
      <c r="J316" s="32">
        <v>141.6</v>
      </c>
      <c r="K316" s="33">
        <v>1</v>
      </c>
      <c r="L316" s="33">
        <v>1</v>
      </c>
      <c r="M316" s="6">
        <v>0.53</v>
      </c>
      <c r="N316" s="6">
        <v>0.53</v>
      </c>
      <c r="O316" s="6">
        <v>0.47</v>
      </c>
      <c r="P316" s="6">
        <v>0.47</v>
      </c>
      <c r="Q316" s="34">
        <v>142</v>
      </c>
      <c r="R316" s="34">
        <v>141.6</v>
      </c>
      <c r="S316" s="34">
        <v>4333.84</v>
      </c>
      <c r="T316" s="34">
        <v>4321.6319999999996</v>
      </c>
      <c r="U316" s="35">
        <v>2.3536155184630784E-4</v>
      </c>
      <c r="V316" s="36">
        <v>2.3554341269192876E-4</v>
      </c>
      <c r="W316" s="36">
        <v>1.8186084562091926E-7</v>
      </c>
      <c r="X316" s="37">
        <v>0.38175208021167994</v>
      </c>
      <c r="Y316" s="38">
        <v>12508.259508901703</v>
      </c>
      <c r="Z316" s="39">
        <v>2.3337582367781315E-4</v>
      </c>
      <c r="AA316" s="40">
        <v>2.3363089490842766E-4</v>
      </c>
      <c r="AB316" s="40">
        <v>2.550712306145092E-7</v>
      </c>
      <c r="AC316" s="41">
        <v>5.0209321503209611E-3</v>
      </c>
      <c r="AD316" s="42">
        <v>164.51284896202364</v>
      </c>
      <c r="AE316" s="39">
        <v>2.3764170810285353E-4</v>
      </c>
      <c r="AF316" s="40">
        <v>2.3773799471035157E-4</v>
      </c>
      <c r="AG316" s="40">
        <v>9.6286607498036365E-8</v>
      </c>
      <c r="AH316" s="41">
        <v>1.2379560045721067E-3</v>
      </c>
      <c r="AI316" s="42">
        <v>40.562123347709914</v>
      </c>
      <c r="AJ316" s="41">
        <v>0.38801096836657301</v>
      </c>
      <c r="AK316" s="30">
        <v>12713.334481211437</v>
      </c>
      <c r="AL316" s="43">
        <f>+$AL$6*W316/H316*10^6</f>
        <v>2.9793716517188606</v>
      </c>
      <c r="AM316" s="30">
        <v>2269352.25</v>
      </c>
      <c r="AN316" s="44">
        <v>5.6021864746697821E-3</v>
      </c>
      <c r="AP316" s="32"/>
      <c r="AR316" s="32"/>
    </row>
    <row r="317" spans="1:44">
      <c r="A317" s="5" t="s">
        <v>234</v>
      </c>
      <c r="B317" s="5" t="s">
        <v>534</v>
      </c>
      <c r="C317" s="5" t="s">
        <v>2264</v>
      </c>
      <c r="D317" s="29" t="s">
        <v>2265</v>
      </c>
      <c r="E317" s="5" t="s">
        <v>67</v>
      </c>
      <c r="F317" s="30" t="s">
        <v>1166</v>
      </c>
      <c r="G317" s="5" t="s">
        <v>971</v>
      </c>
      <c r="H317" s="31">
        <v>42.91</v>
      </c>
      <c r="I317" s="32">
        <v>268.7</v>
      </c>
      <c r="J317" s="32">
        <v>267.8</v>
      </c>
      <c r="K317" s="33">
        <v>1</v>
      </c>
      <c r="L317" s="33">
        <v>1</v>
      </c>
      <c r="M317" s="6">
        <v>0.66</v>
      </c>
      <c r="N317" s="6">
        <v>0.66</v>
      </c>
      <c r="O317" s="6">
        <v>0.34</v>
      </c>
      <c r="P317" s="6">
        <v>0.34</v>
      </c>
      <c r="Q317" s="34">
        <v>268.7</v>
      </c>
      <c r="R317" s="34">
        <v>267.8</v>
      </c>
      <c r="S317" s="34">
        <v>11529.916999999999</v>
      </c>
      <c r="T317" s="34">
        <v>11491.297999999999</v>
      </c>
      <c r="U317" s="35">
        <v>6.2616505403501879E-4</v>
      </c>
      <c r="V317" s="36">
        <v>6.2631421351469442E-4</v>
      </c>
      <c r="W317" s="36">
        <v>1.4915947967562848E-7</v>
      </c>
      <c r="X317" s="37">
        <v>0.31310720817913645</v>
      </c>
      <c r="Y317" s="38">
        <v>7296.8354271530288</v>
      </c>
      <c r="Z317" s="39">
        <v>7.7317399232499078E-4</v>
      </c>
      <c r="AA317" s="40">
        <v>7.7360566797914272E-4</v>
      </c>
      <c r="AB317" s="40">
        <v>4.3167565415194037E-7</v>
      </c>
      <c r="AC317" s="41">
        <v>8.4972898167333371E-3</v>
      </c>
      <c r="AD317" s="42">
        <v>198.0258638250603</v>
      </c>
      <c r="AE317" s="39">
        <v>4.5735879156247452E-4</v>
      </c>
      <c r="AF317" s="40">
        <v>4.5729974461740239E-4</v>
      </c>
      <c r="AG317" s="40">
        <v>-5.9046945072131762E-8</v>
      </c>
      <c r="AH317" s="41">
        <v>-7.5916601595061499E-4</v>
      </c>
      <c r="AI317" s="42">
        <v>-17.692053506190053</v>
      </c>
      <c r="AJ317" s="41">
        <v>0.32084533197991916</v>
      </c>
      <c r="AK317" s="30">
        <v>7477.1692374718996</v>
      </c>
      <c r="AL317" s="43">
        <f>+$AL$6*W317/H317*10^6</f>
        <v>1.7380503341368969</v>
      </c>
      <c r="AM317" s="30">
        <v>1337017.25</v>
      </c>
      <c r="AN317" s="44">
        <v>5.5924254062330904E-3</v>
      </c>
      <c r="AP317" s="32"/>
      <c r="AR317" s="32"/>
    </row>
    <row r="318" spans="1:44">
      <c r="A318" s="5" t="s">
        <v>324</v>
      </c>
      <c r="B318" s="5" t="s">
        <v>623</v>
      </c>
      <c r="C318" s="5" t="s">
        <v>2255</v>
      </c>
      <c r="D318" s="29" t="s">
        <v>2256</v>
      </c>
      <c r="E318" s="5" t="s">
        <v>150</v>
      </c>
      <c r="F318" s="30" t="s">
        <v>1166</v>
      </c>
      <c r="G318" s="5" t="s">
        <v>971</v>
      </c>
      <c r="H318" s="31">
        <v>172.79</v>
      </c>
      <c r="I318" s="32">
        <v>78.644000000000005</v>
      </c>
      <c r="J318" s="32">
        <v>78.41798</v>
      </c>
      <c r="K318" s="33">
        <v>1</v>
      </c>
      <c r="L318" s="33">
        <v>1</v>
      </c>
      <c r="M318" s="6">
        <v>0</v>
      </c>
      <c r="N318" s="6">
        <v>0</v>
      </c>
      <c r="O318" s="6">
        <v>1</v>
      </c>
      <c r="P318" s="6">
        <v>1</v>
      </c>
      <c r="Q318" s="34">
        <v>78.644000000000005</v>
      </c>
      <c r="R318" s="34">
        <v>78.41798</v>
      </c>
      <c r="S318" s="34">
        <v>13588.89676</v>
      </c>
      <c r="T318" s="34">
        <v>13549.842764199999</v>
      </c>
      <c r="U318" s="35">
        <v>7.3798382711702895E-4</v>
      </c>
      <c r="V318" s="36">
        <v>7.3851179510858527E-4</v>
      </c>
      <c r="W318" s="36">
        <v>5.2796799155632648E-7</v>
      </c>
      <c r="X318" s="37">
        <v>1.1082807757417898</v>
      </c>
      <c r="Y318" s="38">
        <v>6414.0330791237329</v>
      </c>
      <c r="Z318" s="39">
        <v>0</v>
      </c>
      <c r="AA318" s="40">
        <v>0</v>
      </c>
      <c r="AB318" s="40">
        <v>0</v>
      </c>
      <c r="AC318" s="41">
        <v>0</v>
      </c>
      <c r="AD318" s="42">
        <v>0</v>
      </c>
      <c r="AE318" s="39">
        <v>1.5853900669681432E-3</v>
      </c>
      <c r="AF318" s="40">
        <v>1.5859416699679585E-3</v>
      </c>
      <c r="AG318" s="40">
        <v>5.5160299981533815E-7</v>
      </c>
      <c r="AH318" s="41">
        <v>7.0919545667377524E-3</v>
      </c>
      <c r="AI318" s="42">
        <v>41.043778961385222</v>
      </c>
      <c r="AJ318" s="41">
        <v>1.1153727303085277</v>
      </c>
      <c r="AK318" s="30">
        <v>6455.0768580851181</v>
      </c>
      <c r="AL318" s="43">
        <f>+$AL$6*W318/H318*10^6</f>
        <v>1.5277735735758045</v>
      </c>
      <c r="AM318" s="30">
        <v>1173290.625</v>
      </c>
      <c r="AN318" s="44">
        <v>5.5016862152845701E-3</v>
      </c>
      <c r="AP318" s="32"/>
      <c r="AR318" s="32"/>
    </row>
    <row r="319" spans="1:44">
      <c r="A319" s="5" t="s">
        <v>292</v>
      </c>
      <c r="B319" s="5" t="s">
        <v>592</v>
      </c>
      <c r="C319" s="5" t="s">
        <v>2261</v>
      </c>
      <c r="D319" s="29" t="s">
        <v>1399</v>
      </c>
      <c r="E319" s="5" t="s">
        <v>1379</v>
      </c>
      <c r="F319" s="30" t="s">
        <v>1164</v>
      </c>
      <c r="G319" s="5" t="s">
        <v>971</v>
      </c>
      <c r="H319" s="31">
        <v>104.69</v>
      </c>
      <c r="I319" s="32">
        <v>153.726</v>
      </c>
      <c r="J319" s="32">
        <v>153.23859999999999</v>
      </c>
      <c r="K319" s="33">
        <v>1</v>
      </c>
      <c r="L319" s="33">
        <v>1</v>
      </c>
      <c r="M319" s="6">
        <v>0</v>
      </c>
      <c r="N319" s="6">
        <v>0</v>
      </c>
      <c r="O319" s="6">
        <v>1</v>
      </c>
      <c r="P319" s="6">
        <v>1</v>
      </c>
      <c r="Q319" s="34">
        <v>153.726</v>
      </c>
      <c r="R319" s="34">
        <v>153.23859999999999</v>
      </c>
      <c r="S319" s="34">
        <v>16093.57494</v>
      </c>
      <c r="T319" s="34">
        <v>16042.549033999998</v>
      </c>
      <c r="U319" s="35">
        <v>8.7400752511242934E-4</v>
      </c>
      <c r="V319" s="36">
        <v>8.7437263231713506E-4</v>
      </c>
      <c r="W319" s="36">
        <v>3.6510720470572539E-7</v>
      </c>
      <c r="X319" s="37">
        <v>0.76641255252499241</v>
      </c>
      <c r="Y319" s="38">
        <v>7320.7809009933371</v>
      </c>
      <c r="Z319" s="39">
        <v>0</v>
      </c>
      <c r="AA319" s="40">
        <v>0</v>
      </c>
      <c r="AB319" s="40">
        <v>0</v>
      </c>
      <c r="AC319" s="41">
        <v>0</v>
      </c>
      <c r="AD319" s="42">
        <v>0</v>
      </c>
      <c r="AE319" s="39">
        <v>1.8776059824803196E-3</v>
      </c>
      <c r="AF319" s="40">
        <v>1.8777005348539172E-3</v>
      </c>
      <c r="AG319" s="40">
        <v>9.4552373597562092E-8</v>
      </c>
      <c r="AH319" s="41">
        <v>1.2156589756683891E-3</v>
      </c>
      <c r="AI319" s="42">
        <v>11.611987541010498</v>
      </c>
      <c r="AJ319" s="41">
        <v>0.76762821150066085</v>
      </c>
      <c r="AK319" s="30">
        <v>7332.3928885343475</v>
      </c>
      <c r="AL319" s="43">
        <f>+$AL$6*W319/H319*10^6</f>
        <v>1.7437539626789826</v>
      </c>
      <c r="AM319" s="30">
        <v>1409482.375</v>
      </c>
      <c r="AN319" s="44">
        <v>5.2021884193722877E-3</v>
      </c>
      <c r="AP319" s="32"/>
      <c r="AR319" s="32"/>
    </row>
    <row r="320" spans="1:44">
      <c r="A320" s="5" t="s">
        <v>1302</v>
      </c>
      <c r="B320" s="5" t="s">
        <v>474</v>
      </c>
      <c r="C320" s="5" t="s">
        <v>2260</v>
      </c>
      <c r="D320" s="29" t="s">
        <v>642</v>
      </c>
      <c r="E320" s="5" t="s">
        <v>10</v>
      </c>
      <c r="F320" s="30" t="s">
        <v>1161</v>
      </c>
      <c r="G320" s="5" t="s">
        <v>971</v>
      </c>
      <c r="H320" s="31">
        <v>75.83</v>
      </c>
      <c r="I320" s="32">
        <v>170.886</v>
      </c>
      <c r="J320" s="32">
        <v>170.3793</v>
      </c>
      <c r="K320" s="33">
        <v>1</v>
      </c>
      <c r="L320" s="33">
        <v>1</v>
      </c>
      <c r="M320" s="6">
        <v>0.56000000000000005</v>
      </c>
      <c r="N320" s="6">
        <v>0.56000000000000005</v>
      </c>
      <c r="O320" s="6">
        <v>0.44</v>
      </c>
      <c r="P320" s="6">
        <v>0.44</v>
      </c>
      <c r="Q320" s="34">
        <v>170.886</v>
      </c>
      <c r="R320" s="34">
        <v>170.3793</v>
      </c>
      <c r="S320" s="34">
        <v>12958.285379999999</v>
      </c>
      <c r="T320" s="34">
        <v>12919.862319</v>
      </c>
      <c r="U320" s="35">
        <v>7.0373667608959322E-4</v>
      </c>
      <c r="V320" s="36">
        <v>7.0417575168989796E-4</v>
      </c>
      <c r="W320" s="36">
        <v>4.3907560030474399E-7</v>
      </c>
      <c r="X320" s="37">
        <v>0.9216828571000949</v>
      </c>
      <c r="Y320" s="38">
        <v>12154.593921931886</v>
      </c>
      <c r="Z320" s="39">
        <v>7.372973749740139E-4</v>
      </c>
      <c r="AA320" s="40">
        <v>7.3799349350523163E-4</v>
      </c>
      <c r="AB320" s="40">
        <v>6.9611853121772684E-7</v>
      </c>
      <c r="AC320" s="41">
        <v>1.3702697499066659E-2</v>
      </c>
      <c r="AD320" s="42">
        <v>180.70285505824421</v>
      </c>
      <c r="AE320" s="39">
        <v>6.6519986186220942E-4</v>
      </c>
      <c r="AF320" s="40">
        <v>6.6537046123359351E-4</v>
      </c>
      <c r="AG320" s="40">
        <v>1.7059937138408799E-7</v>
      </c>
      <c r="AH320" s="41">
        <v>2.1933945090490967E-3</v>
      </c>
      <c r="AI320" s="42">
        <v>28.92515507120001</v>
      </c>
      <c r="AJ320" s="41">
        <v>0.9375789491082106</v>
      </c>
      <c r="AK320" s="30">
        <v>12364.221932061329</v>
      </c>
      <c r="AL320" s="43">
        <f>+$AL$6*W320/H320*10^6</f>
        <v>2.895131216568271</v>
      </c>
      <c r="AM320" s="30">
        <v>2629855.5</v>
      </c>
      <c r="AN320" s="44">
        <v>4.7014833826654464E-3</v>
      </c>
      <c r="AP320" s="32"/>
      <c r="AR320" s="32"/>
    </row>
    <row r="321" spans="1:44">
      <c r="A321" s="5" t="s">
        <v>1039</v>
      </c>
      <c r="B321" s="5" t="s">
        <v>1145</v>
      </c>
      <c r="C321" s="5" t="s">
        <v>2209</v>
      </c>
      <c r="D321" s="29" t="s">
        <v>2210</v>
      </c>
      <c r="E321" s="5" t="s">
        <v>1040</v>
      </c>
      <c r="F321" s="30" t="s">
        <v>1160</v>
      </c>
      <c r="G321" s="5" t="s">
        <v>971</v>
      </c>
      <c r="H321" s="31">
        <v>84.83</v>
      </c>
      <c r="I321" s="32">
        <v>1269.7270000000001</v>
      </c>
      <c r="J321" s="32">
        <v>1265.4489999999998</v>
      </c>
      <c r="K321" s="33">
        <v>1</v>
      </c>
      <c r="L321" s="33">
        <v>1</v>
      </c>
      <c r="M321" s="6">
        <v>0.47</v>
      </c>
      <c r="N321" s="6">
        <v>0.47</v>
      </c>
      <c r="O321" s="6">
        <v>0.53</v>
      </c>
      <c r="P321" s="6">
        <v>0.53</v>
      </c>
      <c r="Q321" s="34">
        <v>1269.7270000000001</v>
      </c>
      <c r="R321" s="34">
        <v>1265.4489999999998</v>
      </c>
      <c r="S321" s="34">
        <v>107710.94141</v>
      </c>
      <c r="T321" s="34">
        <v>107348.03866999998</v>
      </c>
      <c r="U321" s="35">
        <v>5.849550126696957E-3</v>
      </c>
      <c r="V321" s="36">
        <v>5.850827505469447E-3</v>
      </c>
      <c r="W321" s="36">
        <v>1.2773787724899843E-6</v>
      </c>
      <c r="X321" s="37">
        <v>2.6814018264973951</v>
      </c>
      <c r="Y321" s="38">
        <v>31609.12208531646</v>
      </c>
      <c r="Z321" s="39">
        <v>5.1435717234058521E-3</v>
      </c>
      <c r="AA321" s="40">
        <v>5.1463413875295428E-3</v>
      </c>
      <c r="AB321" s="40">
        <v>2.7696641236906253E-6</v>
      </c>
      <c r="AC321" s="41">
        <v>5.4519263543466673E-2</v>
      </c>
      <c r="AD321" s="42">
        <v>642.68847746630524</v>
      </c>
      <c r="AE321" s="39">
        <v>6.6602054312801242E-3</v>
      </c>
      <c r="AF321" s="40">
        <v>6.6592134875487104E-3</v>
      </c>
      <c r="AG321" s="40">
        <v>-9.9194373141386211E-7</v>
      </c>
      <c r="AH321" s="41">
        <v>-1.275341120026993E-2</v>
      </c>
      <c r="AI321" s="42">
        <v>-150.34081339467087</v>
      </c>
      <c r="AJ321" s="41">
        <v>2.7231676788405919</v>
      </c>
      <c r="AK321" s="30">
        <v>32101.469749388092</v>
      </c>
      <c r="AL321" s="43">
        <f>+$AL$6*W321/H321*10^6</f>
        <v>7.5290508811150794</v>
      </c>
      <c r="AM321" s="30">
        <v>7105336</v>
      </c>
      <c r="AN321" s="44">
        <v>4.5179383141610886E-3</v>
      </c>
      <c r="AP321" s="32"/>
      <c r="AR321" s="32"/>
    </row>
    <row r="322" spans="1:44">
      <c r="A322" s="5" t="s">
        <v>1458</v>
      </c>
      <c r="B322" s="5" t="s">
        <v>1455</v>
      </c>
      <c r="C322" s="5" t="s">
        <v>2262</v>
      </c>
      <c r="D322" s="29" t="s">
        <v>1461</v>
      </c>
      <c r="E322" s="5" t="s">
        <v>1463</v>
      </c>
      <c r="F322" s="30" t="s">
        <v>1159</v>
      </c>
      <c r="G322" s="5" t="s">
        <v>967</v>
      </c>
      <c r="H322" s="31">
        <v>73.5</v>
      </c>
      <c r="I322" s="32">
        <v>143.51</v>
      </c>
      <c r="J322" s="32">
        <v>131.29640000000001</v>
      </c>
      <c r="K322" s="33">
        <v>0.78</v>
      </c>
      <c r="L322" s="33">
        <v>0.85</v>
      </c>
      <c r="M322" s="6">
        <v>1</v>
      </c>
      <c r="N322" s="6">
        <v>1</v>
      </c>
      <c r="O322" s="6">
        <v>0</v>
      </c>
      <c r="P322" s="6">
        <v>0</v>
      </c>
      <c r="Q322" s="34">
        <v>111.9378</v>
      </c>
      <c r="R322" s="34">
        <v>111.60194</v>
      </c>
      <c r="S322" s="34">
        <v>8227.4282999999996</v>
      </c>
      <c r="T322" s="34">
        <v>8202.7425899999998</v>
      </c>
      <c r="U322" s="35">
        <v>4.4681397845611057E-4</v>
      </c>
      <c r="V322" s="36">
        <v>4.4707693368663292E-4</v>
      </c>
      <c r="W322" s="36">
        <v>2.6295523052234518E-7</v>
      </c>
      <c r="X322" s="37">
        <v>0.55198086158519477</v>
      </c>
      <c r="Y322" s="38">
        <v>7509.9436950366635</v>
      </c>
      <c r="Z322" s="39">
        <v>8.3593253142824825E-4</v>
      </c>
      <c r="AA322" s="40">
        <v>8.3669216751745194E-4</v>
      </c>
      <c r="AB322" s="40">
        <v>7.5963608920368627E-7</v>
      </c>
      <c r="AC322" s="41">
        <v>1.4953004514221817E-2</v>
      </c>
      <c r="AD322" s="42">
        <v>203.4422382887322</v>
      </c>
      <c r="AE322" s="39">
        <v>0</v>
      </c>
      <c r="AF322" s="40">
        <v>0</v>
      </c>
      <c r="AG322" s="40">
        <v>0</v>
      </c>
      <c r="AH322" s="41">
        <v>0</v>
      </c>
      <c r="AI322" s="42">
        <v>0</v>
      </c>
      <c r="AJ322" s="41">
        <v>0.56693386609941654</v>
      </c>
      <c r="AK322" s="30">
        <v>7713.3859333253959</v>
      </c>
      <c r="AL322" s="43">
        <f>+$AL$6*W322/H322*10^6</f>
        <v>1.7888110919887426</v>
      </c>
      <c r="AM322" s="30">
        <v>2260860.25</v>
      </c>
      <c r="AN322" s="44">
        <v>3.4117039889243026E-3</v>
      </c>
      <c r="AP322" s="32"/>
      <c r="AR322" s="32"/>
    </row>
    <row r="323" spans="1:44">
      <c r="A323" s="5" t="s">
        <v>1022</v>
      </c>
      <c r="B323" s="5" t="s">
        <v>1107</v>
      </c>
      <c r="C323" s="5" t="s">
        <v>2222</v>
      </c>
      <c r="D323" s="29" t="s">
        <v>2223</v>
      </c>
      <c r="E323" s="5" t="s">
        <v>906</v>
      </c>
      <c r="F323" s="30" t="s">
        <v>1165</v>
      </c>
      <c r="G323" s="5" t="s">
        <v>971</v>
      </c>
      <c r="H323" s="31">
        <v>67.239999999999995</v>
      </c>
      <c r="I323" s="32">
        <v>3711.087</v>
      </c>
      <c r="J323" s="32">
        <v>3698.1</v>
      </c>
      <c r="K323" s="33">
        <v>1</v>
      </c>
      <c r="L323" s="33">
        <v>1</v>
      </c>
      <c r="M323" s="6">
        <v>0</v>
      </c>
      <c r="N323" s="6">
        <v>0</v>
      </c>
      <c r="O323" s="6">
        <v>1</v>
      </c>
      <c r="P323" s="6">
        <v>1</v>
      </c>
      <c r="Q323" s="34">
        <v>3711.087</v>
      </c>
      <c r="R323" s="34">
        <v>3698.1</v>
      </c>
      <c r="S323" s="34">
        <v>249533.48987999998</v>
      </c>
      <c r="T323" s="34">
        <v>248660.24399999998</v>
      </c>
      <c r="U323" s="35">
        <v>1.3551628444008489E-2</v>
      </c>
      <c r="V323" s="36">
        <v>1.3552815804901414E-2</v>
      </c>
      <c r="W323" s="36">
        <v>1.1873608929246354E-6</v>
      </c>
      <c r="X323" s="37">
        <v>2.4924413459553234</v>
      </c>
      <c r="Y323" s="38">
        <v>37067.836792910821</v>
      </c>
      <c r="Z323" s="39">
        <v>0</v>
      </c>
      <c r="AA323" s="40">
        <v>0</v>
      </c>
      <c r="AB323" s="40">
        <v>0</v>
      </c>
      <c r="AC323" s="41">
        <v>0</v>
      </c>
      <c r="AD323" s="42">
        <v>0</v>
      </c>
      <c r="AE323" s="39">
        <v>2.9112585312749673E-2</v>
      </c>
      <c r="AF323" s="40">
        <v>2.9104444198123032E-2</v>
      </c>
      <c r="AG323" s="40">
        <v>-8.141114626641216E-6</v>
      </c>
      <c r="AH323" s="41">
        <v>-0.10467023398000425</v>
      </c>
      <c r="AI323" s="42">
        <v>-1556.6661805473566</v>
      </c>
      <c r="AJ323" s="41">
        <v>2.3877711119753191</v>
      </c>
      <c r="AK323" s="30">
        <v>35511.170612363465</v>
      </c>
      <c r="AL323" s="43">
        <f>+$AL$6*W323/H323*10^6</f>
        <v>8.8292749325151352</v>
      </c>
      <c r="AM323" s="30">
        <v>13375296</v>
      </c>
      <c r="AN323" s="44">
        <v>2.6549820364621065E-3</v>
      </c>
      <c r="AP323" s="32"/>
      <c r="AR323" s="32"/>
    </row>
    <row r="324" spans="1:44">
      <c r="A324" s="5" t="s">
        <v>328</v>
      </c>
      <c r="B324" s="5" t="s">
        <v>627</v>
      </c>
      <c r="C324" s="5" t="s">
        <v>2268</v>
      </c>
      <c r="D324" s="29" t="s">
        <v>2269</v>
      </c>
      <c r="E324" s="5" t="s">
        <v>154</v>
      </c>
      <c r="F324" s="30" t="s">
        <v>1161</v>
      </c>
      <c r="G324" s="5" t="s">
        <v>970</v>
      </c>
      <c r="H324" s="31">
        <v>97.45</v>
      </c>
      <c r="I324" s="32">
        <v>101.91500000000001</v>
      </c>
      <c r="J324" s="32">
        <v>101.5368</v>
      </c>
      <c r="K324" s="33">
        <v>0.8</v>
      </c>
      <c r="L324" s="33">
        <v>0.8</v>
      </c>
      <c r="M324" s="6">
        <v>1</v>
      </c>
      <c r="N324" s="6">
        <v>1</v>
      </c>
      <c r="O324" s="6">
        <v>0</v>
      </c>
      <c r="P324" s="6">
        <v>0</v>
      </c>
      <c r="Q324" s="34">
        <v>81.532000000000011</v>
      </c>
      <c r="R324" s="34">
        <v>81.229440000000011</v>
      </c>
      <c r="S324" s="34">
        <v>7945.2934000000014</v>
      </c>
      <c r="T324" s="34">
        <v>7915.8089280000013</v>
      </c>
      <c r="U324" s="35">
        <v>4.3149183737706693E-4</v>
      </c>
      <c r="V324" s="36">
        <v>4.3143808846249723E-4</v>
      </c>
      <c r="W324" s="36">
        <v>-5.3748914569703553E-8</v>
      </c>
      <c r="X324" s="37">
        <v>-0.11282670481404575</v>
      </c>
      <c r="Y324" s="38">
        <v>-1157.7907112780476</v>
      </c>
      <c r="Z324" s="39">
        <v>8.0726674030111637E-4</v>
      </c>
      <c r="AA324" s="40">
        <v>8.0742449942249365E-4</v>
      </c>
      <c r="AB324" s="40">
        <v>1.5775912137728186E-7</v>
      </c>
      <c r="AC324" s="41">
        <v>3.1053986081506931E-3</v>
      </c>
      <c r="AD324" s="42">
        <v>31.866583972813679</v>
      </c>
      <c r="AE324" s="39">
        <v>0</v>
      </c>
      <c r="AF324" s="40">
        <v>0</v>
      </c>
      <c r="AG324" s="40">
        <v>0</v>
      </c>
      <c r="AH324" s="41">
        <v>0</v>
      </c>
      <c r="AI324" s="42">
        <v>0</v>
      </c>
      <c r="AJ324" s="41">
        <v>-0.10972130620589506</v>
      </c>
      <c r="AK324" s="30">
        <v>-1125.9241273052339</v>
      </c>
      <c r="AL324" s="43">
        <f>+$AL$6*W324/H324*10^6</f>
        <v>-0.27577688337456929</v>
      </c>
      <c r="AM324" s="30">
        <v>2304529</v>
      </c>
      <c r="AN324" s="44">
        <v>-4.8857017087015778E-4</v>
      </c>
      <c r="AP324" s="32"/>
      <c r="AR324" s="32"/>
    </row>
    <row r="325" spans="1:44">
      <c r="A325" s="5" t="s">
        <v>1009</v>
      </c>
      <c r="B325" s="5" t="s">
        <v>1097</v>
      </c>
      <c r="C325" s="5" t="s">
        <v>2274</v>
      </c>
      <c r="D325" s="29" t="s">
        <v>2275</v>
      </c>
      <c r="E325" s="5" t="s">
        <v>894</v>
      </c>
      <c r="F325" s="30" t="s">
        <v>1167</v>
      </c>
      <c r="G325" s="5" t="s">
        <v>970</v>
      </c>
      <c r="H325" s="31">
        <v>165.31</v>
      </c>
      <c r="I325" s="32">
        <v>283.45699999999999</v>
      </c>
      <c r="J325" s="32">
        <v>282.43020000000001</v>
      </c>
      <c r="K325" s="33">
        <v>0.93</v>
      </c>
      <c r="L325" s="33">
        <v>0.93</v>
      </c>
      <c r="M325" s="6">
        <v>0.55000000000000004</v>
      </c>
      <c r="N325" s="6">
        <v>0.55000000000000004</v>
      </c>
      <c r="O325" s="6">
        <v>0.45</v>
      </c>
      <c r="P325" s="6">
        <v>0.45</v>
      </c>
      <c r="Q325" s="34">
        <v>263.61500999999998</v>
      </c>
      <c r="R325" s="34">
        <v>262.66008600000004</v>
      </c>
      <c r="S325" s="34">
        <v>43578.197303099994</v>
      </c>
      <c r="T325" s="34">
        <v>43420.338816660005</v>
      </c>
      <c r="U325" s="35">
        <v>2.3666383954927274E-3</v>
      </c>
      <c r="V325" s="36">
        <v>2.3665538354760247E-3</v>
      </c>
      <c r="W325" s="36">
        <v>-8.4560016702737301E-8</v>
      </c>
      <c r="X325" s="37">
        <v>-0.17750364114270412</v>
      </c>
      <c r="Y325" s="38">
        <v>-1073.7622717482554</v>
      </c>
      <c r="Z325" s="39">
        <v>2.4352248724747957E-3</v>
      </c>
      <c r="AA325" s="40">
        <v>2.4359171764975962E-3</v>
      </c>
      <c r="AB325" s="40">
        <v>6.9230402280047801E-7</v>
      </c>
      <c r="AC325" s="41">
        <v>1.3627611069665377E-2</v>
      </c>
      <c r="AD325" s="42">
        <v>82.436701165479263</v>
      </c>
      <c r="AE325" s="39">
        <v>2.2878824574512919E-3</v>
      </c>
      <c r="AF325" s="40">
        <v>2.2869605672424438E-3</v>
      </c>
      <c r="AG325" s="40">
        <v>-9.2189020884812442E-7</v>
      </c>
      <c r="AH325" s="41">
        <v>-1.1852733721281473E-2</v>
      </c>
      <c r="AI325" s="42">
        <v>-71.700040658650238</v>
      </c>
      <c r="AJ325" s="41">
        <v>-0.17572876379432023</v>
      </c>
      <c r="AK325" s="30">
        <v>-1063.0256112414265</v>
      </c>
      <c r="AL325" s="43">
        <f>+$AL$6*W325/H325*10^6</f>
        <v>-0.25576195240075406</v>
      </c>
      <c r="AM325" s="30">
        <v>1283175.75</v>
      </c>
      <c r="AN325" s="44">
        <v>-8.2843337028573561E-4</v>
      </c>
      <c r="AP325" s="32"/>
      <c r="AR325" s="32"/>
    </row>
    <row r="326" spans="1:44">
      <c r="A326" s="5" t="s">
        <v>270</v>
      </c>
      <c r="B326" s="5" t="s">
        <v>571</v>
      </c>
      <c r="C326" s="5" t="s">
        <v>2272</v>
      </c>
      <c r="D326" s="29" t="s">
        <v>2273</v>
      </c>
      <c r="E326" s="5" t="s">
        <v>99</v>
      </c>
      <c r="F326" s="30" t="s">
        <v>1164</v>
      </c>
      <c r="G326" s="5" t="s">
        <v>970</v>
      </c>
      <c r="H326" s="31">
        <v>115.84</v>
      </c>
      <c r="I326" s="32">
        <v>134.6</v>
      </c>
      <c r="J326" s="32">
        <v>134.10559999999998</v>
      </c>
      <c r="K326" s="33">
        <v>1</v>
      </c>
      <c r="L326" s="33">
        <v>1</v>
      </c>
      <c r="M326" s="6">
        <v>0.51</v>
      </c>
      <c r="N326" s="6">
        <v>0.51</v>
      </c>
      <c r="O326" s="6">
        <v>0.49</v>
      </c>
      <c r="P326" s="6">
        <v>0.49</v>
      </c>
      <c r="Q326" s="34">
        <v>134.6</v>
      </c>
      <c r="R326" s="34">
        <v>134.10559999999998</v>
      </c>
      <c r="S326" s="34">
        <v>15592.064</v>
      </c>
      <c r="T326" s="34">
        <v>15534.792703999998</v>
      </c>
      <c r="U326" s="35">
        <v>8.4677154198746377E-4</v>
      </c>
      <c r="V326" s="36">
        <v>8.4669821237945203E-4</v>
      </c>
      <c r="W326" s="36">
        <v>-7.3329608011739496E-8</v>
      </c>
      <c r="X326" s="37">
        <v>-0.15392939752375448</v>
      </c>
      <c r="Y326" s="38">
        <v>-1328.8104068003668</v>
      </c>
      <c r="Z326" s="39">
        <v>8.0794333998057959E-4</v>
      </c>
      <c r="AA326" s="40">
        <v>8.0813191573240247E-4</v>
      </c>
      <c r="AB326" s="40">
        <v>1.8857575182287811E-7</v>
      </c>
      <c r="AC326" s="41">
        <v>3.7120064572447988E-3</v>
      </c>
      <c r="AD326" s="42">
        <v>32.044254637817666</v>
      </c>
      <c r="AE326" s="39">
        <v>8.9135688309361109E-4</v>
      </c>
      <c r="AF326" s="40">
        <v>8.9095238970994745E-4</v>
      </c>
      <c r="AG326" s="40">
        <v>-4.0449338366364135E-7</v>
      </c>
      <c r="AH326" s="41">
        <v>-5.2005676191915441E-3</v>
      </c>
      <c r="AI326" s="42">
        <v>-44.894402789982252</v>
      </c>
      <c r="AJ326" s="41">
        <v>-0.15541795868570124</v>
      </c>
      <c r="AK326" s="30">
        <v>-1341.6605549525314</v>
      </c>
      <c r="AL326" s="43">
        <f>+$AL$6*W326/H326*10^6</f>
        <v>-0.31651246552028439</v>
      </c>
      <c r="AM326" s="30">
        <v>981688.375</v>
      </c>
      <c r="AN326" s="44">
        <v>-1.3666868113341277E-3</v>
      </c>
      <c r="AP326" s="32"/>
      <c r="AR326" s="32"/>
    </row>
    <row r="327" spans="1:44">
      <c r="A327" s="5" t="s">
        <v>1235</v>
      </c>
      <c r="B327" s="5" t="s">
        <v>406</v>
      </c>
      <c r="C327" s="5" t="s">
        <v>2276</v>
      </c>
      <c r="D327" s="29" t="s">
        <v>2277</v>
      </c>
      <c r="E327" s="5" t="s">
        <v>754</v>
      </c>
      <c r="F327" s="30" t="s">
        <v>1164</v>
      </c>
      <c r="G327" s="5" t="s">
        <v>970</v>
      </c>
      <c r="H327" s="31">
        <v>86.7</v>
      </c>
      <c r="I327" s="32">
        <v>132.26900000000001</v>
      </c>
      <c r="J327" s="32">
        <v>131.77019999999999</v>
      </c>
      <c r="K327" s="33">
        <v>1</v>
      </c>
      <c r="L327" s="33">
        <v>1</v>
      </c>
      <c r="M327" s="6">
        <v>0.63</v>
      </c>
      <c r="N327" s="6">
        <v>0.63</v>
      </c>
      <c r="O327" s="6">
        <v>0.37</v>
      </c>
      <c r="P327" s="6">
        <v>0.37</v>
      </c>
      <c r="Q327" s="34">
        <v>132.26900000000001</v>
      </c>
      <c r="R327" s="34">
        <v>131.77019999999999</v>
      </c>
      <c r="S327" s="34">
        <v>11467.722300000001</v>
      </c>
      <c r="T327" s="34">
        <v>11424.476339999999</v>
      </c>
      <c r="U327" s="35">
        <v>6.2278739332105267E-4</v>
      </c>
      <c r="V327" s="36">
        <v>6.2267220932781778E-4</v>
      </c>
      <c r="W327" s="36">
        <v>-1.1518399323489498E-7</v>
      </c>
      <c r="X327" s="37">
        <v>-0.24178777391240286</v>
      </c>
      <c r="Y327" s="38">
        <v>-2788.7863196355579</v>
      </c>
      <c r="Z327" s="39">
        <v>7.3404863864103931E-4</v>
      </c>
      <c r="AA327" s="40">
        <v>7.3414775035014973E-4</v>
      </c>
      <c r="AB327" s="40">
        <v>9.9111709110427312E-8</v>
      </c>
      <c r="AC327" s="41">
        <v>1.9509576424864615E-3</v>
      </c>
      <c r="AD327" s="42">
        <v>22.502394953707746</v>
      </c>
      <c r="AE327" s="39">
        <v>4.9502920936994122E-4</v>
      </c>
      <c r="AF327" s="40">
        <v>4.9475589925108228E-4</v>
      </c>
      <c r="AG327" s="40">
        <v>-2.7331011885893975E-7</v>
      </c>
      <c r="AH327" s="41">
        <v>-3.5139456207203138E-3</v>
      </c>
      <c r="AI327" s="42">
        <v>-40.529937955251597</v>
      </c>
      <c r="AJ327" s="41">
        <v>-0.24335076189063673</v>
      </c>
      <c r="AK327" s="30">
        <v>-2806.8138626371019</v>
      </c>
      <c r="AL327" s="43">
        <f>+$AL$6*W327/H327*10^6</f>
        <v>-0.66426755037425012</v>
      </c>
      <c r="AM327" s="30">
        <v>1144643.125</v>
      </c>
      <c r="AN327" s="44">
        <v>-2.4521301018054008E-3</v>
      </c>
      <c r="AP327" s="32"/>
      <c r="AR327" s="32"/>
    </row>
    <row r="328" spans="1:44">
      <c r="A328" s="5" t="s">
        <v>1311</v>
      </c>
      <c r="B328" s="5" t="s">
        <v>483</v>
      </c>
      <c r="C328" s="5" t="s">
        <v>2270</v>
      </c>
      <c r="D328" s="29" t="s">
        <v>2271</v>
      </c>
      <c r="E328" s="5" t="s">
        <v>17</v>
      </c>
      <c r="F328" s="30" t="s">
        <v>1148</v>
      </c>
      <c r="G328" s="5" t="s">
        <v>970</v>
      </c>
      <c r="H328" s="31">
        <v>113.74</v>
      </c>
      <c r="I328" s="32">
        <v>80.885999999999996</v>
      </c>
      <c r="J328" s="32">
        <v>80.585509999999999</v>
      </c>
      <c r="K328" s="33">
        <v>1</v>
      </c>
      <c r="L328" s="33">
        <v>1</v>
      </c>
      <c r="M328" s="6">
        <v>0.56999999999999995</v>
      </c>
      <c r="N328" s="6">
        <v>0.56999999999999995</v>
      </c>
      <c r="O328" s="6">
        <v>0.43</v>
      </c>
      <c r="P328" s="6">
        <v>0.43</v>
      </c>
      <c r="Q328" s="34">
        <v>80.885999999999996</v>
      </c>
      <c r="R328" s="34">
        <v>80.585509999999999</v>
      </c>
      <c r="S328" s="34">
        <v>9199.9736399999983</v>
      </c>
      <c r="T328" s="34">
        <v>9165.7959073999991</v>
      </c>
      <c r="U328" s="35">
        <v>4.9963082920816756E-4</v>
      </c>
      <c r="V328" s="36">
        <v>4.9956656375802237E-4</v>
      </c>
      <c r="W328" s="36">
        <v>-6.4265450145186732E-8</v>
      </c>
      <c r="X328" s="37">
        <v>-0.13490242605494068</v>
      </c>
      <c r="Y328" s="38">
        <v>-1186.0596628709397</v>
      </c>
      <c r="Z328" s="39">
        <v>5.3280532809459567E-4</v>
      </c>
      <c r="AA328" s="40">
        <v>5.3290728674779792E-4</v>
      </c>
      <c r="AB328" s="40">
        <v>1.0195865320224932E-7</v>
      </c>
      <c r="AC328" s="41">
        <v>2.0069981182639844E-3</v>
      </c>
      <c r="AD328" s="42">
        <v>17.645490753156185</v>
      </c>
      <c r="AE328" s="39">
        <v>4.6153747766398083E-4</v>
      </c>
      <c r="AF328" s="40">
        <v>4.6130864438817304E-4</v>
      </c>
      <c r="AG328" s="40">
        <v>-2.2883327580779577E-7</v>
      </c>
      <c r="AH328" s="41">
        <v>-2.9421072690502983E-3</v>
      </c>
      <c r="AI328" s="42">
        <v>-25.866953306227348</v>
      </c>
      <c r="AJ328" s="41">
        <v>-0.135837535205727</v>
      </c>
      <c r="AK328" s="30">
        <v>-1194.281125424011</v>
      </c>
      <c r="AL328" s="43">
        <f>+$AL$6*W328/H328*10^6</f>
        <v>-0.28251033121675195</v>
      </c>
      <c r="AM328" s="30">
        <v>408380.3125</v>
      </c>
      <c r="AN328" s="44">
        <v>-2.9244336440043517E-3</v>
      </c>
      <c r="AP328" s="32"/>
      <c r="AR328" s="32"/>
    </row>
    <row r="329" spans="1:44">
      <c r="A329" s="5" t="s">
        <v>258</v>
      </c>
      <c r="B329" s="5" t="s">
        <v>558</v>
      </c>
      <c r="C329" s="5" t="s">
        <v>2293</v>
      </c>
      <c r="D329" s="29" t="s">
        <v>2294</v>
      </c>
      <c r="E329" s="5" t="s">
        <v>88</v>
      </c>
      <c r="F329" s="30" t="s">
        <v>1148</v>
      </c>
      <c r="G329" s="5" t="s">
        <v>970</v>
      </c>
      <c r="H329" s="31">
        <v>104.03</v>
      </c>
      <c r="I329" s="32">
        <v>271.85199999999998</v>
      </c>
      <c r="J329" s="32">
        <v>270.72139999999996</v>
      </c>
      <c r="K329" s="33">
        <v>1</v>
      </c>
      <c r="L329" s="33">
        <v>1</v>
      </c>
      <c r="M329" s="6">
        <v>0.66</v>
      </c>
      <c r="N329" s="6">
        <v>0.66</v>
      </c>
      <c r="O329" s="6">
        <v>0.34</v>
      </c>
      <c r="P329" s="6">
        <v>0.34</v>
      </c>
      <c r="Q329" s="34">
        <v>271.85199999999998</v>
      </c>
      <c r="R329" s="34">
        <v>270.72139999999996</v>
      </c>
      <c r="S329" s="34">
        <v>28280.763559999999</v>
      </c>
      <c r="T329" s="34">
        <v>28163.147241999995</v>
      </c>
      <c r="U329" s="35">
        <v>1.5358675906078935E-3</v>
      </c>
      <c r="V329" s="36">
        <v>1.5349858140457035E-3</v>
      </c>
      <c r="W329" s="36">
        <v>-8.8177656219008867E-7</v>
      </c>
      <c r="X329" s="37">
        <v>-1.8509758697572505</v>
      </c>
      <c r="Y329" s="38">
        <v>-17792.712388323085</v>
      </c>
      <c r="Z329" s="39">
        <v>1.8964534495507922E-3</v>
      </c>
      <c r="AA329" s="40">
        <v>1.8959712240116269E-3</v>
      </c>
      <c r="AB329" s="40">
        <v>-4.822255391652517E-7</v>
      </c>
      <c r="AC329" s="41">
        <v>-9.4923355623742611E-3</v>
      </c>
      <c r="AD329" s="42">
        <v>-91.246136329657418</v>
      </c>
      <c r="AE329" s="39">
        <v>1.1218169086790186E-3</v>
      </c>
      <c r="AF329" s="40">
        <v>1.1207611221455487E-3</v>
      </c>
      <c r="AG329" s="40">
        <v>-1.0557865334698876E-6</v>
      </c>
      <c r="AH329" s="41">
        <v>-1.3574237504235172E-2</v>
      </c>
      <c r="AI329" s="42">
        <v>-130.48387488450612</v>
      </c>
      <c r="AJ329" s="41">
        <v>-1.8740424428238598</v>
      </c>
      <c r="AK329" s="30">
        <v>-18014.442399537249</v>
      </c>
      <c r="AL329" s="43">
        <f>+$AL$6*W329/H329*10^6</f>
        <v>-4.2380878697976003</v>
      </c>
      <c r="AM329" s="30">
        <v>2400737</v>
      </c>
      <c r="AN329" s="44">
        <v>-7.5037134011502506E-3</v>
      </c>
      <c r="AP329" s="32"/>
      <c r="AR329" s="32"/>
    </row>
    <row r="330" spans="1:44">
      <c r="A330" s="5" t="s">
        <v>267</v>
      </c>
      <c r="B330" s="5" t="s">
        <v>568</v>
      </c>
      <c r="C330" s="5" t="s">
        <v>2280</v>
      </c>
      <c r="D330" s="29" t="s">
        <v>2281</v>
      </c>
      <c r="E330" s="5" t="s">
        <v>97</v>
      </c>
      <c r="F330" s="30" t="s">
        <v>1163</v>
      </c>
      <c r="G330" s="5" t="s">
        <v>970</v>
      </c>
      <c r="H330" s="31">
        <v>56.48</v>
      </c>
      <c r="I330" s="32">
        <v>135.07599999999999</v>
      </c>
      <c r="J330" s="32">
        <v>134.49969999999999</v>
      </c>
      <c r="K330" s="33">
        <v>1</v>
      </c>
      <c r="L330" s="33">
        <v>1</v>
      </c>
      <c r="M330" s="6">
        <v>1</v>
      </c>
      <c r="N330" s="6">
        <v>1</v>
      </c>
      <c r="O330" s="6">
        <v>0</v>
      </c>
      <c r="P330" s="6">
        <v>0</v>
      </c>
      <c r="Q330" s="34">
        <v>135.07599999999999</v>
      </c>
      <c r="R330" s="34">
        <v>134.49969999999999</v>
      </c>
      <c r="S330" s="34">
        <v>7629.0924799999993</v>
      </c>
      <c r="T330" s="34">
        <v>7596.5430559999986</v>
      </c>
      <c r="U330" s="35">
        <v>4.1431964384282694E-4</v>
      </c>
      <c r="V330" s="36">
        <v>4.1403702954610983E-4</v>
      </c>
      <c r="W330" s="36">
        <v>-2.8261429671711316E-7</v>
      </c>
      <c r="X330" s="37">
        <v>-0.59324806997877821</v>
      </c>
      <c r="Y330" s="38">
        <v>-10503.683958547774</v>
      </c>
      <c r="Z330" s="39">
        <v>7.751397346491141E-4</v>
      </c>
      <c r="AA330" s="40">
        <v>7.7485889693928414E-4</v>
      </c>
      <c r="AB330" s="40">
        <v>-2.8083770982996123E-7</v>
      </c>
      <c r="AC330" s="41">
        <v>-5.5281306437839905E-3</v>
      </c>
      <c r="AD330" s="42">
        <v>-97.877667205807199</v>
      </c>
      <c r="AE330" s="39">
        <v>0</v>
      </c>
      <c r="AF330" s="40">
        <v>0</v>
      </c>
      <c r="AG330" s="40">
        <v>0</v>
      </c>
      <c r="AH330" s="41">
        <v>0</v>
      </c>
      <c r="AI330" s="42">
        <v>0</v>
      </c>
      <c r="AJ330" s="41">
        <v>-0.5987762006225622</v>
      </c>
      <c r="AK330" s="30">
        <v>-10601.56162575358</v>
      </c>
      <c r="AL330" s="43">
        <f>+$AL$6*W330/H330*10^6</f>
        <v>-2.5018971026656622</v>
      </c>
      <c r="AM330" s="30">
        <v>1144344.375</v>
      </c>
      <c r="AN330" s="44">
        <v>-9.2643105147028667E-3</v>
      </c>
      <c r="AP330" s="32"/>
      <c r="AR330" s="32"/>
    </row>
    <row r="331" spans="1:44">
      <c r="A331" s="5" t="s">
        <v>245</v>
      </c>
      <c r="B331" s="5" t="s">
        <v>545</v>
      </c>
      <c r="C331" s="5" t="s">
        <v>2345</v>
      </c>
      <c r="D331" s="29" t="s">
        <v>2346</v>
      </c>
      <c r="E331" s="5" t="s">
        <v>77</v>
      </c>
      <c r="F331" s="30" t="s">
        <v>1164</v>
      </c>
      <c r="G331" s="5" t="s">
        <v>970</v>
      </c>
      <c r="H331" s="31">
        <v>230.3</v>
      </c>
      <c r="I331" s="32">
        <v>138.22900000000001</v>
      </c>
      <c r="J331" s="32">
        <v>137.49760000000001</v>
      </c>
      <c r="K331" s="33">
        <v>1</v>
      </c>
      <c r="L331" s="33">
        <v>1</v>
      </c>
      <c r="M331" s="6">
        <v>0.54</v>
      </c>
      <c r="N331" s="6">
        <v>0.54</v>
      </c>
      <c r="O331" s="6">
        <v>0.46</v>
      </c>
      <c r="P331" s="6">
        <v>0.46</v>
      </c>
      <c r="Q331" s="34">
        <v>138.22900000000001</v>
      </c>
      <c r="R331" s="34">
        <v>137.49760000000001</v>
      </c>
      <c r="S331" s="34">
        <v>31834.138700000003</v>
      </c>
      <c r="T331" s="34">
        <v>31665.697280000004</v>
      </c>
      <c r="U331" s="35">
        <v>1.7288437704489797E-3</v>
      </c>
      <c r="V331" s="36">
        <v>1.7258865175472432E-3</v>
      </c>
      <c r="W331" s="36">
        <v>-2.9572529017364915E-6</v>
      </c>
      <c r="X331" s="37">
        <v>-6.2076993158997595</v>
      </c>
      <c r="Y331" s="38">
        <v>-26954.838540598172</v>
      </c>
      <c r="Z331" s="39">
        <v>1.7466021260419424E-3</v>
      </c>
      <c r="AA331" s="40">
        <v>1.7441725039312162E-3</v>
      </c>
      <c r="AB331" s="40">
        <v>-2.429622110726188E-6</v>
      </c>
      <c r="AC331" s="41">
        <v>-4.7825729853917434E-2</v>
      </c>
      <c r="AD331" s="42">
        <v>-207.66708577471746</v>
      </c>
      <c r="AE331" s="39">
        <v>1.7084523461575283E-3</v>
      </c>
      <c r="AF331" s="40">
        <v>1.7049036554512172E-3</v>
      </c>
      <c r="AG331" s="40">
        <v>-3.5486907063110758E-6</v>
      </c>
      <c r="AH331" s="41">
        <v>-4.5625482945139781E-2</v>
      </c>
      <c r="AI331" s="42">
        <v>-198.11325638358568</v>
      </c>
      <c r="AJ331" s="41">
        <v>-6.301150528698817</v>
      </c>
      <c r="AK331" s="30">
        <v>-27360.618882756473</v>
      </c>
      <c r="AL331" s="43">
        <f>+$AL$6*W331/H331*10^6</f>
        <v>-6.4204361739828295</v>
      </c>
      <c r="AM331" s="30">
        <v>2728964.5</v>
      </c>
      <c r="AN331" s="44">
        <v>-1.0026007624048049E-2</v>
      </c>
      <c r="AP331" s="32"/>
      <c r="AR331" s="32"/>
    </row>
    <row r="332" spans="1:44">
      <c r="A332" s="5" t="s">
        <v>1289</v>
      </c>
      <c r="B332" s="5" t="s">
        <v>463</v>
      </c>
      <c r="C332" s="5" t="s">
        <v>2278</v>
      </c>
      <c r="D332" s="29" t="s">
        <v>2279</v>
      </c>
      <c r="E332" s="5" t="s">
        <v>687</v>
      </c>
      <c r="F332" s="30" t="s">
        <v>1159</v>
      </c>
      <c r="G332" s="5" t="s">
        <v>970</v>
      </c>
      <c r="H332" s="31">
        <v>87.64</v>
      </c>
      <c r="I332" s="32">
        <v>152.19999999999999</v>
      </c>
      <c r="J332" s="32">
        <v>151.59729999999999</v>
      </c>
      <c r="K332" s="33">
        <v>1</v>
      </c>
      <c r="L332" s="33">
        <v>1</v>
      </c>
      <c r="M332" s="6">
        <v>0.57999999999999996</v>
      </c>
      <c r="N332" s="6">
        <v>0.57999999999999996</v>
      </c>
      <c r="O332" s="6">
        <v>0.42</v>
      </c>
      <c r="P332" s="6">
        <v>0.42</v>
      </c>
      <c r="Q332" s="34">
        <v>152.19999999999999</v>
      </c>
      <c r="R332" s="34">
        <v>151.59729999999999</v>
      </c>
      <c r="S332" s="34">
        <v>13338.807999999999</v>
      </c>
      <c r="T332" s="34">
        <v>13285.987372</v>
      </c>
      <c r="U332" s="35">
        <v>7.2440204314417364E-4</v>
      </c>
      <c r="V332" s="36">
        <v>7.2413079285389183E-4</v>
      </c>
      <c r="W332" s="36">
        <v>-2.712502902818114E-7</v>
      </c>
      <c r="X332" s="37">
        <v>-0.56939338547314133</v>
      </c>
      <c r="Y332" s="38">
        <v>-6496.9578442850452</v>
      </c>
      <c r="Z332" s="39">
        <v>7.8605355355715638E-4</v>
      </c>
      <c r="AA332" s="40">
        <v>7.8601068373829598E-4</v>
      </c>
      <c r="AB332" s="40">
        <v>-4.2869818860395356E-8</v>
      </c>
      <c r="AC332" s="41">
        <v>-8.4386801003010132E-4</v>
      </c>
      <c r="AD332" s="42">
        <v>-9.6287997493165367</v>
      </c>
      <c r="AE332" s="39">
        <v>6.5360933373711085E-4</v>
      </c>
      <c r="AF332" s="40">
        <v>6.5312465790005154E-4</v>
      </c>
      <c r="AG332" s="40">
        <v>-4.8467583705930767E-7</v>
      </c>
      <c r="AH332" s="41">
        <v>-6.2314726663395869E-3</v>
      </c>
      <c r="AI332" s="42">
        <v>-71.103065567544348</v>
      </c>
      <c r="AJ332" s="41">
        <v>-0.57646872614951106</v>
      </c>
      <c r="AK332" s="30">
        <v>-6577.6897096019056</v>
      </c>
      <c r="AL332" s="43">
        <f>+$AL$6*W332/H332*10^6</f>
        <v>-1.5475256177647845</v>
      </c>
      <c r="AM332" s="30">
        <v>618001.9375</v>
      </c>
      <c r="AN332" s="44">
        <v>-1.0643477488453514E-2</v>
      </c>
      <c r="AP332" s="32"/>
      <c r="AR332" s="32"/>
    </row>
    <row r="333" spans="1:44">
      <c r="A333" s="5" t="s">
        <v>288</v>
      </c>
      <c r="B333" s="5" t="s">
        <v>588</v>
      </c>
      <c r="C333" s="5" t="s">
        <v>2289</v>
      </c>
      <c r="D333" s="29" t="s">
        <v>2290</v>
      </c>
      <c r="E333" s="5" t="s">
        <v>115</v>
      </c>
      <c r="F333" s="30" t="s">
        <v>1165</v>
      </c>
      <c r="G333" s="5" t="s">
        <v>970</v>
      </c>
      <c r="H333" s="31">
        <v>42.95</v>
      </c>
      <c r="I333" s="32">
        <v>516.21900000000005</v>
      </c>
      <c r="J333" s="32">
        <v>514.04719999999998</v>
      </c>
      <c r="K333" s="33">
        <v>1</v>
      </c>
      <c r="L333" s="33">
        <v>1</v>
      </c>
      <c r="M333" s="6">
        <v>0</v>
      </c>
      <c r="N333" s="6">
        <v>0</v>
      </c>
      <c r="O333" s="6">
        <v>1</v>
      </c>
      <c r="P333" s="6">
        <v>1</v>
      </c>
      <c r="Q333" s="34">
        <v>516.21900000000005</v>
      </c>
      <c r="R333" s="34">
        <v>514.04719999999998</v>
      </c>
      <c r="S333" s="34">
        <v>22171.606050000002</v>
      </c>
      <c r="T333" s="34">
        <v>22078.327239999999</v>
      </c>
      <c r="U333" s="35">
        <v>1.2040923538600844E-3</v>
      </c>
      <c r="V333" s="36">
        <v>1.2033427521452018E-3</v>
      </c>
      <c r="W333" s="36">
        <v>-7.4960171488253936E-7</v>
      </c>
      <c r="X333" s="37">
        <v>-1.5735218485849549</v>
      </c>
      <c r="Y333" s="38">
        <v>-36636.131515365654</v>
      </c>
      <c r="Z333" s="39">
        <v>0</v>
      </c>
      <c r="AA333" s="40">
        <v>0</v>
      </c>
      <c r="AB333" s="40">
        <v>0</v>
      </c>
      <c r="AC333" s="41">
        <v>0</v>
      </c>
      <c r="AD333" s="42">
        <v>0</v>
      </c>
      <c r="AE333" s="39">
        <v>2.5867180111243107E-3</v>
      </c>
      <c r="AF333" s="40">
        <v>2.584158339137155E-3</v>
      </c>
      <c r="AG333" s="40">
        <v>-2.5596719871556588E-6</v>
      </c>
      <c r="AH333" s="41">
        <v>-3.2909678599892377E-2</v>
      </c>
      <c r="AI333" s="42">
        <v>-766.23233061449071</v>
      </c>
      <c r="AJ333" s="41">
        <v>-1.6064315271848473</v>
      </c>
      <c r="AK333" s="30">
        <v>-37402.363845980144</v>
      </c>
      <c r="AL333" s="43">
        <f>+$AL$6*W333/H333*10^6</f>
        <v>-8.7264460405417843</v>
      </c>
      <c r="AM333" s="30">
        <v>3307887.75</v>
      </c>
      <c r="AN333" s="44">
        <v>-1.1307023294844313E-2</v>
      </c>
      <c r="AP333" s="32"/>
      <c r="AR333" s="32"/>
    </row>
    <row r="334" spans="1:44">
      <c r="A334" s="5" t="s">
        <v>311</v>
      </c>
      <c r="B334" s="5" t="s">
        <v>611</v>
      </c>
      <c r="C334" s="5" t="s">
        <v>2282</v>
      </c>
      <c r="D334" s="29" t="s">
        <v>2283</v>
      </c>
      <c r="E334" s="5" t="s">
        <v>137</v>
      </c>
      <c r="F334" s="30" t="s">
        <v>1164</v>
      </c>
      <c r="G334" s="5" t="s">
        <v>970</v>
      </c>
      <c r="H334" s="31">
        <v>42.53</v>
      </c>
      <c r="I334" s="32">
        <v>277.64400000000001</v>
      </c>
      <c r="J334" s="32">
        <v>276.42189999999999</v>
      </c>
      <c r="K334" s="33">
        <v>1</v>
      </c>
      <c r="L334" s="33">
        <v>1</v>
      </c>
      <c r="M334" s="6">
        <v>0.45</v>
      </c>
      <c r="N334" s="6">
        <v>0.45</v>
      </c>
      <c r="O334" s="6">
        <v>0.55000000000000004</v>
      </c>
      <c r="P334" s="6">
        <v>0.55000000000000004</v>
      </c>
      <c r="Q334" s="34">
        <v>277.64400000000001</v>
      </c>
      <c r="R334" s="34">
        <v>276.42189999999999</v>
      </c>
      <c r="S334" s="34">
        <v>11808.19932</v>
      </c>
      <c r="T334" s="34">
        <v>11756.223406999999</v>
      </c>
      <c r="U334" s="35">
        <v>6.4127796976023966E-4</v>
      </c>
      <c r="V334" s="36">
        <v>6.4075353515836476E-4</v>
      </c>
      <c r="W334" s="36">
        <v>-5.2443460187489785E-7</v>
      </c>
      <c r="X334" s="37">
        <v>-1.1008636824335605</v>
      </c>
      <c r="Y334" s="38">
        <v>-25884.403537116399</v>
      </c>
      <c r="Z334" s="39">
        <v>5.3988754628583196E-4</v>
      </c>
      <c r="AA334" s="40">
        <v>5.3961866672449187E-4</v>
      </c>
      <c r="AB334" s="40">
        <v>-2.6887956134009385E-7</v>
      </c>
      <c r="AC334" s="41">
        <v>-5.292741289733993E-3</v>
      </c>
      <c r="AD334" s="42">
        <v>-124.44724405675977</v>
      </c>
      <c r="AE334" s="39">
        <v>7.577017643696772E-4</v>
      </c>
      <c r="AF334" s="40">
        <v>7.5680409720556166E-4</v>
      </c>
      <c r="AG334" s="40">
        <v>-8.9766716411554016E-7</v>
      </c>
      <c r="AH334" s="41">
        <v>-1.1541298263589883E-2</v>
      </c>
      <c r="AI334" s="42">
        <v>-271.36840497507364</v>
      </c>
      <c r="AJ334" s="41">
        <v>-1.1176977219868842</v>
      </c>
      <c r="AK334" s="30">
        <v>-26280.219186148232</v>
      </c>
      <c r="AL334" s="43">
        <f>+$AL$6*W334/H334*10^6</f>
        <v>-6.1654667514095678</v>
      </c>
      <c r="AM334" s="30">
        <v>2154950</v>
      </c>
      <c r="AN334" s="44">
        <v>-1.2195280255295126E-2</v>
      </c>
      <c r="AP334" s="32"/>
      <c r="AR334" s="32"/>
    </row>
    <row r="335" spans="1:44">
      <c r="A335" s="5" t="s">
        <v>293</v>
      </c>
      <c r="B335" s="5" t="s">
        <v>593</v>
      </c>
      <c r="C335" s="5" t="s">
        <v>2300</v>
      </c>
      <c r="D335" s="29" t="s">
        <v>2301</v>
      </c>
      <c r="E335" s="5" t="s">
        <v>119</v>
      </c>
      <c r="F335" s="30" t="s">
        <v>1160</v>
      </c>
      <c r="G335" s="5" t="s">
        <v>970</v>
      </c>
      <c r="H335" s="31">
        <v>18.489999999999998</v>
      </c>
      <c r="I335" s="32">
        <v>386.99</v>
      </c>
      <c r="J335" s="32">
        <v>384.48759999999999</v>
      </c>
      <c r="K335" s="33">
        <v>1</v>
      </c>
      <c r="L335" s="33">
        <v>1</v>
      </c>
      <c r="M335" s="6">
        <v>0</v>
      </c>
      <c r="N335" s="6">
        <v>0</v>
      </c>
      <c r="O335" s="6">
        <v>1</v>
      </c>
      <c r="P335" s="6">
        <v>1</v>
      </c>
      <c r="Q335" s="34">
        <v>386.99</v>
      </c>
      <c r="R335" s="34">
        <v>384.48759999999999</v>
      </c>
      <c r="S335" s="34">
        <v>7155.4450999999999</v>
      </c>
      <c r="T335" s="34">
        <v>7109.1757239999988</v>
      </c>
      <c r="U335" s="35">
        <v>3.8859687087826485E-4</v>
      </c>
      <c r="V335" s="36">
        <v>3.8747387826116924E-4</v>
      </c>
      <c r="W335" s="36">
        <v>-1.1229926170956087E-6</v>
      </c>
      <c r="X335" s="37">
        <v>-2.3573230739959441</v>
      </c>
      <c r="Y335" s="38">
        <v>-127491.78334212788</v>
      </c>
      <c r="Z335" s="39">
        <v>0</v>
      </c>
      <c r="AA335" s="40">
        <v>0</v>
      </c>
      <c r="AB335" s="40">
        <v>0</v>
      </c>
      <c r="AC335" s="41">
        <v>0</v>
      </c>
      <c r="AD335" s="42">
        <v>0</v>
      </c>
      <c r="AE335" s="39">
        <v>8.348118163402598E-4</v>
      </c>
      <c r="AF335" s="40">
        <v>8.3209364241518594E-4</v>
      </c>
      <c r="AG335" s="40">
        <v>-2.7181739250738569E-6</v>
      </c>
      <c r="AH335" s="41">
        <v>-3.494753652095528E-2</v>
      </c>
      <c r="AI335" s="42">
        <v>-1890.0776917769217</v>
      </c>
      <c r="AJ335" s="41">
        <v>-2.3922706105168992</v>
      </c>
      <c r="AK335" s="30">
        <v>-129381.8610339048</v>
      </c>
      <c r="AL335" s="43">
        <f>+$AL$6*W335/H335*10^6</f>
        <v>-30.367566714321494</v>
      </c>
      <c r="AM335" s="30">
        <v>10214602</v>
      </c>
      <c r="AN335" s="44">
        <v>-1.2666363411311063E-2</v>
      </c>
      <c r="AP335" s="32"/>
      <c r="AR335" s="32"/>
    </row>
    <row r="336" spans="1:44">
      <c r="A336" s="5" t="s">
        <v>1222</v>
      </c>
      <c r="B336" s="5" t="s">
        <v>392</v>
      </c>
      <c r="C336" s="5" t="s">
        <v>2311</v>
      </c>
      <c r="D336" s="29" t="s">
        <v>2312</v>
      </c>
      <c r="E336" s="5" t="s">
        <v>743</v>
      </c>
      <c r="F336" s="30" t="s">
        <v>1160</v>
      </c>
      <c r="G336" s="5" t="s">
        <v>968</v>
      </c>
      <c r="H336" s="31">
        <v>8.02</v>
      </c>
      <c r="I336" s="32">
        <v>663.55100000000004</v>
      </c>
      <c r="J336" s="32">
        <v>665.36649999999997</v>
      </c>
      <c r="K336" s="33">
        <v>0.78</v>
      </c>
      <c r="L336" s="33">
        <v>0.77</v>
      </c>
      <c r="M336" s="6">
        <v>0</v>
      </c>
      <c r="N336" s="6">
        <v>0</v>
      </c>
      <c r="O336" s="6">
        <v>1</v>
      </c>
      <c r="P336" s="6">
        <v>1</v>
      </c>
      <c r="Q336" s="34">
        <v>517.56978000000004</v>
      </c>
      <c r="R336" s="34">
        <v>512.33220500000004</v>
      </c>
      <c r="S336" s="34">
        <v>4150.9096356</v>
      </c>
      <c r="T336" s="34">
        <v>4108.9042841</v>
      </c>
      <c r="U336" s="35">
        <v>2.2542699624550241E-4</v>
      </c>
      <c r="V336" s="36">
        <v>2.2394903996948387E-4</v>
      </c>
      <c r="W336" s="36">
        <v>-1.4779562760185486E-6</v>
      </c>
      <c r="X336" s="37">
        <v>-3.1024428645188697</v>
      </c>
      <c r="Y336" s="38">
        <v>-386838.26240883669</v>
      </c>
      <c r="Z336" s="39">
        <v>0</v>
      </c>
      <c r="AA336" s="40">
        <v>0</v>
      </c>
      <c r="AB336" s="40">
        <v>0</v>
      </c>
      <c r="AC336" s="41">
        <v>0</v>
      </c>
      <c r="AD336" s="42">
        <v>0</v>
      </c>
      <c r="AE336" s="39">
        <v>4.8427852690247346E-4</v>
      </c>
      <c r="AF336" s="40">
        <v>4.8092680007189704E-4</v>
      </c>
      <c r="AG336" s="40">
        <v>-3.3517268305764268E-6</v>
      </c>
      <c r="AH336" s="41">
        <v>-4.3093120252285788E-2</v>
      </c>
      <c r="AI336" s="42">
        <v>-5373.2070140007218</v>
      </c>
      <c r="AJ336" s="41">
        <v>-3.1455359847711555</v>
      </c>
      <c r="AK336" s="30">
        <v>-392211.46942283743</v>
      </c>
      <c r="AL336" s="43">
        <f>+$AL$6*W336/H336*10^6</f>
        <v>-92.141912469984334</v>
      </c>
      <c r="AM336" s="30">
        <v>27782640</v>
      </c>
      <c r="AN336" s="44">
        <v>-1.4117141834715399E-2</v>
      </c>
      <c r="AP336" s="32"/>
      <c r="AR336" s="32"/>
    </row>
    <row r="337" spans="1:44">
      <c r="A337" s="5" t="s">
        <v>338</v>
      </c>
      <c r="B337" s="5" t="s">
        <v>1600</v>
      </c>
      <c r="C337" s="5" t="s">
        <v>2286</v>
      </c>
      <c r="D337" s="29" t="s">
        <v>2287</v>
      </c>
      <c r="E337" s="5" t="s">
        <v>225</v>
      </c>
      <c r="F337" s="30" t="s">
        <v>1159</v>
      </c>
      <c r="G337" s="5" t="s">
        <v>970</v>
      </c>
      <c r="H337" s="31">
        <v>92.76</v>
      </c>
      <c r="I337" s="32">
        <v>136.42699999999999</v>
      </c>
      <c r="J337" s="32">
        <v>135.81909999999999</v>
      </c>
      <c r="K337" s="33">
        <v>1</v>
      </c>
      <c r="L337" s="33">
        <v>1</v>
      </c>
      <c r="M337" s="6">
        <v>1</v>
      </c>
      <c r="N337" s="6">
        <v>1</v>
      </c>
      <c r="O337" s="6">
        <v>0</v>
      </c>
      <c r="P337" s="6">
        <v>0</v>
      </c>
      <c r="Q337" s="34">
        <v>136.42699999999999</v>
      </c>
      <c r="R337" s="34">
        <v>135.81909999999999</v>
      </c>
      <c r="S337" s="34">
        <v>12654.96852</v>
      </c>
      <c r="T337" s="34">
        <v>12598.579716</v>
      </c>
      <c r="U337" s="35">
        <v>6.8726418821031087E-4</v>
      </c>
      <c r="V337" s="36">
        <v>6.8666477418205692E-4</v>
      </c>
      <c r="W337" s="36">
        <v>-5.9941402825395423E-7</v>
      </c>
      <c r="X337" s="37">
        <v>-1.2582562860781503</v>
      </c>
      <c r="Y337" s="38">
        <v>-13564.64301507277</v>
      </c>
      <c r="Z337" s="39">
        <v>1.2857845105825345E-3</v>
      </c>
      <c r="AA337" s="40">
        <v>1.2850742120168669E-3</v>
      </c>
      <c r="AB337" s="40">
        <v>-7.1029856566753521E-7</v>
      </c>
      <c r="AC337" s="41">
        <v>-1.398182341495367E-2</v>
      </c>
      <c r="AD337" s="42">
        <v>-150.73117092446819</v>
      </c>
      <c r="AE337" s="39">
        <v>0</v>
      </c>
      <c r="AF337" s="40">
        <v>0</v>
      </c>
      <c r="AG337" s="40">
        <v>0</v>
      </c>
      <c r="AH337" s="41">
        <v>0</v>
      </c>
      <c r="AI337" s="42">
        <v>0</v>
      </c>
      <c r="AJ337" s="41">
        <v>-1.2722381094931039</v>
      </c>
      <c r="AK337" s="30">
        <v>-13715.374185997238</v>
      </c>
      <c r="AL337" s="43">
        <f>+$AL$6*W337/H337*10^6</f>
        <v>-3.2309941152110508</v>
      </c>
      <c r="AM337" s="30">
        <v>897771.625</v>
      </c>
      <c r="AN337" s="44">
        <v>-1.5277130401617715E-2</v>
      </c>
      <c r="AP337" s="32"/>
      <c r="AR337" s="32"/>
    </row>
    <row r="338" spans="1:44">
      <c r="A338" s="5" t="s">
        <v>1252</v>
      </c>
      <c r="B338" s="5" t="s">
        <v>425</v>
      </c>
      <c r="C338" s="5" t="s">
        <v>2288</v>
      </c>
      <c r="D338" s="29" t="s">
        <v>639</v>
      </c>
      <c r="E338" s="5" t="s">
        <v>769</v>
      </c>
      <c r="F338" s="30" t="s">
        <v>1153</v>
      </c>
      <c r="G338" s="5" t="s">
        <v>970</v>
      </c>
      <c r="H338" s="31">
        <v>81.61</v>
      </c>
      <c r="I338" s="32">
        <v>191.73099999999999</v>
      </c>
      <c r="J338" s="32">
        <v>190.8861</v>
      </c>
      <c r="K338" s="33">
        <v>1</v>
      </c>
      <c r="L338" s="33">
        <v>1</v>
      </c>
      <c r="M338" s="6">
        <v>1</v>
      </c>
      <c r="N338" s="6">
        <v>1</v>
      </c>
      <c r="O338" s="6">
        <v>0</v>
      </c>
      <c r="P338" s="6">
        <v>0</v>
      </c>
      <c r="Q338" s="34">
        <v>191.73099999999999</v>
      </c>
      <c r="R338" s="34">
        <v>190.8861</v>
      </c>
      <c r="S338" s="34">
        <v>15647.16691</v>
      </c>
      <c r="T338" s="34">
        <v>15578.214620999999</v>
      </c>
      <c r="U338" s="35">
        <v>8.497640628024563E-4</v>
      </c>
      <c r="V338" s="36">
        <v>8.4906485223120386E-4</v>
      </c>
      <c r="W338" s="36">
        <v>-6.9921057125243904E-7</v>
      </c>
      <c r="X338" s="37">
        <v>-1.4677435880728773</v>
      </c>
      <c r="Y338" s="38">
        <v>-17984.849749698285</v>
      </c>
      <c r="Z338" s="39">
        <v>1.5898012559716409E-3</v>
      </c>
      <c r="AA338" s="40">
        <v>1.5890014850870201E-3</v>
      </c>
      <c r="AB338" s="40">
        <v>-7.9977088462078981E-7</v>
      </c>
      <c r="AC338" s="41">
        <v>-1.5743035142806658E-2</v>
      </c>
      <c r="AD338" s="42">
        <v>-192.9057118344156</v>
      </c>
      <c r="AE338" s="39">
        <v>0</v>
      </c>
      <c r="AF338" s="40">
        <v>0</v>
      </c>
      <c r="AG338" s="40">
        <v>0</v>
      </c>
      <c r="AH338" s="41">
        <v>0</v>
      </c>
      <c r="AI338" s="42">
        <v>0</v>
      </c>
      <c r="AJ338" s="41">
        <v>-1.483486623215684</v>
      </c>
      <c r="AK338" s="30">
        <v>-18177.755461532703</v>
      </c>
      <c r="AL338" s="43">
        <f>+$AL$6*W338/H338*10^6</f>
        <v>-4.2838535182725099</v>
      </c>
      <c r="AM338" s="30">
        <v>1081729.625</v>
      </c>
      <c r="AN338" s="44">
        <v>-1.6804342824143975E-2</v>
      </c>
      <c r="AP338" s="32"/>
      <c r="AR338" s="32"/>
    </row>
    <row r="339" spans="1:44">
      <c r="A339" s="5" t="s">
        <v>1317</v>
      </c>
      <c r="B339" s="5" t="s">
        <v>490</v>
      </c>
      <c r="C339" s="5" t="s">
        <v>2308</v>
      </c>
      <c r="D339" s="29" t="s">
        <v>2309</v>
      </c>
      <c r="E339" s="5" t="s">
        <v>23</v>
      </c>
      <c r="F339" s="30" t="s">
        <v>1164</v>
      </c>
      <c r="G339" s="5" t="s">
        <v>970</v>
      </c>
      <c r="H339" s="31">
        <v>89.34</v>
      </c>
      <c r="I339" s="32">
        <v>367.69099999999997</v>
      </c>
      <c r="J339" s="32">
        <v>366.08859999999999</v>
      </c>
      <c r="K339" s="33">
        <v>0.92</v>
      </c>
      <c r="L339" s="33">
        <v>0.92</v>
      </c>
      <c r="M339" s="6">
        <v>0.56000000000000005</v>
      </c>
      <c r="N339" s="6">
        <v>0.56000000000000005</v>
      </c>
      <c r="O339" s="6">
        <v>0.44</v>
      </c>
      <c r="P339" s="6">
        <v>0.44</v>
      </c>
      <c r="Q339" s="34">
        <v>338.27571999999998</v>
      </c>
      <c r="R339" s="34">
        <v>336.801512</v>
      </c>
      <c r="S339" s="34">
        <v>30221.552824800001</v>
      </c>
      <c r="T339" s="34">
        <v>30089.847082080003</v>
      </c>
      <c r="U339" s="35">
        <v>1.6412676914814798E-3</v>
      </c>
      <c r="V339" s="36">
        <v>1.6399974058622759E-3</v>
      </c>
      <c r="W339" s="36">
        <v>-1.2702856192038994E-6</v>
      </c>
      <c r="X339" s="37">
        <v>-2.6665122772215297</v>
      </c>
      <c r="Y339" s="38">
        <v>-29846.790656162186</v>
      </c>
      <c r="Z339" s="39">
        <v>1.7195385741198685E-3</v>
      </c>
      <c r="AA339" s="40">
        <v>1.7187575857125063E-3</v>
      </c>
      <c r="AB339" s="40">
        <v>-7.8098840736217159E-7</v>
      </c>
      <c r="AC339" s="41">
        <v>-1.5373312757011634E-2</v>
      </c>
      <c r="AD339" s="42">
        <v>-172.07648037846019</v>
      </c>
      <c r="AE339" s="39">
        <v>1.551391420607718E-3</v>
      </c>
      <c r="AF339" s="40">
        <v>1.5496214229782513E-3</v>
      </c>
      <c r="AG339" s="40">
        <v>-1.7699976294666565E-6</v>
      </c>
      <c r="AH339" s="41">
        <v>-2.2756842830103118E-2</v>
      </c>
      <c r="AI339" s="42">
        <v>-254.721768861687</v>
      </c>
      <c r="AJ339" s="41">
        <v>-2.7046424328086447</v>
      </c>
      <c r="AK339" s="30">
        <v>-30273.588905402332</v>
      </c>
      <c r="AL339" s="43">
        <f>+$AL$6*W339/H339*10^6</f>
        <v>-7.1092770271093544</v>
      </c>
      <c r="AM339" s="30">
        <v>1776482</v>
      </c>
      <c r="AN339" s="44">
        <v>-1.7041314747575451E-2</v>
      </c>
      <c r="AP339" s="32"/>
      <c r="AR339" s="32"/>
    </row>
    <row r="340" spans="1:44">
      <c r="A340" s="5" t="s">
        <v>1283</v>
      </c>
      <c r="B340" s="5" t="s">
        <v>456</v>
      </c>
      <c r="C340" s="5" t="s">
        <v>2298</v>
      </c>
      <c r="D340" s="29" t="s">
        <v>2299</v>
      </c>
      <c r="E340" s="5" t="s">
        <v>797</v>
      </c>
      <c r="F340" s="30" t="s">
        <v>1160</v>
      </c>
      <c r="G340" s="5" t="s">
        <v>970</v>
      </c>
      <c r="H340" s="31">
        <v>33.68</v>
      </c>
      <c r="I340" s="32">
        <v>230.91200000000001</v>
      </c>
      <c r="J340" s="32">
        <v>229.47379999999998</v>
      </c>
      <c r="K340" s="33">
        <v>1</v>
      </c>
      <c r="L340" s="33">
        <v>1</v>
      </c>
      <c r="M340" s="6">
        <v>0.68</v>
      </c>
      <c r="N340" s="6">
        <v>0.68</v>
      </c>
      <c r="O340" s="6">
        <v>0.32</v>
      </c>
      <c r="P340" s="6">
        <v>0.32</v>
      </c>
      <c r="Q340" s="34">
        <v>230.91200000000001</v>
      </c>
      <c r="R340" s="34">
        <v>229.47379999999998</v>
      </c>
      <c r="S340" s="34">
        <v>7777.1161600000005</v>
      </c>
      <c r="T340" s="34">
        <v>7728.6775839999991</v>
      </c>
      <c r="U340" s="35">
        <v>4.2235849230857592E-4</v>
      </c>
      <c r="V340" s="36">
        <v>4.2123880370447341E-4</v>
      </c>
      <c r="W340" s="36">
        <v>-1.1196886041025048E-6</v>
      </c>
      <c r="X340" s="37">
        <v>-2.3503874753581093</v>
      </c>
      <c r="Y340" s="38">
        <v>-69785.851406119633</v>
      </c>
      <c r="Z340" s="39">
        <v>5.3732199540546953E-4</v>
      </c>
      <c r="AA340" s="40">
        <v>5.3606903686396698E-4</v>
      </c>
      <c r="AB340" s="40">
        <v>-1.2529585415025539E-6</v>
      </c>
      <c r="AC340" s="41">
        <v>-2.4663776502325707E-2</v>
      </c>
      <c r="AD340" s="42">
        <v>-732.29740208805549</v>
      </c>
      <c r="AE340" s="39">
        <v>2.903491090406119E-4</v>
      </c>
      <c r="AF340" s="40">
        <v>2.8947304077293494E-4</v>
      </c>
      <c r="AG340" s="40">
        <v>-8.7606826767696244E-7</v>
      </c>
      <c r="AH340" s="41">
        <v>-1.1263601455767323E-2</v>
      </c>
      <c r="AI340" s="42">
        <v>-334.42997196458799</v>
      </c>
      <c r="AJ340" s="41">
        <v>-2.3863148533162026</v>
      </c>
      <c r="AK340" s="30">
        <v>-70852.578780172276</v>
      </c>
      <c r="AL340" s="43">
        <f>+$AL$6*W340/H340*10^6</f>
        <v>-16.622455524087066</v>
      </c>
      <c r="AM340" s="30">
        <v>3773403.75</v>
      </c>
      <c r="AN340" s="44">
        <v>-1.8776834782170414E-2</v>
      </c>
      <c r="AP340" s="32"/>
      <c r="AR340" s="32"/>
    </row>
    <row r="341" spans="1:44">
      <c r="A341" s="5" t="s">
        <v>1672</v>
      </c>
      <c r="B341" s="5" t="s">
        <v>1655</v>
      </c>
      <c r="C341" s="5" t="s">
        <v>2335</v>
      </c>
      <c r="D341" s="29" t="s">
        <v>2336</v>
      </c>
      <c r="E341" s="5" t="s">
        <v>1689</v>
      </c>
      <c r="F341" s="30" t="s">
        <v>1150</v>
      </c>
      <c r="G341" s="5" t="s">
        <v>970</v>
      </c>
      <c r="H341" s="31">
        <v>38.11</v>
      </c>
      <c r="I341" s="32">
        <v>680.3175</v>
      </c>
      <c r="J341" s="32">
        <v>676.42419999999993</v>
      </c>
      <c r="K341" s="33">
        <v>0.8</v>
      </c>
      <c r="L341" s="33">
        <v>0.8</v>
      </c>
      <c r="M341" s="6">
        <v>0.72</v>
      </c>
      <c r="N341" s="6">
        <v>0.72</v>
      </c>
      <c r="O341" s="6">
        <v>0.28000000000000003</v>
      </c>
      <c r="P341" s="6">
        <v>0.28000000000000003</v>
      </c>
      <c r="Q341" s="34">
        <v>544.25400000000002</v>
      </c>
      <c r="R341" s="34">
        <v>541.13936000000001</v>
      </c>
      <c r="S341" s="34">
        <v>20741.519940000002</v>
      </c>
      <c r="T341" s="34">
        <v>20622.8210096</v>
      </c>
      <c r="U341" s="35">
        <v>1.1264274455747186E-3</v>
      </c>
      <c r="V341" s="36">
        <v>1.124012789598002E-3</v>
      </c>
      <c r="W341" s="36">
        <v>-2.4146559767165843E-6</v>
      </c>
      <c r="X341" s="37">
        <v>-5.0687103040781647</v>
      </c>
      <c r="Y341" s="38">
        <v>-133002.10716552517</v>
      </c>
      <c r="Z341" s="39">
        <v>1.5173305264491769E-3</v>
      </c>
      <c r="AA341" s="40">
        <v>1.5145624634076932E-3</v>
      </c>
      <c r="AB341" s="40">
        <v>-2.7680630414837065E-6</v>
      </c>
      <c r="AC341" s="41">
        <v>-5.4487747150541221E-2</v>
      </c>
      <c r="AD341" s="42">
        <v>-1429.7493348344588</v>
      </c>
      <c r="AE341" s="39">
        <v>6.7756434351447323E-4</v>
      </c>
      <c r="AF341" s="40">
        <v>6.7586360173803707E-4</v>
      </c>
      <c r="AG341" s="40">
        <v>-1.7007417764361606E-6</v>
      </c>
      <c r="AH341" s="41">
        <v>-2.186642098080685E-2</v>
      </c>
      <c r="AI341" s="42">
        <v>-573.77121440059955</v>
      </c>
      <c r="AJ341" s="41">
        <v>-5.1450644722095129</v>
      </c>
      <c r="AK341" s="30">
        <v>-135005.62771476022</v>
      </c>
      <c r="AL341" s="43">
        <f>+$AL$6*W341/H341*10^6</f>
        <v>-31.680083661986146</v>
      </c>
      <c r="AM341" s="30">
        <v>7093092</v>
      </c>
      <c r="AN341" s="44">
        <v>-1.9033395832841336E-2</v>
      </c>
      <c r="AP341" s="32"/>
      <c r="AR341" s="32"/>
    </row>
    <row r="342" spans="1:44">
      <c r="A342" s="5" t="s">
        <v>1545</v>
      </c>
      <c r="B342" s="5" t="s">
        <v>1544</v>
      </c>
      <c r="C342" s="5" t="s">
        <v>2302</v>
      </c>
      <c r="D342" s="29" t="s">
        <v>2303</v>
      </c>
      <c r="E342" s="5" t="s">
        <v>1548</v>
      </c>
      <c r="F342" s="30" t="s">
        <v>1157</v>
      </c>
      <c r="G342" s="5" t="s">
        <v>970</v>
      </c>
      <c r="H342" s="31">
        <v>101.43</v>
      </c>
      <c r="I342" s="32">
        <v>273.7</v>
      </c>
      <c r="J342" s="32">
        <v>272.5</v>
      </c>
      <c r="K342" s="33">
        <v>1</v>
      </c>
      <c r="L342" s="33">
        <v>1</v>
      </c>
      <c r="M342" s="6">
        <v>0.63</v>
      </c>
      <c r="N342" s="6">
        <v>0.63</v>
      </c>
      <c r="O342" s="6">
        <v>0.37</v>
      </c>
      <c r="P342" s="6">
        <v>0.37</v>
      </c>
      <c r="Q342" s="34">
        <v>273.7</v>
      </c>
      <c r="R342" s="34">
        <v>272.5</v>
      </c>
      <c r="S342" s="34">
        <v>27761.391</v>
      </c>
      <c r="T342" s="34">
        <v>27639.675000000003</v>
      </c>
      <c r="U342" s="35">
        <v>1.5076615812240699E-3</v>
      </c>
      <c r="V342" s="36">
        <v>1.5064548242876275E-3</v>
      </c>
      <c r="W342" s="36">
        <v>-1.2067569364424685E-6</v>
      </c>
      <c r="X342" s="37">
        <v>-2.5331564319075981</v>
      </c>
      <c r="Y342" s="38">
        <v>-24974.429970497858</v>
      </c>
      <c r="Z342" s="39">
        <v>1.7770059944974075E-3</v>
      </c>
      <c r="AA342" s="40">
        <v>1.7761518880837631E-3</v>
      </c>
      <c r="AB342" s="40">
        <v>-8.5410641364439162E-7</v>
      </c>
      <c r="AC342" s="41">
        <v>-1.6812599138409153E-2</v>
      </c>
      <c r="AD342" s="42">
        <v>-165.75568508734253</v>
      </c>
      <c r="AE342" s="39">
        <v>1.1983809058351369E-3</v>
      </c>
      <c r="AF342" s="40">
        <v>1.1969819755985997E-3</v>
      </c>
      <c r="AG342" s="40">
        <v>-1.3989302365372165E-6</v>
      </c>
      <c r="AH342" s="41">
        <v>-1.7986032858557641E-2</v>
      </c>
      <c r="AI342" s="42">
        <v>-177.32458699159659</v>
      </c>
      <c r="AJ342" s="41">
        <v>-2.5679550639045647</v>
      </c>
      <c r="AK342" s="30">
        <v>-25317.510242576798</v>
      </c>
      <c r="AL342" s="43">
        <f>+$AL$6*W342/H342*10^6</f>
        <v>-5.9487180146035117</v>
      </c>
      <c r="AM342" s="30">
        <v>1277399.625</v>
      </c>
      <c r="AN342" s="44">
        <v>-1.9819569183431376E-2</v>
      </c>
      <c r="AP342" s="32"/>
      <c r="AR342" s="32"/>
    </row>
    <row r="343" spans="1:44">
      <c r="A343" s="5" t="s">
        <v>1318</v>
      </c>
      <c r="B343" s="5" t="s">
        <v>491</v>
      </c>
      <c r="C343" s="5" t="s">
        <v>2297</v>
      </c>
      <c r="D343" s="29" t="s">
        <v>644</v>
      </c>
      <c r="E343" s="5" t="s">
        <v>24</v>
      </c>
      <c r="F343" s="30" t="s">
        <v>1157</v>
      </c>
      <c r="G343" s="5" t="s">
        <v>970</v>
      </c>
      <c r="H343" s="31">
        <v>37.840000000000003</v>
      </c>
      <c r="I343" s="32">
        <v>430.70600000000002</v>
      </c>
      <c r="J343" s="32">
        <v>428.7192</v>
      </c>
      <c r="K343" s="33">
        <v>1</v>
      </c>
      <c r="L343" s="33">
        <v>1</v>
      </c>
      <c r="M343" s="6">
        <v>0.56999999999999995</v>
      </c>
      <c r="N343" s="6">
        <v>0.56999999999999995</v>
      </c>
      <c r="O343" s="6">
        <v>0.43</v>
      </c>
      <c r="P343" s="6">
        <v>0.43</v>
      </c>
      <c r="Q343" s="34">
        <v>430.70600000000002</v>
      </c>
      <c r="R343" s="34">
        <v>428.7192</v>
      </c>
      <c r="S343" s="34">
        <v>16297.915040000002</v>
      </c>
      <c r="T343" s="34">
        <v>16222.734528000001</v>
      </c>
      <c r="U343" s="35">
        <v>8.8510479751760117E-4</v>
      </c>
      <c r="V343" s="36">
        <v>8.8419334499566531E-4</v>
      </c>
      <c r="W343" s="36">
        <v>-9.1145252193586268E-7</v>
      </c>
      <c r="X343" s="37">
        <v>-1.9132699788962886</v>
      </c>
      <c r="Y343" s="38">
        <v>-50562.103036371256</v>
      </c>
      <c r="Z343" s="39">
        <v>9.4387400550693837E-4</v>
      </c>
      <c r="AA343" s="40">
        <v>9.4320379029676964E-4</v>
      </c>
      <c r="AB343" s="40">
        <v>-6.7021521016872882E-7</v>
      </c>
      <c r="AC343" s="41">
        <v>-1.3192805351913622E-2</v>
      </c>
      <c r="AD343" s="42">
        <v>-348.64707589623731</v>
      </c>
      <c r="AE343" s="39">
        <v>8.1762175557097139E-4</v>
      </c>
      <c r="AF343" s="40">
        <v>8.1647985063020424E-4</v>
      </c>
      <c r="AG343" s="40">
        <v>-1.1419049407671456E-6</v>
      </c>
      <c r="AH343" s="41">
        <v>-1.468146105471701E-2</v>
      </c>
      <c r="AI343" s="42">
        <v>-387.9878714248681</v>
      </c>
      <c r="AJ343" s="41">
        <v>-1.9411442453029193</v>
      </c>
      <c r="AK343" s="30">
        <v>-51298.737983692365</v>
      </c>
      <c r="AL343" s="43">
        <f>+$AL$6*W343/H343*10^6</f>
        <v>-12.043505839533069</v>
      </c>
      <c r="AM343" s="30">
        <v>2495555</v>
      </c>
      <c r="AN343" s="44">
        <v>-2.055604383942344E-2</v>
      </c>
      <c r="AP343" s="32"/>
      <c r="AR343" s="32"/>
    </row>
    <row r="344" spans="1:44">
      <c r="A344" s="5" t="s">
        <v>260</v>
      </c>
      <c r="B344" s="5" t="s">
        <v>560</v>
      </c>
      <c r="C344" s="5" t="s">
        <v>2320</v>
      </c>
      <c r="D344" s="29" t="s">
        <v>2321</v>
      </c>
      <c r="E344" s="5" t="s">
        <v>90</v>
      </c>
      <c r="F344" s="30" t="s">
        <v>1155</v>
      </c>
      <c r="G344" s="5" t="s">
        <v>970</v>
      </c>
      <c r="H344" s="31">
        <v>88.48</v>
      </c>
      <c r="I344" s="32">
        <v>453</v>
      </c>
      <c r="J344" s="32">
        <v>451</v>
      </c>
      <c r="K344" s="33">
        <v>1</v>
      </c>
      <c r="L344" s="33">
        <v>1</v>
      </c>
      <c r="M344" s="6">
        <v>0</v>
      </c>
      <c r="N344" s="6">
        <v>0</v>
      </c>
      <c r="O344" s="6">
        <v>1</v>
      </c>
      <c r="P344" s="6">
        <v>1</v>
      </c>
      <c r="Q344" s="34">
        <v>453</v>
      </c>
      <c r="R344" s="34">
        <v>451</v>
      </c>
      <c r="S344" s="34">
        <v>40081.440000000002</v>
      </c>
      <c r="T344" s="34">
        <v>39904.480000000003</v>
      </c>
      <c r="U344" s="35">
        <v>2.176737008896193E-3</v>
      </c>
      <c r="V344" s="36">
        <v>2.1749277589801306E-3</v>
      </c>
      <c r="W344" s="36">
        <v>-1.8092499160624227E-6</v>
      </c>
      <c r="X344" s="37">
        <v>-3.7978758798875201</v>
      </c>
      <c r="Y344" s="38">
        <v>-42923.55198787884</v>
      </c>
      <c r="Z344" s="39">
        <v>0</v>
      </c>
      <c r="AA344" s="40">
        <v>0</v>
      </c>
      <c r="AB344" s="40">
        <v>0</v>
      </c>
      <c r="AC344" s="41">
        <v>0</v>
      </c>
      <c r="AD344" s="42">
        <v>0</v>
      </c>
      <c r="AE344" s="39">
        <v>4.6762233879668992E-3</v>
      </c>
      <c r="AF344" s="40">
        <v>4.670620814701351E-3</v>
      </c>
      <c r="AG344" s="40">
        <v>-5.6025732655482635E-6</v>
      </c>
      <c r="AH344" s="41">
        <v>-7.2032231640127869E-2</v>
      </c>
      <c r="AI344" s="42">
        <v>-814.10750045352472</v>
      </c>
      <c r="AJ344" s="41">
        <v>-3.8699081115276481</v>
      </c>
      <c r="AK344" s="30">
        <v>-43737.659488332363</v>
      </c>
      <c r="AL344" s="43">
        <f>+$AL$6*W344/H344*10^6</f>
        <v>-10.224061460569748</v>
      </c>
      <c r="AM344" s="30">
        <v>2069207.125</v>
      </c>
      <c r="AN344" s="44">
        <v>-2.1137400388727332E-2</v>
      </c>
      <c r="AP344" s="32"/>
      <c r="AR344" s="32"/>
    </row>
    <row r="345" spans="1:44">
      <c r="A345" s="5" t="s">
        <v>1308</v>
      </c>
      <c r="B345" s="5" t="s">
        <v>480</v>
      </c>
      <c r="C345" s="5" t="s">
        <v>2291</v>
      </c>
      <c r="D345" s="29" t="s">
        <v>2292</v>
      </c>
      <c r="E345" s="5" t="s">
        <v>15</v>
      </c>
      <c r="F345" s="30" t="s">
        <v>1153</v>
      </c>
      <c r="G345" s="5" t="s">
        <v>970</v>
      </c>
      <c r="H345" s="31">
        <v>92.26</v>
      </c>
      <c r="I345" s="32">
        <v>219.04599999999999</v>
      </c>
      <c r="J345" s="32">
        <v>158.76499999999999</v>
      </c>
      <c r="K345" s="33">
        <v>0.67</v>
      </c>
      <c r="L345" s="33">
        <v>0.92</v>
      </c>
      <c r="M345" s="6">
        <v>0.62</v>
      </c>
      <c r="N345" s="6">
        <v>0.62</v>
      </c>
      <c r="O345" s="6">
        <v>0.38</v>
      </c>
      <c r="P345" s="6">
        <v>0.38</v>
      </c>
      <c r="Q345" s="34">
        <v>146.76082</v>
      </c>
      <c r="R345" s="34">
        <v>146.06379999999999</v>
      </c>
      <c r="S345" s="34">
        <v>13540.1532532</v>
      </c>
      <c r="T345" s="34">
        <v>13475.846188</v>
      </c>
      <c r="U345" s="35">
        <v>7.3533667184528856E-4</v>
      </c>
      <c r="V345" s="36">
        <v>7.3447873396740844E-4</v>
      </c>
      <c r="W345" s="36">
        <v>-8.5793787788011715E-7</v>
      </c>
      <c r="X345" s="37">
        <v>-1.8009350415967422</v>
      </c>
      <c r="Y345" s="38">
        <v>-19520.215061746607</v>
      </c>
      <c r="Z345" s="39">
        <v>8.5294767535340574E-4</v>
      </c>
      <c r="AA345" s="40">
        <v>8.5222516690300007E-4</v>
      </c>
      <c r="AB345" s="40">
        <v>-7.2250845040567734E-7</v>
      </c>
      <c r="AC345" s="41">
        <v>-1.422216805392278E-2</v>
      </c>
      <c r="AD345" s="42">
        <v>-154.15313303623216</v>
      </c>
      <c r="AE345" s="39">
        <v>6.0028723771707239E-4</v>
      </c>
      <c r="AF345" s="40">
        <v>5.9936668079691629E-4</v>
      </c>
      <c r="AG345" s="40">
        <v>-9.2055692015610788E-7</v>
      </c>
      <c r="AH345" s="41">
        <v>-1.1835591641141785E-2</v>
      </c>
      <c r="AI345" s="42">
        <v>-128.28519012726844</v>
      </c>
      <c r="AJ345" s="41">
        <v>-1.8269928012918069</v>
      </c>
      <c r="AK345" s="30">
        <v>-19802.653384910107</v>
      </c>
      <c r="AL345" s="43">
        <f>+$AL$6*W345/H345*10^6</f>
        <v>-4.6495657808374</v>
      </c>
      <c r="AM345" s="30">
        <v>936061.25</v>
      </c>
      <c r="AN345" s="44">
        <v>-2.1155296605761757E-2</v>
      </c>
      <c r="AP345" s="32"/>
      <c r="AR345" s="32"/>
    </row>
    <row r="346" spans="1:44">
      <c r="A346" s="5" t="s">
        <v>1002</v>
      </c>
      <c r="B346" s="5" t="s">
        <v>1090</v>
      </c>
      <c r="C346" s="5" t="s">
        <v>2503</v>
      </c>
      <c r="D346" s="29" t="s">
        <v>2504</v>
      </c>
      <c r="E346" s="5" t="s">
        <v>887</v>
      </c>
      <c r="F346" s="30" t="s">
        <v>1168</v>
      </c>
      <c r="G346" s="5" t="s">
        <v>970</v>
      </c>
      <c r="H346" s="31">
        <v>106.99</v>
      </c>
      <c r="I346" s="32">
        <v>1696.761</v>
      </c>
      <c r="J346" s="32">
        <v>1687.8579999999999</v>
      </c>
      <c r="K346" s="33">
        <v>0.92</v>
      </c>
      <c r="L346" s="33">
        <v>0.92</v>
      </c>
      <c r="M346" s="6">
        <v>1</v>
      </c>
      <c r="N346" s="6">
        <v>1</v>
      </c>
      <c r="O346" s="6">
        <v>0</v>
      </c>
      <c r="P346" s="6">
        <v>0</v>
      </c>
      <c r="Q346" s="34">
        <v>1561.0201200000001</v>
      </c>
      <c r="R346" s="34">
        <v>1552.82936</v>
      </c>
      <c r="S346" s="34">
        <v>167013.54263880002</v>
      </c>
      <c r="T346" s="34">
        <v>166137.2132264</v>
      </c>
      <c r="U346" s="35">
        <v>9.0701471615974461E-3</v>
      </c>
      <c r="V346" s="36">
        <v>9.0550343431539063E-3</v>
      </c>
      <c r="W346" s="36">
        <v>-1.5112818443539788E-5</v>
      </c>
      <c r="X346" s="37">
        <v>-31.723980271755181</v>
      </c>
      <c r="Y346" s="38">
        <v>-296513.50847513956</v>
      </c>
      <c r="Z346" s="39">
        <v>1.6969099989707814E-2</v>
      </c>
      <c r="AA346" s="40">
        <v>1.6946247369650263E-2</v>
      </c>
      <c r="AB346" s="40">
        <v>-2.2852620057550732E-5</v>
      </c>
      <c r="AC346" s="41">
        <v>-0.44984083265523434</v>
      </c>
      <c r="AD346" s="42">
        <v>-4204.5128764859737</v>
      </c>
      <c r="AE346" s="39">
        <v>0</v>
      </c>
      <c r="AF346" s="40">
        <v>0</v>
      </c>
      <c r="AG346" s="40">
        <v>0</v>
      </c>
      <c r="AH346" s="41">
        <v>0</v>
      </c>
      <c r="AI346" s="42">
        <v>0</v>
      </c>
      <c r="AJ346" s="41">
        <v>-32.173821104410415</v>
      </c>
      <c r="AK346" s="30">
        <v>-300718.02135162556</v>
      </c>
      <c r="AL346" s="43">
        <f>+$AL$6*W346/H346*10^6</f>
        <v>-70.627247609775637</v>
      </c>
      <c r="AM346" s="30">
        <v>13033972</v>
      </c>
      <c r="AN346" s="44">
        <v>-2.3071863385284667E-2</v>
      </c>
      <c r="AP346" s="32"/>
      <c r="AR346" s="32"/>
    </row>
    <row r="347" spans="1:44">
      <c r="A347" s="5" t="s">
        <v>1026</v>
      </c>
      <c r="B347" s="5" t="s">
        <v>1111</v>
      </c>
      <c r="C347" s="5" t="s">
        <v>2399</v>
      </c>
      <c r="D347" s="29" t="s">
        <v>1043</v>
      </c>
      <c r="E347" s="5" t="s">
        <v>910</v>
      </c>
      <c r="F347" s="30" t="s">
        <v>1151</v>
      </c>
      <c r="G347" s="5" t="s">
        <v>970</v>
      </c>
      <c r="H347" s="31">
        <v>97.04</v>
      </c>
      <c r="I347" s="32">
        <v>1140.2370000000001</v>
      </c>
      <c r="J347" s="32">
        <v>1108.884</v>
      </c>
      <c r="K347" s="33">
        <v>0.85</v>
      </c>
      <c r="L347" s="33">
        <v>0.87</v>
      </c>
      <c r="M347" s="6">
        <v>1</v>
      </c>
      <c r="N347" s="6">
        <v>1</v>
      </c>
      <c r="O347" s="6">
        <v>0</v>
      </c>
      <c r="P347" s="6">
        <v>0</v>
      </c>
      <c r="Q347" s="34">
        <v>969.20145000000002</v>
      </c>
      <c r="R347" s="34">
        <v>964.72907999999995</v>
      </c>
      <c r="S347" s="34">
        <v>94051.308708000011</v>
      </c>
      <c r="T347" s="34">
        <v>93617.309923199995</v>
      </c>
      <c r="U347" s="35">
        <v>5.1077247823387685E-3</v>
      </c>
      <c r="V347" s="36">
        <v>5.1024568187084179E-3</v>
      </c>
      <c r="W347" s="36">
        <v>-5.2679636303506333E-6</v>
      </c>
      <c r="X347" s="37">
        <v>-11.058213589074491</v>
      </c>
      <c r="Y347" s="38">
        <v>-113955.21011000093</v>
      </c>
      <c r="Z347" s="39">
        <v>9.5559080803436607E-3</v>
      </c>
      <c r="AA347" s="40">
        <v>9.5491073988212601E-3</v>
      </c>
      <c r="AB347" s="40">
        <v>-6.8006815224005285E-6</v>
      </c>
      <c r="AC347" s="41">
        <v>-0.13386754914559229</v>
      </c>
      <c r="AD347" s="42">
        <v>-1379.5089565704068</v>
      </c>
      <c r="AE347" s="39">
        <v>0</v>
      </c>
      <c r="AF347" s="40">
        <v>0</v>
      </c>
      <c r="AG347" s="40">
        <v>0</v>
      </c>
      <c r="AH347" s="41">
        <v>0</v>
      </c>
      <c r="AI347" s="42">
        <v>0</v>
      </c>
      <c r="AJ347" s="41">
        <v>-11.192081138220082</v>
      </c>
      <c r="AK347" s="30">
        <v>-115334.71906657134</v>
      </c>
      <c r="AL347" s="43">
        <f>+$AL$6*W347/H347*10^6</f>
        <v>-27.143258606505736</v>
      </c>
      <c r="AM347" s="30">
        <v>4434816.5</v>
      </c>
      <c r="AN347" s="44">
        <v>-2.6006649670075717E-2</v>
      </c>
      <c r="AP347" s="32"/>
      <c r="AR347" s="32"/>
    </row>
    <row r="348" spans="1:44">
      <c r="A348" s="5" t="s">
        <v>847</v>
      </c>
      <c r="B348" s="5" t="s">
        <v>1129</v>
      </c>
      <c r="C348" s="5" t="s">
        <v>2347</v>
      </c>
      <c r="D348" s="29" t="s">
        <v>2348</v>
      </c>
      <c r="E348" s="5" t="s">
        <v>1053</v>
      </c>
      <c r="F348" s="30" t="s">
        <v>1164</v>
      </c>
      <c r="G348" s="5" t="s">
        <v>970</v>
      </c>
      <c r="H348" s="31">
        <v>108.67</v>
      </c>
      <c r="I348" s="32">
        <v>305.142</v>
      </c>
      <c r="J348" s="32">
        <v>303.548</v>
      </c>
      <c r="K348" s="33">
        <v>1</v>
      </c>
      <c r="L348" s="33">
        <v>1</v>
      </c>
      <c r="M348" s="6">
        <v>0</v>
      </c>
      <c r="N348" s="6">
        <v>0</v>
      </c>
      <c r="O348" s="6">
        <v>1</v>
      </c>
      <c r="P348" s="6">
        <v>1</v>
      </c>
      <c r="Q348" s="34">
        <v>305.142</v>
      </c>
      <c r="R348" s="34">
        <v>303.548</v>
      </c>
      <c r="S348" s="34">
        <v>33159.781139999999</v>
      </c>
      <c r="T348" s="34">
        <v>32986.561159999997</v>
      </c>
      <c r="U348" s="35">
        <v>1.8008365671077684E-3</v>
      </c>
      <c r="V348" s="36">
        <v>1.7978780212191665E-3</v>
      </c>
      <c r="W348" s="36">
        <v>-2.9585458886018535E-6</v>
      </c>
      <c r="X348" s="37">
        <v>-6.2104134813588123</v>
      </c>
      <c r="Y348" s="38">
        <v>-57149.291261238723</v>
      </c>
      <c r="Z348" s="39">
        <v>0</v>
      </c>
      <c r="AA348" s="40">
        <v>0</v>
      </c>
      <c r="AB348" s="40">
        <v>0</v>
      </c>
      <c r="AC348" s="41">
        <v>0</v>
      </c>
      <c r="AD348" s="42">
        <v>0</v>
      </c>
      <c r="AE348" s="39">
        <v>3.8686869560258228E-3</v>
      </c>
      <c r="AF348" s="40">
        <v>3.8609128388420329E-3</v>
      </c>
      <c r="AG348" s="40">
        <v>-7.774117183789904E-6</v>
      </c>
      <c r="AH348" s="41">
        <v>-9.9951751318231627E-2</v>
      </c>
      <c r="AI348" s="42">
        <v>-919.77317859788002</v>
      </c>
      <c r="AJ348" s="41">
        <v>-6.3103652326770439</v>
      </c>
      <c r="AK348" s="30">
        <v>-58069.064439836606</v>
      </c>
      <c r="AL348" s="43">
        <f>+$AL$6*W348/H348*10^6</f>
        <v>-13.612523643148309</v>
      </c>
      <c r="AM348" s="30">
        <v>2034191.5</v>
      </c>
      <c r="AN348" s="44">
        <v>-2.8546508251478097E-2</v>
      </c>
      <c r="AP348" s="32"/>
      <c r="AR348" s="32"/>
    </row>
    <row r="349" spans="1:44">
      <c r="A349" s="5" t="s">
        <v>321</v>
      </c>
      <c r="B349" s="5" t="s">
        <v>621</v>
      </c>
      <c r="C349" s="5" t="s">
        <v>2295</v>
      </c>
      <c r="D349" s="29" t="s">
        <v>2296</v>
      </c>
      <c r="E349" s="5" t="s">
        <v>147</v>
      </c>
      <c r="F349" s="30" t="s">
        <v>1150</v>
      </c>
      <c r="G349" s="5" t="s">
        <v>970</v>
      </c>
      <c r="H349" s="31">
        <v>129.62</v>
      </c>
      <c r="I349" s="32">
        <v>82.692999999999998</v>
      </c>
      <c r="J349" s="32">
        <v>82.270349999999993</v>
      </c>
      <c r="K349" s="33">
        <v>1</v>
      </c>
      <c r="L349" s="33">
        <v>1</v>
      </c>
      <c r="M349" s="6">
        <v>0.65</v>
      </c>
      <c r="N349" s="6">
        <v>0.65</v>
      </c>
      <c r="O349" s="6">
        <v>0.35</v>
      </c>
      <c r="P349" s="6">
        <v>0.35</v>
      </c>
      <c r="Q349" s="34">
        <v>82.692999999999998</v>
      </c>
      <c r="R349" s="34">
        <v>82.270349999999993</v>
      </c>
      <c r="S349" s="34">
        <v>10718.666660000001</v>
      </c>
      <c r="T349" s="34">
        <v>10663.882766999999</v>
      </c>
      <c r="U349" s="35">
        <v>5.8210778866337506E-4</v>
      </c>
      <c r="V349" s="36">
        <v>5.8121731315526829E-4</v>
      </c>
      <c r="W349" s="36">
        <v>-8.9047550810676668E-7</v>
      </c>
      <c r="X349" s="37">
        <v>-1.8692362087983594</v>
      </c>
      <c r="Y349" s="38">
        <v>-14420.893448529234</v>
      </c>
      <c r="Z349" s="39">
        <v>7.078826078021354E-4</v>
      </c>
      <c r="AA349" s="40">
        <v>7.0702592548471048E-4</v>
      </c>
      <c r="AB349" s="40">
        <v>-8.5668231742492499E-7</v>
      </c>
      <c r="AC349" s="41">
        <v>-1.6863304339762727E-2</v>
      </c>
      <c r="AD349" s="42">
        <v>-130.09801218764642</v>
      </c>
      <c r="AE349" s="39">
        <v>4.3768407280675458E-4</v>
      </c>
      <c r="AF349" s="40">
        <v>4.3685404460801967E-4</v>
      </c>
      <c r="AG349" s="40">
        <v>-8.3002819873490919E-7</v>
      </c>
      <c r="AH349" s="41">
        <v>-1.0671664723559878E-2</v>
      </c>
      <c r="AI349" s="42">
        <v>-82.330386696187901</v>
      </c>
      <c r="AJ349" s="41">
        <v>-1.896771177861682</v>
      </c>
      <c r="AK349" s="30">
        <v>-14633.321847413068</v>
      </c>
      <c r="AL349" s="43">
        <f>+$AL$6*W349/H349*10^6</f>
        <v>-3.4349464130024945</v>
      </c>
      <c r="AM349" s="30">
        <v>489230.90625</v>
      </c>
      <c r="AN349" s="44">
        <v>-2.9910869612835438E-2</v>
      </c>
      <c r="AP349" s="32"/>
      <c r="AR349" s="32"/>
    </row>
    <row r="350" spans="1:44">
      <c r="A350" s="5" t="s">
        <v>1314</v>
      </c>
      <c r="B350" s="5" t="s">
        <v>487</v>
      </c>
      <c r="C350" s="5" t="s">
        <v>2304</v>
      </c>
      <c r="D350" s="29" t="s">
        <v>2305</v>
      </c>
      <c r="E350" s="5" t="s">
        <v>20</v>
      </c>
      <c r="F350" s="30" t="s">
        <v>1168</v>
      </c>
      <c r="G350" s="5" t="s">
        <v>970</v>
      </c>
      <c r="H350" s="31">
        <v>21.3</v>
      </c>
      <c r="I350" s="32">
        <v>412.93700000000001</v>
      </c>
      <c r="J350" s="32">
        <v>410.40109999999999</v>
      </c>
      <c r="K350" s="33">
        <v>1</v>
      </c>
      <c r="L350" s="33">
        <v>1</v>
      </c>
      <c r="M350" s="6">
        <v>0.49</v>
      </c>
      <c r="N350" s="6">
        <v>0.49</v>
      </c>
      <c r="O350" s="6">
        <v>0.51</v>
      </c>
      <c r="P350" s="6">
        <v>0.51</v>
      </c>
      <c r="Q350" s="34">
        <v>412.93700000000001</v>
      </c>
      <c r="R350" s="34">
        <v>410.40109999999999</v>
      </c>
      <c r="S350" s="34">
        <v>8795.5581000000002</v>
      </c>
      <c r="T350" s="34">
        <v>8741.5434299999997</v>
      </c>
      <c r="U350" s="35">
        <v>4.776678889323009E-4</v>
      </c>
      <c r="V350" s="36">
        <v>4.7644338335538721E-4</v>
      </c>
      <c r="W350" s="36">
        <v>-1.2245055769136951E-6</v>
      </c>
      <c r="X350" s="37">
        <v>-2.570413381844713</v>
      </c>
      <c r="Y350" s="38">
        <v>-120676.6845936485</v>
      </c>
      <c r="Z350" s="39">
        <v>4.3789158787929449E-4</v>
      </c>
      <c r="AA350" s="40">
        <v>4.3690882792268311E-4</v>
      </c>
      <c r="AB350" s="40">
        <v>-9.8275995661137837E-7</v>
      </c>
      <c r="AC350" s="41">
        <v>-1.934507098393801E-2</v>
      </c>
      <c r="AD350" s="42">
        <v>-908.21929502056378</v>
      </c>
      <c r="AE350" s="39">
        <v>5.2334190572233099E-4</v>
      </c>
      <c r="AF350" s="40">
        <v>5.2180862137170205E-4</v>
      </c>
      <c r="AG350" s="40">
        <v>-1.5332843506289402E-6</v>
      </c>
      <c r="AH350" s="41">
        <v>-1.9713422436409445E-2</v>
      </c>
      <c r="AI350" s="42">
        <v>-925.51279044175794</v>
      </c>
      <c r="AJ350" s="41">
        <v>-2.6094718752650605</v>
      </c>
      <c r="AK350" s="30">
        <v>-122510.41667911083</v>
      </c>
      <c r="AL350" s="43">
        <f>+$AL$6*W350/H350*10^6</f>
        <v>-28.744262368866082</v>
      </c>
      <c r="AM350" s="30">
        <v>4058634.5</v>
      </c>
      <c r="AN350" s="44">
        <v>-3.0185131644426426E-2</v>
      </c>
      <c r="AP350" s="32"/>
      <c r="AR350" s="32"/>
    </row>
    <row r="351" spans="1:44">
      <c r="A351" s="5" t="s">
        <v>244</v>
      </c>
      <c r="B351" s="5" t="s">
        <v>544</v>
      </c>
      <c r="C351" s="5" t="s">
        <v>2284</v>
      </c>
      <c r="D351" s="29" t="s">
        <v>2285</v>
      </c>
      <c r="E351" s="5" t="s">
        <v>76</v>
      </c>
      <c r="F351" s="30" t="s">
        <v>1156</v>
      </c>
      <c r="G351" s="5" t="s">
        <v>970</v>
      </c>
      <c r="H351" s="31">
        <v>40.96</v>
      </c>
      <c r="I351" s="32">
        <v>175.626</v>
      </c>
      <c r="J351" s="32">
        <v>174.72929999999999</v>
      </c>
      <c r="K351" s="33">
        <v>1</v>
      </c>
      <c r="L351" s="33">
        <v>1</v>
      </c>
      <c r="M351" s="6">
        <v>0.5</v>
      </c>
      <c r="N351" s="6">
        <v>0.5</v>
      </c>
      <c r="O351" s="6">
        <v>0.5</v>
      </c>
      <c r="P351" s="6">
        <v>0.5</v>
      </c>
      <c r="Q351" s="34">
        <v>175.626</v>
      </c>
      <c r="R351" s="34">
        <v>174.72929999999999</v>
      </c>
      <c r="S351" s="34">
        <v>7193.6409600000006</v>
      </c>
      <c r="T351" s="34">
        <v>7156.9121279999999</v>
      </c>
      <c r="U351" s="35">
        <v>3.9067120608300351E-4</v>
      </c>
      <c r="V351" s="36">
        <v>3.9007567209919177E-4</v>
      </c>
      <c r="W351" s="36">
        <v>-5.9553398381174787E-7</v>
      </c>
      <c r="X351" s="37">
        <v>-1.2501115145520485</v>
      </c>
      <c r="Y351" s="38">
        <v>-30520.300648243374</v>
      </c>
      <c r="Z351" s="39">
        <v>3.654482469253931E-4</v>
      </c>
      <c r="AA351" s="40">
        <v>3.6500793822351671E-4</v>
      </c>
      <c r="AB351" s="40">
        <v>-4.4030870187638767E-7</v>
      </c>
      <c r="AC351" s="41">
        <v>-8.6672264527487154E-3</v>
      </c>
      <c r="AD351" s="42">
        <v>-211.60220831906042</v>
      </c>
      <c r="AE351" s="39">
        <v>4.1963402639461875E-4</v>
      </c>
      <c r="AF351" s="40">
        <v>4.1884047548076481E-4</v>
      </c>
      <c r="AG351" s="40">
        <v>-7.9355091385394181E-7</v>
      </c>
      <c r="AH351" s="41">
        <v>-1.0202676615844048E-2</v>
      </c>
      <c r="AI351" s="42">
        <v>-249.0887845665051</v>
      </c>
      <c r="AJ351" s="41">
        <v>-1.2689814176206413</v>
      </c>
      <c r="AK351" s="30">
        <v>-30980.991641128941</v>
      </c>
      <c r="AL351" s="43">
        <f>+$AL$6*W351/H351*10^6</f>
        <v>-7.2697019508270007</v>
      </c>
      <c r="AM351" s="30">
        <v>963599.875</v>
      </c>
      <c r="AN351" s="44">
        <v>-3.2151303092612937E-2</v>
      </c>
      <c r="AP351" s="32"/>
      <c r="AR351" s="32"/>
    </row>
    <row r="352" spans="1:44">
      <c r="A352" s="5" t="s">
        <v>237</v>
      </c>
      <c r="B352" s="5" t="s">
        <v>537</v>
      </c>
      <c r="C352" s="5" t="s">
        <v>2328</v>
      </c>
      <c r="D352" s="29" t="s">
        <v>2329</v>
      </c>
      <c r="E352" s="5" t="s">
        <v>69</v>
      </c>
      <c r="F352" s="30" t="s">
        <v>1168</v>
      </c>
      <c r="G352" s="5" t="s">
        <v>970</v>
      </c>
      <c r="H352" s="31">
        <v>73</v>
      </c>
      <c r="I352" s="32">
        <v>244.31200000000001</v>
      </c>
      <c r="J352" s="32">
        <v>242.9477</v>
      </c>
      <c r="K352" s="33">
        <v>1</v>
      </c>
      <c r="L352" s="33">
        <v>1</v>
      </c>
      <c r="M352" s="6">
        <v>0.52</v>
      </c>
      <c r="N352" s="6">
        <v>0.52</v>
      </c>
      <c r="O352" s="6">
        <v>0.48</v>
      </c>
      <c r="P352" s="6">
        <v>0.48</v>
      </c>
      <c r="Q352" s="34">
        <v>244.31200000000001</v>
      </c>
      <c r="R352" s="34">
        <v>242.9477</v>
      </c>
      <c r="S352" s="34">
        <v>17834.776000000002</v>
      </c>
      <c r="T352" s="34">
        <v>17735.182099999998</v>
      </c>
      <c r="U352" s="35">
        <v>9.6856841881363574E-4</v>
      </c>
      <c r="V352" s="36">
        <v>9.6662680129793745E-4</v>
      </c>
      <c r="W352" s="36">
        <v>-1.9416175156982849E-6</v>
      </c>
      <c r="X352" s="37">
        <v>-4.0757345159292111</v>
      </c>
      <c r="Y352" s="38">
        <v>-55831.979670263165</v>
      </c>
      <c r="Z352" s="39">
        <v>9.4227598599073796E-4</v>
      </c>
      <c r="AA352" s="40">
        <v>9.4068802606838493E-4</v>
      </c>
      <c r="AB352" s="40">
        <v>-1.5879599223530281E-6</v>
      </c>
      <c r="AC352" s="41">
        <v>-3.1258088214633661E-2</v>
      </c>
      <c r="AD352" s="42">
        <v>-428.19298924155697</v>
      </c>
      <c r="AE352" s="39">
        <v>9.9875928589812017E-4</v>
      </c>
      <c r="AF352" s="40">
        <v>9.963911099960161E-4</v>
      </c>
      <c r="AG352" s="40">
        <v>-2.3681759021040687E-6</v>
      </c>
      <c r="AH352" s="41">
        <v>-3.0447615240286507E-2</v>
      </c>
      <c r="AI352" s="42">
        <v>-417.09061972995215</v>
      </c>
      <c r="AJ352" s="41">
        <v>-4.137440219384132</v>
      </c>
      <c r="AK352" s="30">
        <v>-56677.263279234678</v>
      </c>
      <c r="AL352" s="43">
        <f>+$AL$6*W352/H352*10^6</f>
        <v>-13.298750107522499</v>
      </c>
      <c r="AM352" s="30">
        <v>1745166.75</v>
      </c>
      <c r="AN352" s="44">
        <v>-3.2476703603959149E-2</v>
      </c>
      <c r="AP352" s="32"/>
      <c r="AR352" s="32"/>
    </row>
    <row r="353" spans="1:44">
      <c r="A353" s="5" t="s">
        <v>283</v>
      </c>
      <c r="B353" s="5" t="s">
        <v>583</v>
      </c>
      <c r="C353" s="5" t="s">
        <v>2317</v>
      </c>
      <c r="D353" s="29" t="s">
        <v>647</v>
      </c>
      <c r="E353" s="5" t="s">
        <v>110</v>
      </c>
      <c r="F353" s="30" t="s">
        <v>1168</v>
      </c>
      <c r="G353" s="5" t="s">
        <v>970</v>
      </c>
      <c r="H353" s="31">
        <v>58.92</v>
      </c>
      <c r="I353" s="32">
        <v>128.43700000000001</v>
      </c>
      <c r="J353" s="32">
        <v>94.201459999999997</v>
      </c>
      <c r="K353" s="33">
        <v>0.74</v>
      </c>
      <c r="L353" s="33">
        <v>1</v>
      </c>
      <c r="M353" s="6">
        <v>1</v>
      </c>
      <c r="N353" s="6">
        <v>1</v>
      </c>
      <c r="O353" s="6">
        <v>0</v>
      </c>
      <c r="P353" s="6">
        <v>0</v>
      </c>
      <c r="Q353" s="34">
        <v>95.043380000000013</v>
      </c>
      <c r="R353" s="34">
        <v>94.201459999999997</v>
      </c>
      <c r="S353" s="34">
        <v>5599.9559496000011</v>
      </c>
      <c r="T353" s="34">
        <v>5550.3500231999997</v>
      </c>
      <c r="U353" s="35">
        <v>3.0412159252967823E-4</v>
      </c>
      <c r="V353" s="36">
        <v>3.025126586667384E-4</v>
      </c>
      <c r="W353" s="36">
        <v>-1.6089338629398341E-6</v>
      </c>
      <c r="X353" s="37">
        <v>-3.3773836638844004</v>
      </c>
      <c r="Y353" s="38">
        <v>-57321.515001432454</v>
      </c>
      <c r="Z353" s="39">
        <v>5.68973096105354E-4</v>
      </c>
      <c r="AA353" s="40">
        <v>5.6614410856354171E-4</v>
      </c>
      <c r="AB353" s="40">
        <v>-2.8289875418122893E-6</v>
      </c>
      <c r="AC353" s="41">
        <v>-5.5687011300030217E-2</v>
      </c>
      <c r="AD353" s="42">
        <v>-945.12918024491205</v>
      </c>
      <c r="AE353" s="39">
        <v>0</v>
      </c>
      <c r="AF353" s="40">
        <v>0</v>
      </c>
      <c r="AG353" s="40">
        <v>0</v>
      </c>
      <c r="AH353" s="41">
        <v>0</v>
      </c>
      <c r="AI353" s="42">
        <v>0</v>
      </c>
      <c r="AJ353" s="41">
        <v>-3.4330706751844304</v>
      </c>
      <c r="AK353" s="30">
        <v>-58266.644181677366</v>
      </c>
      <c r="AL353" s="43">
        <f>+$AL$6*W353/H353*10^6</f>
        <v>-13.653546019516583</v>
      </c>
      <c r="AM353" s="30">
        <v>1736233.625</v>
      </c>
      <c r="AN353" s="44">
        <v>-3.3559218841690941E-2</v>
      </c>
      <c r="AP353" s="32"/>
      <c r="AR353" s="32"/>
    </row>
    <row r="354" spans="1:44">
      <c r="A354" s="5" t="s">
        <v>239</v>
      </c>
      <c r="B354" s="5" t="s">
        <v>539</v>
      </c>
      <c r="C354" s="5" t="s">
        <v>2318</v>
      </c>
      <c r="D354" s="29" t="s">
        <v>2319</v>
      </c>
      <c r="E354" s="5" t="s">
        <v>71</v>
      </c>
      <c r="F354" s="30" t="s">
        <v>1151</v>
      </c>
      <c r="G354" s="5" t="s">
        <v>970</v>
      </c>
      <c r="H354" s="31">
        <v>47.81</v>
      </c>
      <c r="I354" s="32">
        <v>363.22800000000001</v>
      </c>
      <c r="J354" s="32">
        <v>361.2063</v>
      </c>
      <c r="K354" s="33">
        <v>0.9</v>
      </c>
      <c r="L354" s="33">
        <v>0.9</v>
      </c>
      <c r="M354" s="6">
        <v>0.64</v>
      </c>
      <c r="N354" s="6">
        <v>0.64</v>
      </c>
      <c r="O354" s="6">
        <v>0.36</v>
      </c>
      <c r="P354" s="6">
        <v>0.36</v>
      </c>
      <c r="Q354" s="34">
        <v>326.90520000000004</v>
      </c>
      <c r="R354" s="34">
        <v>325.08566999999999</v>
      </c>
      <c r="S354" s="34">
        <v>15629.337612000003</v>
      </c>
      <c r="T354" s="34">
        <v>15542.345882700001</v>
      </c>
      <c r="U354" s="35">
        <v>8.4879579188206942E-4</v>
      </c>
      <c r="V354" s="36">
        <v>8.4710988590641374E-4</v>
      </c>
      <c r="W354" s="36">
        <v>-1.6859059756556835E-6</v>
      </c>
      <c r="X354" s="37">
        <v>-3.5389592028479306</v>
      </c>
      <c r="Y354" s="38">
        <v>-74021.317775526681</v>
      </c>
      <c r="Z354" s="39">
        <v>1.0163134357438731E-3</v>
      </c>
      <c r="AA354" s="40">
        <v>1.0146194044518243E-3</v>
      </c>
      <c r="AB354" s="40">
        <v>-1.6940312920488143E-6</v>
      </c>
      <c r="AC354" s="41">
        <v>-3.3346042818730277E-2</v>
      </c>
      <c r="AD354" s="42">
        <v>-697.47004431563016</v>
      </c>
      <c r="AE354" s="39">
        <v>6.5643995496866999E-4</v>
      </c>
      <c r="AF354" s="40">
        <v>6.5489552822263378E-4</v>
      </c>
      <c r="AG354" s="40">
        <v>-1.5444267460362109E-6</v>
      </c>
      <c r="AH354" s="41">
        <v>-1.9856680109082446E-2</v>
      </c>
      <c r="AI354" s="42">
        <v>-415.32482972353995</v>
      </c>
      <c r="AJ354" s="41">
        <v>-3.5921619257757431</v>
      </c>
      <c r="AK354" s="30">
        <v>-75134.112649565854</v>
      </c>
      <c r="AL354" s="43">
        <f>+$AL$6*W354/H354*10^6</f>
        <v>-17.631311186526702</v>
      </c>
      <c r="AM354" s="30">
        <v>2234913.75</v>
      </c>
      <c r="AN354" s="44">
        <v>-3.3618349992059357E-2</v>
      </c>
      <c r="AP354" s="32"/>
      <c r="AR354" s="32"/>
    </row>
    <row r="355" spans="1:44">
      <c r="A355" s="5" t="s">
        <v>1389</v>
      </c>
      <c r="B355" s="5" t="s">
        <v>1364</v>
      </c>
      <c r="C355" s="5" t="s">
        <v>2322</v>
      </c>
      <c r="D355" s="29" t="s">
        <v>2323</v>
      </c>
      <c r="E355" s="5" t="s">
        <v>1375</v>
      </c>
      <c r="F355" s="30" t="s">
        <v>1154</v>
      </c>
      <c r="G355" s="5" t="s">
        <v>970</v>
      </c>
      <c r="H355" s="31">
        <v>20.53</v>
      </c>
      <c r="I355" s="32">
        <v>333.495</v>
      </c>
      <c r="J355" s="32">
        <v>330.65530000000001</v>
      </c>
      <c r="K355" s="33">
        <v>1</v>
      </c>
      <c r="L355" s="33">
        <v>1</v>
      </c>
      <c r="M355" s="6">
        <v>0</v>
      </c>
      <c r="N355" s="6">
        <v>0</v>
      </c>
      <c r="O355" s="6">
        <v>1</v>
      </c>
      <c r="P355" s="6">
        <v>1</v>
      </c>
      <c r="Q355" s="34">
        <v>333.495</v>
      </c>
      <c r="R355" s="34">
        <v>330.65530000000001</v>
      </c>
      <c r="S355" s="34">
        <v>6846.6523500000003</v>
      </c>
      <c r="T355" s="34">
        <v>6788.353309000001</v>
      </c>
      <c r="U355" s="35">
        <v>3.7182699916198347E-4</v>
      </c>
      <c r="V355" s="36">
        <v>3.6998798254002369E-4</v>
      </c>
      <c r="W355" s="36">
        <v>-1.8390166219597838E-6</v>
      </c>
      <c r="X355" s="37">
        <v>-3.860360478254854</v>
      </c>
      <c r="Y355" s="38">
        <v>-188035.09392376296</v>
      </c>
      <c r="Z355" s="39">
        <v>0</v>
      </c>
      <c r="AA355" s="40">
        <v>0</v>
      </c>
      <c r="AB355" s="40">
        <v>0</v>
      </c>
      <c r="AC355" s="41">
        <v>0</v>
      </c>
      <c r="AD355" s="42">
        <v>0</v>
      </c>
      <c r="AE355" s="39">
        <v>7.9878556879065541E-4</v>
      </c>
      <c r="AF355" s="40">
        <v>7.9454297518880576E-4</v>
      </c>
      <c r="AG355" s="40">
        <v>-4.242593601849645E-6</v>
      </c>
      <c r="AH355" s="41">
        <v>-5.4546985929232995E-2</v>
      </c>
      <c r="AI355" s="42">
        <v>-2656.9403764848025</v>
      </c>
      <c r="AJ355" s="41">
        <v>-3.9149074641840871</v>
      </c>
      <c r="AK355" s="30">
        <v>-190692.03430024776</v>
      </c>
      <c r="AL355" s="43">
        <f>+$AL$6*W355/H355*10^6</f>
        <v>-44.788519774958203</v>
      </c>
      <c r="AM355" s="30">
        <v>5636506</v>
      </c>
      <c r="AN355" s="44">
        <v>-3.3831603177615313E-2</v>
      </c>
      <c r="AP355" s="32"/>
      <c r="AR355" s="32"/>
    </row>
    <row r="356" spans="1:44">
      <c r="A356" s="5" t="s">
        <v>840</v>
      </c>
      <c r="B356" s="5" t="s">
        <v>1123</v>
      </c>
      <c r="C356" s="5" t="s">
        <v>2404</v>
      </c>
      <c r="D356" s="29" t="s">
        <v>2405</v>
      </c>
      <c r="E356" s="5" t="s">
        <v>923</v>
      </c>
      <c r="F356" s="30" t="s">
        <v>1160</v>
      </c>
      <c r="G356" s="5" t="s">
        <v>970</v>
      </c>
      <c r="H356" s="31">
        <v>73.73</v>
      </c>
      <c r="I356" s="32">
        <v>768.11900000000003</v>
      </c>
      <c r="J356" s="32">
        <v>763.9511</v>
      </c>
      <c r="K356" s="33">
        <v>1</v>
      </c>
      <c r="L356" s="33">
        <v>1</v>
      </c>
      <c r="M356" s="6">
        <v>0</v>
      </c>
      <c r="N356" s="6">
        <v>0</v>
      </c>
      <c r="O356" s="6">
        <v>1</v>
      </c>
      <c r="P356" s="6">
        <v>1</v>
      </c>
      <c r="Q356" s="34">
        <v>768.11900000000003</v>
      </c>
      <c r="R356" s="34">
        <v>763.9511</v>
      </c>
      <c r="S356" s="34">
        <v>56633.413870000004</v>
      </c>
      <c r="T356" s="34">
        <v>56326.114603000002</v>
      </c>
      <c r="U356" s="35">
        <v>3.0756391963702896E-3</v>
      </c>
      <c r="V356" s="36">
        <v>3.069961823974671E-3</v>
      </c>
      <c r="W356" s="36">
        <v>-5.6773723956186212E-6</v>
      </c>
      <c r="X356" s="37">
        <v>-11.917621491112595</v>
      </c>
      <c r="Y356" s="38">
        <v>-161638.70190034714</v>
      </c>
      <c r="Z356" s="39">
        <v>0</v>
      </c>
      <c r="AA356" s="40">
        <v>0</v>
      </c>
      <c r="AB356" s="40">
        <v>0</v>
      </c>
      <c r="AC356" s="41">
        <v>0</v>
      </c>
      <c r="AD356" s="42">
        <v>0</v>
      </c>
      <c r="AE356" s="39">
        <v>6.6073098790687904E-3</v>
      </c>
      <c r="AF356" s="40">
        <v>6.5926914290331696E-3</v>
      </c>
      <c r="AG356" s="40">
        <v>-1.4618450035620845E-5</v>
      </c>
      <c r="AH356" s="41">
        <v>-0.18794927424879118</v>
      </c>
      <c r="AI356" s="42">
        <v>-2549.1560321279148</v>
      </c>
      <c r="AJ356" s="41">
        <v>-12.105570765361385</v>
      </c>
      <c r="AK356" s="30">
        <v>-164187.85793247505</v>
      </c>
      <c r="AL356" s="43">
        <f>+$AL$6*W356/H356*10^6</f>
        <v>-38.501101285898692</v>
      </c>
      <c r="AM356" s="30">
        <v>4802084</v>
      </c>
      <c r="AN356" s="44">
        <v>-3.4190959161163166E-2</v>
      </c>
      <c r="AP356" s="32"/>
      <c r="AR356" s="32"/>
    </row>
    <row r="357" spans="1:44">
      <c r="A357" s="5" t="s">
        <v>1295</v>
      </c>
      <c r="B357" s="5" t="s">
        <v>467</v>
      </c>
      <c r="C357" s="5" t="s">
        <v>2315</v>
      </c>
      <c r="D357" s="29" t="s">
        <v>2316</v>
      </c>
      <c r="E357" s="5" t="s">
        <v>3</v>
      </c>
      <c r="F357" s="30" t="s">
        <v>1165</v>
      </c>
      <c r="G357" s="5" t="s">
        <v>970</v>
      </c>
      <c r="H357" s="31">
        <v>11.51</v>
      </c>
      <c r="I357" s="32">
        <v>808.52800000000002</v>
      </c>
      <c r="J357" s="32">
        <v>803.06579999999997</v>
      </c>
      <c r="K357" s="33">
        <v>1</v>
      </c>
      <c r="L357" s="33">
        <v>1</v>
      </c>
      <c r="M357" s="6">
        <v>0</v>
      </c>
      <c r="N357" s="6">
        <v>0</v>
      </c>
      <c r="O357" s="6">
        <v>1</v>
      </c>
      <c r="P357" s="6">
        <v>1</v>
      </c>
      <c r="Q357" s="34">
        <v>808.52800000000002</v>
      </c>
      <c r="R357" s="34">
        <v>803.06579999999997</v>
      </c>
      <c r="S357" s="34">
        <v>9306.1572799999994</v>
      </c>
      <c r="T357" s="34">
        <v>9243.2873579999996</v>
      </c>
      <c r="U357" s="35">
        <v>5.0539743487221841E-4</v>
      </c>
      <c r="V357" s="36">
        <v>5.0379010725473206E-4</v>
      </c>
      <c r="W357" s="36">
        <v>-1.6073276174863489E-6</v>
      </c>
      <c r="X357" s="37">
        <v>-3.3740119235787565</v>
      </c>
      <c r="Y357" s="38">
        <v>-293137.43905983987</v>
      </c>
      <c r="Z357" s="39">
        <v>0</v>
      </c>
      <c r="AA357" s="40">
        <v>0</v>
      </c>
      <c r="AB357" s="40">
        <v>0</v>
      </c>
      <c r="AC357" s="41">
        <v>0</v>
      </c>
      <c r="AD357" s="42">
        <v>0</v>
      </c>
      <c r="AE357" s="39">
        <v>1.0857312093785656E-3</v>
      </c>
      <c r="AF357" s="40">
        <v>1.0818807895890551E-3</v>
      </c>
      <c r="AG357" s="40">
        <v>-3.8504197895105653E-6</v>
      </c>
      <c r="AH357" s="41">
        <v>-4.9504810922381709E-2</v>
      </c>
      <c r="AI357" s="42">
        <v>-4301.0261444293401</v>
      </c>
      <c r="AJ357" s="41">
        <v>-3.4235167345011384</v>
      </c>
      <c r="AK357" s="30">
        <v>-297438.46520426922</v>
      </c>
      <c r="AL357" s="43">
        <f>+$AL$6*W357/H357*10^6</f>
        <v>-69.823093722256687</v>
      </c>
      <c r="AM357" s="30">
        <v>8653152</v>
      </c>
      <c r="AN357" s="44">
        <v>-3.4373424297212067E-2</v>
      </c>
      <c r="AP357" s="32"/>
      <c r="AR357" s="32"/>
    </row>
    <row r="358" spans="1:44">
      <c r="A358" s="5" t="s">
        <v>294</v>
      </c>
      <c r="B358" s="5" t="s">
        <v>594</v>
      </c>
      <c r="C358" s="5" t="s">
        <v>2330</v>
      </c>
      <c r="D358" s="29" t="s">
        <v>2331</v>
      </c>
      <c r="E358" s="5" t="s">
        <v>120</v>
      </c>
      <c r="F358" s="30" t="s">
        <v>1149</v>
      </c>
      <c r="G358" s="5" t="s">
        <v>970</v>
      </c>
      <c r="H358" s="31">
        <v>103.13</v>
      </c>
      <c r="I358" s="32">
        <v>378.40899999999999</v>
      </c>
      <c r="J358" s="32">
        <v>376.5582</v>
      </c>
      <c r="K358" s="33">
        <v>0.79</v>
      </c>
      <c r="L358" s="33">
        <v>0.79</v>
      </c>
      <c r="M358" s="6">
        <v>1</v>
      </c>
      <c r="N358" s="6">
        <v>1</v>
      </c>
      <c r="O358" s="6">
        <v>0</v>
      </c>
      <c r="P358" s="6">
        <v>0</v>
      </c>
      <c r="Q358" s="34">
        <v>298.94310999999999</v>
      </c>
      <c r="R358" s="34">
        <v>297.48097799999999</v>
      </c>
      <c r="S358" s="34">
        <v>30830.002934299999</v>
      </c>
      <c r="T358" s="34">
        <v>30679.213261139997</v>
      </c>
      <c r="U358" s="35">
        <v>1.6743113114566003E-3</v>
      </c>
      <c r="V358" s="36">
        <v>1.6721198358010106E-3</v>
      </c>
      <c r="W358" s="36">
        <v>-2.1914756555896971E-6</v>
      </c>
      <c r="X358" s="37">
        <v>-4.6002226999344202</v>
      </c>
      <c r="Y358" s="38">
        <v>-44606.05740264152</v>
      </c>
      <c r="Z358" s="39">
        <v>3.1324250369717255E-3</v>
      </c>
      <c r="AA358" s="40">
        <v>3.1293262173662066E-3</v>
      </c>
      <c r="AB358" s="40">
        <v>-3.0988196055188599E-6</v>
      </c>
      <c r="AC358" s="41">
        <v>-6.0998502057289725E-2</v>
      </c>
      <c r="AD358" s="42">
        <v>-591.47194858227215</v>
      </c>
      <c r="AE358" s="39">
        <v>0</v>
      </c>
      <c r="AF358" s="40">
        <v>0</v>
      </c>
      <c r="AG358" s="40">
        <v>0</v>
      </c>
      <c r="AH358" s="41">
        <v>0</v>
      </c>
      <c r="AI358" s="42">
        <v>0</v>
      </c>
      <c r="AJ358" s="41">
        <v>-4.6612212019917099</v>
      </c>
      <c r="AK358" s="30">
        <v>-45197.529351223791</v>
      </c>
      <c r="AL358" s="43">
        <f>+$AL$6*W358/H358*10^6</f>
        <v>-10.624821369095789</v>
      </c>
      <c r="AM358" s="30">
        <v>1280067.25</v>
      </c>
      <c r="AN358" s="44">
        <v>-3.530871471887418E-2</v>
      </c>
      <c r="AP358" s="32"/>
      <c r="AR358" s="32"/>
    </row>
    <row r="359" spans="1:44">
      <c r="A359" s="5" t="s">
        <v>817</v>
      </c>
      <c r="B359" s="5" t="s">
        <v>177</v>
      </c>
      <c r="C359" s="5" t="s">
        <v>2313</v>
      </c>
      <c r="D359" s="29" t="s">
        <v>2314</v>
      </c>
      <c r="E359" s="5" t="s">
        <v>672</v>
      </c>
      <c r="F359" s="30" t="s">
        <v>1159</v>
      </c>
      <c r="G359" s="5" t="s">
        <v>970</v>
      </c>
      <c r="H359" s="31">
        <v>62.51</v>
      </c>
      <c r="I359" s="32">
        <v>209.22900000000001</v>
      </c>
      <c r="J359" s="32">
        <v>208.04179999999999</v>
      </c>
      <c r="K359" s="33">
        <v>1</v>
      </c>
      <c r="L359" s="33">
        <v>1</v>
      </c>
      <c r="M359" s="6">
        <v>0.5</v>
      </c>
      <c r="N359" s="6">
        <v>0.5</v>
      </c>
      <c r="O359" s="6">
        <v>0.5</v>
      </c>
      <c r="P359" s="6">
        <v>0.5</v>
      </c>
      <c r="Q359" s="34">
        <v>209.22900000000001</v>
      </c>
      <c r="R359" s="34">
        <v>208.04179999999999</v>
      </c>
      <c r="S359" s="34">
        <v>13078.904790000001</v>
      </c>
      <c r="T359" s="34">
        <v>13004.692917999999</v>
      </c>
      <c r="U359" s="35">
        <v>7.1028725744940032E-4</v>
      </c>
      <c r="V359" s="36">
        <v>7.0879930334565217E-4</v>
      </c>
      <c r="W359" s="36">
        <v>-1.4879541037481504E-6</v>
      </c>
      <c r="X359" s="37">
        <v>-3.1234297433620992</v>
      </c>
      <c r="Y359" s="38">
        <v>-49966.881192802743</v>
      </c>
      <c r="Z359" s="39">
        <v>6.6442888292406893E-4</v>
      </c>
      <c r="AA359" s="40">
        <v>6.6324918684668101E-4</v>
      </c>
      <c r="AB359" s="40">
        <v>-1.179696077387919E-6</v>
      </c>
      <c r="AC359" s="41">
        <v>-2.322164655063063E-2</v>
      </c>
      <c r="AD359" s="42">
        <v>-371.48690690498529</v>
      </c>
      <c r="AE359" s="39">
        <v>7.6294514952544498E-4</v>
      </c>
      <c r="AF359" s="40">
        <v>7.610672965994049E-4</v>
      </c>
      <c r="AG359" s="40">
        <v>-1.8778529260400807E-6</v>
      </c>
      <c r="AH359" s="41">
        <v>-2.4143537361019051E-2</v>
      </c>
      <c r="AI359" s="42">
        <v>-386.23480020827151</v>
      </c>
      <c r="AJ359" s="41">
        <v>-3.1707949272737492</v>
      </c>
      <c r="AK359" s="30">
        <v>-50724.602899915997</v>
      </c>
      <c r="AL359" s="43">
        <f>+$AL$6*W359/H359*10^6</f>
        <v>-11.901728553416657</v>
      </c>
      <c r="AM359" s="30">
        <v>1372879.25</v>
      </c>
      <c r="AN359" s="44">
        <v>-3.694760693623711E-2</v>
      </c>
      <c r="AP359" s="32"/>
      <c r="AR359" s="32"/>
    </row>
    <row r="360" spans="1:44">
      <c r="A360" s="5" t="s">
        <v>1173</v>
      </c>
      <c r="B360" s="5" t="s">
        <v>342</v>
      </c>
      <c r="C360" s="5" t="s">
        <v>2369</v>
      </c>
      <c r="D360" s="29" t="s">
        <v>2370</v>
      </c>
      <c r="E360" s="5" t="s">
        <v>699</v>
      </c>
      <c r="F360" s="30" t="s">
        <v>1151</v>
      </c>
      <c r="G360" s="5" t="s">
        <v>970</v>
      </c>
      <c r="H360" s="31">
        <v>83.82</v>
      </c>
      <c r="I360" s="32">
        <v>500.26900000000001</v>
      </c>
      <c r="J360" s="32">
        <v>497.6454</v>
      </c>
      <c r="K360" s="33">
        <v>0.95</v>
      </c>
      <c r="L360" s="33">
        <v>0.95</v>
      </c>
      <c r="M360" s="6">
        <v>0.69</v>
      </c>
      <c r="N360" s="6">
        <v>0.69</v>
      </c>
      <c r="O360" s="6">
        <v>0.31</v>
      </c>
      <c r="P360" s="6">
        <v>0.31</v>
      </c>
      <c r="Q360" s="34">
        <v>475.25554999999997</v>
      </c>
      <c r="R360" s="34">
        <v>472.76312999999999</v>
      </c>
      <c r="S360" s="34">
        <v>39835.920200999994</v>
      </c>
      <c r="T360" s="34">
        <v>39627.005556599994</v>
      </c>
      <c r="U360" s="35">
        <v>2.1634033553922251E-3</v>
      </c>
      <c r="V360" s="36">
        <v>2.1598044728388692E-3</v>
      </c>
      <c r="W360" s="36">
        <v>-3.5988825533559733E-6</v>
      </c>
      <c r="X360" s="37">
        <v>-7.554572269200583</v>
      </c>
      <c r="Y360" s="38">
        <v>-90128.516692920355</v>
      </c>
      <c r="Z360" s="39">
        <v>2.7927435982180453E-3</v>
      </c>
      <c r="AA360" s="40">
        <v>2.7889900624384527E-3</v>
      </c>
      <c r="AB360" s="40">
        <v>-3.7535357795925699E-6</v>
      </c>
      <c r="AC360" s="41">
        <v>-7.3886217695867257E-2</v>
      </c>
      <c r="AD360" s="42">
        <v>-881.48672984809434</v>
      </c>
      <c r="AE360" s="39">
        <v>1.440749512362349E-3</v>
      </c>
      <c r="AF360" s="40">
        <v>1.4378245816723343E-3</v>
      </c>
      <c r="AG360" s="40">
        <v>-2.9249306900147078E-6</v>
      </c>
      <c r="AH360" s="41">
        <v>-3.7605806297981645E-2</v>
      </c>
      <c r="AI360" s="42">
        <v>-448.64956213292351</v>
      </c>
      <c r="AJ360" s="41">
        <v>-7.6660642931944318</v>
      </c>
      <c r="AK360" s="30">
        <v>-91458.652984901375</v>
      </c>
      <c r="AL360" s="43">
        <f>+$AL$6*W360/H360*10^6</f>
        <v>-21.467922651849044</v>
      </c>
      <c r="AM360" s="30">
        <v>2426210.75</v>
      </c>
      <c r="AN360" s="44">
        <v>-3.769608760694073E-2</v>
      </c>
      <c r="AP360" s="32"/>
      <c r="AR360" s="32"/>
    </row>
    <row r="361" spans="1:44">
      <c r="A361" s="5" t="s">
        <v>1019</v>
      </c>
      <c r="B361" s="5" t="s">
        <v>1105</v>
      </c>
      <c r="C361" s="5" t="s">
        <v>2482</v>
      </c>
      <c r="D361" s="29" t="s">
        <v>2483</v>
      </c>
      <c r="E361" s="5" t="s">
        <v>903</v>
      </c>
      <c r="F361" s="30" t="s">
        <v>1151</v>
      </c>
      <c r="G361" s="5" t="s">
        <v>970</v>
      </c>
      <c r="H361" s="31">
        <v>156.16</v>
      </c>
      <c r="I361" s="32">
        <v>984.73400000000004</v>
      </c>
      <c r="J361" s="32">
        <v>979.52979999999991</v>
      </c>
      <c r="K361" s="33">
        <v>0.93</v>
      </c>
      <c r="L361" s="33">
        <v>0.93</v>
      </c>
      <c r="M361" s="6">
        <v>0</v>
      </c>
      <c r="N361" s="6">
        <v>0</v>
      </c>
      <c r="O361" s="6">
        <v>1</v>
      </c>
      <c r="P361" s="6">
        <v>1</v>
      </c>
      <c r="Q361" s="34">
        <v>915.80262000000005</v>
      </c>
      <c r="R361" s="34">
        <v>910.96271400000001</v>
      </c>
      <c r="S361" s="34">
        <v>143011.73713920001</v>
      </c>
      <c r="T361" s="34">
        <v>142255.93741824001</v>
      </c>
      <c r="U361" s="35">
        <v>7.7666606024491842E-3</v>
      </c>
      <c r="V361" s="36">
        <v>7.753424857827252E-3</v>
      </c>
      <c r="W361" s="36">
        <v>-1.3235744621932152E-5</v>
      </c>
      <c r="X361" s="37">
        <v>-27.783732255954821</v>
      </c>
      <c r="Y361" s="38">
        <v>-177918.36741774346</v>
      </c>
      <c r="Z361" s="39">
        <v>0</v>
      </c>
      <c r="AA361" s="40">
        <v>0</v>
      </c>
      <c r="AB361" s="40">
        <v>0</v>
      </c>
      <c r="AC361" s="41">
        <v>0</v>
      </c>
      <c r="AD361" s="42">
        <v>0</v>
      </c>
      <c r="AE361" s="39">
        <v>1.6684900292107802E-2</v>
      </c>
      <c r="AF361" s="40">
        <v>1.6650349592839814E-2</v>
      </c>
      <c r="AG361" s="40">
        <v>-3.4550699267988511E-5</v>
      </c>
      <c r="AH361" s="41">
        <v>-0.44421801465841187</v>
      </c>
      <c r="AI361" s="42">
        <v>-2844.6338028842974</v>
      </c>
      <c r="AJ361" s="41">
        <v>-28.227950270613231</v>
      </c>
      <c r="AK361" s="30">
        <v>-180763.00122062775</v>
      </c>
      <c r="AL361" s="43">
        <f>+$AL$6*W361/H361*10^6</f>
        <v>-42.378792974936452</v>
      </c>
      <c r="AM361" s="30">
        <v>4597264.5</v>
      </c>
      <c r="AN361" s="44">
        <v>-3.9319687005311035E-2</v>
      </c>
      <c r="AP361" s="32"/>
      <c r="AR361" s="32"/>
    </row>
    <row r="362" spans="1:44">
      <c r="A362" s="5" t="s">
        <v>836</v>
      </c>
      <c r="B362" s="5" t="s">
        <v>192</v>
      </c>
      <c r="C362" s="5" t="s">
        <v>2391</v>
      </c>
      <c r="D362" s="29" t="s">
        <v>1577</v>
      </c>
      <c r="E362" s="5" t="s">
        <v>694</v>
      </c>
      <c r="F362" s="30" t="s">
        <v>1164</v>
      </c>
      <c r="G362" s="5" t="s">
        <v>970</v>
      </c>
      <c r="H362" s="31">
        <v>66.27</v>
      </c>
      <c r="I362" s="32">
        <v>96.97</v>
      </c>
      <c r="J362" s="32">
        <v>95.369969999999995</v>
      </c>
      <c r="K362" s="33">
        <v>1</v>
      </c>
      <c r="L362" s="33">
        <v>1</v>
      </c>
      <c r="M362" s="6">
        <v>1</v>
      </c>
      <c r="N362" s="6">
        <v>1</v>
      </c>
      <c r="O362" s="6">
        <v>0</v>
      </c>
      <c r="P362" s="6">
        <v>0</v>
      </c>
      <c r="Q362" s="34">
        <v>96.97</v>
      </c>
      <c r="R362" s="34">
        <v>95.369969999999995</v>
      </c>
      <c r="S362" s="34">
        <v>6426.2018999999991</v>
      </c>
      <c r="T362" s="34">
        <v>6320.1679118999991</v>
      </c>
      <c r="U362" s="35">
        <v>3.4899323732802591E-4</v>
      </c>
      <c r="V362" s="36">
        <v>3.4447031092766511E-4</v>
      </c>
      <c r="W362" s="36">
        <v>-4.5229264003607966E-6</v>
      </c>
      <c r="X362" s="37">
        <v>-9.4942732509951906</v>
      </c>
      <c r="Y362" s="38">
        <v>-143266.53464607199</v>
      </c>
      <c r="Z362" s="39">
        <v>6.5292227727296241E-4</v>
      </c>
      <c r="AA362" s="40">
        <v>6.4466669912676832E-4</v>
      </c>
      <c r="AB362" s="40">
        <v>-8.2555781461940946E-6</v>
      </c>
      <c r="AC362" s="41">
        <v>-0.1625063619830876</v>
      </c>
      <c r="AD362" s="42">
        <v>-2452.1859360659064</v>
      </c>
      <c r="AE362" s="39">
        <v>0</v>
      </c>
      <c r="AF362" s="40">
        <v>0</v>
      </c>
      <c r="AG362" s="40">
        <v>0</v>
      </c>
      <c r="AH362" s="41">
        <v>0</v>
      </c>
      <c r="AI362" s="42">
        <v>0</v>
      </c>
      <c r="AJ362" s="41">
        <v>-9.6567796129782781</v>
      </c>
      <c r="AK362" s="30">
        <v>-145718.7205821379</v>
      </c>
      <c r="AL362" s="43">
        <f>+$AL$6*W362/H362*10^6</f>
        <v>-34.124991703340854</v>
      </c>
      <c r="AM362" s="30">
        <v>3619048.5</v>
      </c>
      <c r="AN362" s="44">
        <v>-4.0264373517552444E-2</v>
      </c>
      <c r="AP362" s="32"/>
      <c r="AR362" s="32"/>
    </row>
    <row r="363" spans="1:44">
      <c r="A363" s="5" t="s">
        <v>992</v>
      </c>
      <c r="B363" s="5" t="s">
        <v>1083</v>
      </c>
      <c r="C363" s="5" t="s">
        <v>2385</v>
      </c>
      <c r="D363" s="29" t="s">
        <v>2386</v>
      </c>
      <c r="E363" s="5" t="s">
        <v>880</v>
      </c>
      <c r="F363" s="30" t="s">
        <v>1162</v>
      </c>
      <c r="G363" s="5" t="s">
        <v>970</v>
      </c>
      <c r="H363" s="31">
        <v>68</v>
      </c>
      <c r="I363" s="32">
        <v>904.57</v>
      </c>
      <c r="J363" s="32">
        <v>900.13149999999996</v>
      </c>
      <c r="K363" s="33">
        <v>0.94</v>
      </c>
      <c r="L363" s="33">
        <v>0.94</v>
      </c>
      <c r="M363" s="6">
        <v>0.59</v>
      </c>
      <c r="N363" s="6">
        <v>0.59</v>
      </c>
      <c r="O363" s="6">
        <v>0.41</v>
      </c>
      <c r="P363" s="6">
        <v>0.41</v>
      </c>
      <c r="Q363" s="34">
        <v>850.29579999999999</v>
      </c>
      <c r="R363" s="34">
        <v>846.12360999999987</v>
      </c>
      <c r="S363" s="34">
        <v>57820.114399999999</v>
      </c>
      <c r="T363" s="34">
        <v>57536.405479999994</v>
      </c>
      <c r="U363" s="35">
        <v>3.1400863560064633E-3</v>
      </c>
      <c r="V363" s="36">
        <v>3.1359267287880579E-3</v>
      </c>
      <c r="W363" s="36">
        <v>-4.1596272184053588E-6</v>
      </c>
      <c r="X363" s="37">
        <v>-8.731655998352565</v>
      </c>
      <c r="Y363" s="38">
        <v>-128406.70585812596</v>
      </c>
      <c r="Z363" s="39">
        <v>3.4660759806000516E-3</v>
      </c>
      <c r="AA363" s="40">
        <v>3.4625922949036818E-3</v>
      </c>
      <c r="AB363" s="40">
        <v>-3.4836856963697815E-6</v>
      </c>
      <c r="AC363" s="41">
        <v>-6.8574372234676245E-2</v>
      </c>
      <c r="AD363" s="42">
        <v>-1008.4466505099448</v>
      </c>
      <c r="AE363" s="39">
        <v>2.7657615647891562E-3</v>
      </c>
      <c r="AF363" s="40">
        <v>2.7610834809919534E-3</v>
      </c>
      <c r="AG363" s="40">
        <v>-4.6780837972028311E-6</v>
      </c>
      <c r="AH363" s="41">
        <v>-6.0146079264001805E-2</v>
      </c>
      <c r="AI363" s="42">
        <v>-884.50116564708537</v>
      </c>
      <c r="AJ363" s="41">
        <v>-8.860376449851243</v>
      </c>
      <c r="AK363" s="30">
        <v>-130299.65367428299</v>
      </c>
      <c r="AL363" s="43">
        <f>+$AL$6*W363/H363*10^6</f>
        <v>-30.585494252980578</v>
      </c>
      <c r="AM363" s="30">
        <v>3112278</v>
      </c>
      <c r="AN363" s="44">
        <v>-4.1866328674457422E-2</v>
      </c>
      <c r="AP363" s="32"/>
      <c r="AR363" s="32"/>
    </row>
    <row r="364" spans="1:44">
      <c r="A364" s="5" t="s">
        <v>1553</v>
      </c>
      <c r="B364" s="5" t="s">
        <v>1552</v>
      </c>
      <c r="C364" s="5" t="s">
        <v>2334</v>
      </c>
      <c r="D364" s="29" t="s">
        <v>1563</v>
      </c>
      <c r="E364" s="5" t="s">
        <v>1643</v>
      </c>
      <c r="F364" s="30" t="s">
        <v>1163</v>
      </c>
      <c r="G364" s="5" t="s">
        <v>970</v>
      </c>
      <c r="H364" s="31">
        <v>47.83</v>
      </c>
      <c r="I364" s="32">
        <v>369.10300000000001</v>
      </c>
      <c r="J364" s="32">
        <v>366.85999999999996</v>
      </c>
      <c r="K364" s="33">
        <v>1</v>
      </c>
      <c r="L364" s="33">
        <v>1</v>
      </c>
      <c r="M364" s="6">
        <v>1</v>
      </c>
      <c r="N364" s="6">
        <v>1</v>
      </c>
      <c r="O364" s="6">
        <v>0</v>
      </c>
      <c r="P364" s="6">
        <v>0</v>
      </c>
      <c r="Q364" s="34">
        <v>369.10300000000001</v>
      </c>
      <c r="R364" s="34">
        <v>366.85999999999996</v>
      </c>
      <c r="S364" s="34">
        <v>17654.196489999998</v>
      </c>
      <c r="T364" s="34">
        <v>17546.913799999998</v>
      </c>
      <c r="U364" s="35">
        <v>9.5876153307137332E-4</v>
      </c>
      <c r="V364" s="36">
        <v>9.5636554863141984E-4</v>
      </c>
      <c r="W364" s="36">
        <v>-2.3959844399534715E-6</v>
      </c>
      <c r="X364" s="37">
        <v>-5.0295160620425543</v>
      </c>
      <c r="Y364" s="38">
        <v>-105154.00506047573</v>
      </c>
      <c r="Z364" s="39">
        <v>1.7937217589872397E-3</v>
      </c>
      <c r="AA364" s="40">
        <v>1.78981178300804E-3</v>
      </c>
      <c r="AB364" s="40">
        <v>-3.9099759791996584E-6</v>
      </c>
      <c r="AC364" s="41">
        <v>-7.696565407886316E-2</v>
      </c>
      <c r="AD364" s="42">
        <v>-1609.1502002689351</v>
      </c>
      <c r="AE364" s="39">
        <v>0</v>
      </c>
      <c r="AF364" s="40">
        <v>0</v>
      </c>
      <c r="AG364" s="40">
        <v>0</v>
      </c>
      <c r="AH364" s="41">
        <v>0</v>
      </c>
      <c r="AI364" s="42">
        <v>0</v>
      </c>
      <c r="AJ364" s="41">
        <v>-5.1064817161214178</v>
      </c>
      <c r="AK364" s="30">
        <v>-106763.15526074466</v>
      </c>
      <c r="AL364" s="43">
        <f>+$AL$6*W364/H364*10^6</f>
        <v>-25.046878945781639</v>
      </c>
      <c r="AM364" s="30">
        <v>2451718.25</v>
      </c>
      <c r="AN364" s="44">
        <v>-4.3546257919622154E-2</v>
      </c>
      <c r="AP364" s="32"/>
      <c r="AR364" s="32"/>
    </row>
    <row r="365" spans="1:44">
      <c r="A365" s="5" t="s">
        <v>1493</v>
      </c>
      <c r="B365" s="5" t="s">
        <v>1500</v>
      </c>
      <c r="C365" s="5" t="s">
        <v>2310</v>
      </c>
      <c r="D365" s="29" t="s">
        <v>1510</v>
      </c>
      <c r="E365" s="5" t="s">
        <v>1520</v>
      </c>
      <c r="F365" s="30" t="s">
        <v>1163</v>
      </c>
      <c r="G365" s="5" t="s">
        <v>970</v>
      </c>
      <c r="H365" s="31">
        <v>33.770000000000003</v>
      </c>
      <c r="I365" s="32">
        <v>171.297</v>
      </c>
      <c r="J365" s="32">
        <v>169.9325</v>
      </c>
      <c r="K365" s="33">
        <v>1</v>
      </c>
      <c r="L365" s="33">
        <v>1</v>
      </c>
      <c r="M365" s="6">
        <v>0</v>
      </c>
      <c r="N365" s="6">
        <v>0</v>
      </c>
      <c r="O365" s="6">
        <v>1</v>
      </c>
      <c r="P365" s="6">
        <v>1</v>
      </c>
      <c r="Q365" s="34">
        <v>171.297</v>
      </c>
      <c r="R365" s="34">
        <v>169.9325</v>
      </c>
      <c r="S365" s="34">
        <v>5784.6996900000004</v>
      </c>
      <c r="T365" s="34">
        <v>5738.6205250000003</v>
      </c>
      <c r="U365" s="35">
        <v>3.1415462869031988E-4</v>
      </c>
      <c r="V365" s="36">
        <v>3.127740313387276E-4</v>
      </c>
      <c r="W365" s="36">
        <v>-1.3805973515922804E-6</v>
      </c>
      <c r="X365" s="37">
        <v>-2.898072474619922</v>
      </c>
      <c r="Y365" s="38">
        <v>-85817.958976011898</v>
      </c>
      <c r="Z365" s="39">
        <v>0</v>
      </c>
      <c r="AA365" s="40">
        <v>0</v>
      </c>
      <c r="AB365" s="40">
        <v>0</v>
      </c>
      <c r="AC365" s="41">
        <v>0</v>
      </c>
      <c r="AD365" s="42">
        <v>0</v>
      </c>
      <c r="AE365" s="39">
        <v>6.7488962429351014E-4</v>
      </c>
      <c r="AF365" s="40">
        <v>6.7167697641310939E-4</v>
      </c>
      <c r="AG365" s="40">
        <v>-3.2126478804007453E-6</v>
      </c>
      <c r="AH365" s="41">
        <v>-4.1304983501460071E-2</v>
      </c>
      <c r="AI365" s="42">
        <v>-1223.126547274506</v>
      </c>
      <c r="AJ365" s="41">
        <v>-2.9393774581213821</v>
      </c>
      <c r="AK365" s="30">
        <v>-87041.085523286398</v>
      </c>
      <c r="AL365" s="43">
        <f>+$AL$6*W365/H365*10^6</f>
        <v>-20.441180805334323</v>
      </c>
      <c r="AM365" s="30">
        <v>1901875</v>
      </c>
      <c r="AN365" s="44">
        <v>-4.5765933893282366E-2</v>
      </c>
      <c r="AP365" s="32"/>
      <c r="AR365" s="32"/>
    </row>
    <row r="366" spans="1:44">
      <c r="A366" s="5" t="s">
        <v>1343</v>
      </c>
      <c r="B366" s="5" t="s">
        <v>514</v>
      </c>
      <c r="C366" s="5" t="s">
        <v>2367</v>
      </c>
      <c r="D366" s="29" t="s">
        <v>2368</v>
      </c>
      <c r="E366" s="5" t="s">
        <v>47</v>
      </c>
      <c r="F366" s="30" t="s">
        <v>1164</v>
      </c>
      <c r="G366" s="5" t="s">
        <v>970</v>
      </c>
      <c r="H366" s="31">
        <v>27.09</v>
      </c>
      <c r="I366" s="32">
        <v>347.59500000000003</v>
      </c>
      <c r="J366" s="32">
        <v>343.95029999999997</v>
      </c>
      <c r="K366" s="33">
        <v>1</v>
      </c>
      <c r="L366" s="33">
        <v>1</v>
      </c>
      <c r="M366" s="6">
        <v>0.45</v>
      </c>
      <c r="N366" s="6">
        <v>0.45</v>
      </c>
      <c r="O366" s="6">
        <v>0.55000000000000004</v>
      </c>
      <c r="P366" s="6">
        <v>0.55000000000000004</v>
      </c>
      <c r="Q366" s="34">
        <v>347.59500000000003</v>
      </c>
      <c r="R366" s="34">
        <v>343.95029999999997</v>
      </c>
      <c r="S366" s="34">
        <v>9416.3485500000006</v>
      </c>
      <c r="T366" s="34">
        <v>9317.6136269999988</v>
      </c>
      <c r="U366" s="35">
        <v>5.1138168632292166E-4</v>
      </c>
      <c r="V366" s="36">
        <v>5.078411377573102E-4</v>
      </c>
      <c r="W366" s="36">
        <v>-3.5405485656114571E-6</v>
      </c>
      <c r="X366" s="37">
        <v>-7.4321208361145921</v>
      </c>
      <c r="Y366" s="38">
        <v>-274349.23721353238</v>
      </c>
      <c r="Z366" s="39">
        <v>4.305287517480398E-4</v>
      </c>
      <c r="AA366" s="40">
        <v>4.2768481581099445E-4</v>
      </c>
      <c r="AB366" s="40">
        <v>-2.8439359370453538E-6</v>
      </c>
      <c r="AC366" s="41">
        <v>-5.5981261961073323E-2</v>
      </c>
      <c r="AD366" s="42">
        <v>-2066.4917667432014</v>
      </c>
      <c r="AE366" s="39">
        <v>6.0422285539933217E-4</v>
      </c>
      <c r="AF366" s="40">
        <v>5.9981917023567606E-4</v>
      </c>
      <c r="AG366" s="40">
        <v>-4.4036851636561087E-6</v>
      </c>
      <c r="AH366" s="41">
        <v>-5.6618138620205899E-2</v>
      </c>
      <c r="AI366" s="42">
        <v>-2090.0014256259096</v>
      </c>
      <c r="AJ366" s="41">
        <v>-7.5447202366958717</v>
      </c>
      <c r="AK366" s="30">
        <v>-278505.7304059015</v>
      </c>
      <c r="AL366" s="43">
        <f>+$AL$6*W366/H366*10^6</f>
        <v>-65.347887885039825</v>
      </c>
      <c r="AM366" s="30">
        <v>5880692.5</v>
      </c>
      <c r="AN366" s="44">
        <v>-4.735934252741518E-2</v>
      </c>
      <c r="AP366" s="32"/>
      <c r="AR366" s="32"/>
    </row>
    <row r="367" spans="1:44">
      <c r="A367" s="5" t="s">
        <v>1037</v>
      </c>
      <c r="B367" s="5" t="s">
        <v>1121</v>
      </c>
      <c r="C367" s="5" t="s">
        <v>2412</v>
      </c>
      <c r="D367" s="29" t="s">
        <v>2413</v>
      </c>
      <c r="E367" s="5" t="s">
        <v>920</v>
      </c>
      <c r="F367" s="30" t="s">
        <v>1160</v>
      </c>
      <c r="G367" s="5" t="s">
        <v>970</v>
      </c>
      <c r="H367" s="31">
        <v>40.99</v>
      </c>
      <c r="I367" s="32">
        <v>387.86799999999999</v>
      </c>
      <c r="J367" s="32">
        <v>383.80869999999999</v>
      </c>
      <c r="K367" s="33">
        <v>1</v>
      </c>
      <c r="L367" s="33">
        <v>1</v>
      </c>
      <c r="M367" s="6">
        <v>0</v>
      </c>
      <c r="N367" s="6">
        <v>0</v>
      </c>
      <c r="O367" s="6">
        <v>1</v>
      </c>
      <c r="P367" s="6">
        <v>1</v>
      </c>
      <c r="Q367" s="34">
        <v>387.86799999999999</v>
      </c>
      <c r="R367" s="34">
        <v>383.80869999999999</v>
      </c>
      <c r="S367" s="34">
        <v>15898.70932</v>
      </c>
      <c r="T367" s="34">
        <v>15732.318612999999</v>
      </c>
      <c r="U367" s="35">
        <v>8.6342479138790487E-4</v>
      </c>
      <c r="V367" s="36">
        <v>8.5746403573066187E-4</v>
      </c>
      <c r="W367" s="36">
        <v>-5.9607556572430003E-6</v>
      </c>
      <c r="X367" s="37">
        <v>-12.512483729066654</v>
      </c>
      <c r="Y367" s="38">
        <v>-305256.98289989395</v>
      </c>
      <c r="Z367" s="39">
        <v>0</v>
      </c>
      <c r="AA367" s="40">
        <v>0</v>
      </c>
      <c r="AB367" s="40">
        <v>0</v>
      </c>
      <c r="AC367" s="41">
        <v>0</v>
      </c>
      <c r="AD367" s="42">
        <v>0</v>
      </c>
      <c r="AE367" s="39">
        <v>1.8548713908649816E-3</v>
      </c>
      <c r="AF367" s="40">
        <v>1.841389607818252E-3</v>
      </c>
      <c r="AG367" s="40">
        <v>-1.3481783046729538E-5</v>
      </c>
      <c r="AH367" s="41">
        <v>-0.17333515749194536</v>
      </c>
      <c r="AI367" s="42">
        <v>-4228.7181627700747</v>
      </c>
      <c r="AJ367" s="41">
        <v>-12.685818886558598</v>
      </c>
      <c r="AK367" s="30">
        <v>-309485.70106266404</v>
      </c>
      <c r="AL367" s="43">
        <f>+$AL$6*W367/H367*10^6</f>
        <v>-72.709876277665288</v>
      </c>
      <c r="AM367" s="30">
        <v>6150649</v>
      </c>
      <c r="AN367" s="44">
        <v>-5.0317568286316457E-2</v>
      </c>
      <c r="AP367" s="32"/>
      <c r="AR367" s="32"/>
    </row>
    <row r="368" spans="1:44">
      <c r="A368" s="5" t="s">
        <v>269</v>
      </c>
      <c r="B368" s="5" t="s">
        <v>570</v>
      </c>
      <c r="C368" s="5" t="s">
        <v>2344</v>
      </c>
      <c r="D368" s="29" t="s">
        <v>1426</v>
      </c>
      <c r="E368" s="5" t="s">
        <v>1423</v>
      </c>
      <c r="F368" s="30" t="s">
        <v>1166</v>
      </c>
      <c r="G368" s="5" t="s">
        <v>970</v>
      </c>
      <c r="H368" s="31">
        <v>118</v>
      </c>
      <c r="I368" s="32">
        <v>87.582999999999998</v>
      </c>
      <c r="J368" s="32">
        <v>59.766590000000001</v>
      </c>
      <c r="K368" s="33">
        <v>0.69</v>
      </c>
      <c r="L368" s="33">
        <v>1</v>
      </c>
      <c r="M368" s="6">
        <v>0.55000000000000004</v>
      </c>
      <c r="N368" s="6">
        <v>0.55000000000000004</v>
      </c>
      <c r="O368" s="6">
        <v>0.45</v>
      </c>
      <c r="P368" s="6">
        <v>0.45</v>
      </c>
      <c r="Q368" s="34">
        <v>60.432269999999995</v>
      </c>
      <c r="R368" s="34">
        <v>59.766590000000001</v>
      </c>
      <c r="S368" s="34">
        <v>7131.0078599999997</v>
      </c>
      <c r="T368" s="34">
        <v>7052.4576200000001</v>
      </c>
      <c r="U368" s="35">
        <v>3.8726973680565472E-4</v>
      </c>
      <c r="V368" s="36">
        <v>3.8438255170268962E-4</v>
      </c>
      <c r="W368" s="36">
        <v>-2.8871851029651022E-6</v>
      </c>
      <c r="X368" s="37">
        <v>-6.0606169252647391</v>
      </c>
      <c r="Y368" s="38">
        <v>-51361.160383599483</v>
      </c>
      <c r="Z368" s="39">
        <v>3.9849302589783675E-4</v>
      </c>
      <c r="AA368" s="40">
        <v>3.9564874713708697E-4</v>
      </c>
      <c r="AB368" s="40">
        <v>-2.8442787607497826E-6</v>
      </c>
      <c r="AC368" s="41">
        <v>-5.5988010250777778E-2</v>
      </c>
      <c r="AD368" s="42">
        <v>-474.47466314218457</v>
      </c>
      <c r="AE368" s="39">
        <v>3.7438234705685481E-4</v>
      </c>
      <c r="AF368" s="40">
        <v>3.7145478176001839E-4</v>
      </c>
      <c r="AG368" s="40">
        <v>-2.9275652968364214E-6</v>
      </c>
      <c r="AH368" s="41">
        <v>-3.7639679413042776E-2</v>
      </c>
      <c r="AI368" s="42">
        <v>-318.98033400883708</v>
      </c>
      <c r="AJ368" s="41">
        <v>-6.1542446149285599</v>
      </c>
      <c r="AK368" s="30">
        <v>-52154.615380750511</v>
      </c>
      <c r="AL368" s="43">
        <f>+$AL$6*W368/H368*10^6</f>
        <v>-12.233835182055518</v>
      </c>
      <c r="AM368" s="30">
        <v>1033776.5</v>
      </c>
      <c r="AN368" s="44">
        <v>-5.0450571647498769E-2</v>
      </c>
      <c r="AP368" s="32"/>
      <c r="AR368" s="32"/>
    </row>
    <row r="369" spans="1:44">
      <c r="A369" s="5" t="s">
        <v>841</v>
      </c>
      <c r="B369" s="5" t="s">
        <v>1124</v>
      </c>
      <c r="C369" s="5" t="s">
        <v>2449</v>
      </c>
      <c r="D369" s="29" t="s">
        <v>2450</v>
      </c>
      <c r="E369" s="5" t="s">
        <v>1047</v>
      </c>
      <c r="F369" s="30" t="s">
        <v>1153</v>
      </c>
      <c r="G369" s="5" t="s">
        <v>970</v>
      </c>
      <c r="H369" s="31">
        <v>98.38</v>
      </c>
      <c r="I369" s="32">
        <v>1476.0509999999999</v>
      </c>
      <c r="J369" s="32">
        <v>1468.9929999999999</v>
      </c>
      <c r="K369" s="33">
        <v>1</v>
      </c>
      <c r="L369" s="33">
        <v>1</v>
      </c>
      <c r="M369" s="6">
        <v>0.6</v>
      </c>
      <c r="N369" s="6">
        <v>0.6</v>
      </c>
      <c r="O369" s="6">
        <v>0.4</v>
      </c>
      <c r="P369" s="6">
        <v>0.4</v>
      </c>
      <c r="Q369" s="34">
        <v>1476.0509999999999</v>
      </c>
      <c r="R369" s="34">
        <v>1468.9929999999999</v>
      </c>
      <c r="S369" s="34">
        <v>145213.89737999998</v>
      </c>
      <c r="T369" s="34">
        <v>144519.53133999999</v>
      </c>
      <c r="U369" s="35">
        <v>7.8862552002398091E-3</v>
      </c>
      <c r="V369" s="36">
        <v>7.8767983050064775E-3</v>
      </c>
      <c r="W369" s="36">
        <v>-9.4568952333316109E-6</v>
      </c>
      <c r="X369" s="37">
        <v>-19.851383706823512</v>
      </c>
      <c r="Y369" s="38">
        <v>-201782.71708501232</v>
      </c>
      <c r="Z369" s="39">
        <v>8.8525125768954011E-3</v>
      </c>
      <c r="AA369" s="40">
        <v>8.8447266459061886E-3</v>
      </c>
      <c r="AB369" s="40">
        <v>-7.7859309892125417E-6</v>
      </c>
      <c r="AC369" s="41">
        <v>-0.15326162472238386</v>
      </c>
      <c r="AD369" s="42">
        <v>-1557.8534734944487</v>
      </c>
      <c r="AE369" s="39">
        <v>6.7767288120005771E-3</v>
      </c>
      <c r="AF369" s="40">
        <v>6.7661167989908717E-3</v>
      </c>
      <c r="AG369" s="40">
        <v>-1.0612013009705414E-5</v>
      </c>
      <c r="AH369" s="41">
        <v>-0.13643855118927153</v>
      </c>
      <c r="AI369" s="42">
        <v>-1386.8525227614509</v>
      </c>
      <c r="AJ369" s="41">
        <v>-20.141083882735167</v>
      </c>
      <c r="AK369" s="30">
        <v>-204727.42308126821</v>
      </c>
      <c r="AL369" s="43">
        <f>+$AL$6*W369/H369*10^6</f>
        <v>-48.063098360091537</v>
      </c>
      <c r="AM369" s="30">
        <v>4048493</v>
      </c>
      <c r="AN369" s="44">
        <v>-5.0568797594874981E-2</v>
      </c>
      <c r="AP369" s="32"/>
      <c r="AR369" s="32"/>
    </row>
    <row r="370" spans="1:44">
      <c r="A370" s="5" t="s">
        <v>1221</v>
      </c>
      <c r="B370" s="5" t="s">
        <v>391</v>
      </c>
      <c r="C370" s="5" t="s">
        <v>2394</v>
      </c>
      <c r="D370" s="29" t="s">
        <v>637</v>
      </c>
      <c r="E370" s="5" t="s">
        <v>742</v>
      </c>
      <c r="F370" s="30" t="s">
        <v>1148</v>
      </c>
      <c r="G370" s="5" t="s">
        <v>970</v>
      </c>
      <c r="H370" s="31">
        <v>61.64</v>
      </c>
      <c r="I370" s="32">
        <v>235.345</v>
      </c>
      <c r="J370" s="32">
        <v>233.0478</v>
      </c>
      <c r="K370" s="33">
        <v>1</v>
      </c>
      <c r="L370" s="33">
        <v>1</v>
      </c>
      <c r="M370" s="6">
        <v>0.54</v>
      </c>
      <c r="N370" s="6">
        <v>0.54</v>
      </c>
      <c r="O370" s="6">
        <v>0.46</v>
      </c>
      <c r="P370" s="6">
        <v>0.46</v>
      </c>
      <c r="Q370" s="34">
        <v>235.345</v>
      </c>
      <c r="R370" s="34">
        <v>233.0478</v>
      </c>
      <c r="S370" s="34">
        <v>14506.665800000001</v>
      </c>
      <c r="T370" s="34">
        <v>14365.066392000001</v>
      </c>
      <c r="U370" s="35">
        <v>7.8782589454242909E-4</v>
      </c>
      <c r="V370" s="36">
        <v>7.8294421216748968E-4</v>
      </c>
      <c r="W370" s="36">
        <v>-4.8816823749394138E-6</v>
      </c>
      <c r="X370" s="37">
        <v>-10.247353657699303</v>
      </c>
      <c r="Y370" s="38">
        <v>-166245.19237020286</v>
      </c>
      <c r="Z370" s="39">
        <v>7.959182928376176E-4</v>
      </c>
      <c r="AA370" s="40">
        <v>7.9123960532198969E-4</v>
      </c>
      <c r="AB370" s="40">
        <v>-4.6786875156279092E-6</v>
      </c>
      <c r="AC370" s="41">
        <v>-9.2097303611727729E-2</v>
      </c>
      <c r="AD370" s="42">
        <v>-1494.1158924680035</v>
      </c>
      <c r="AE370" s="39">
        <v>7.7853361934787245E-4</v>
      </c>
      <c r="AF370" s="40">
        <v>7.7342538791933489E-4</v>
      </c>
      <c r="AG370" s="40">
        <v>-5.1082314285375539E-6</v>
      </c>
      <c r="AH370" s="41">
        <v>-6.5676483303568248E-2</v>
      </c>
      <c r="AI370" s="42">
        <v>-1065.4848037567854</v>
      </c>
      <c r="AJ370" s="41">
        <v>-10.4051274446146</v>
      </c>
      <c r="AK370" s="30">
        <v>-168804.79306642764</v>
      </c>
      <c r="AL370" s="43">
        <f>+$AL$6*W370/H370*10^6</f>
        <v>-39.598332048502712</v>
      </c>
      <c r="AM370" s="30">
        <v>3178686</v>
      </c>
      <c r="AN370" s="44">
        <v>-5.3105211734165512E-2</v>
      </c>
      <c r="AP370" s="32"/>
      <c r="AR370" s="32"/>
    </row>
    <row r="371" spans="1:44">
      <c r="A371" s="5" t="s">
        <v>1324</v>
      </c>
      <c r="B371" s="5" t="s">
        <v>496</v>
      </c>
      <c r="C371" s="5" t="s">
        <v>2362</v>
      </c>
      <c r="D371" s="29" t="s">
        <v>2363</v>
      </c>
      <c r="E371" s="5" t="s">
        <v>30</v>
      </c>
      <c r="F371" s="30" t="s">
        <v>1165</v>
      </c>
      <c r="G371" s="5" t="s">
        <v>970</v>
      </c>
      <c r="H371" s="31">
        <v>14.4</v>
      </c>
      <c r="I371" s="32">
        <v>848.30600000000004</v>
      </c>
      <c r="J371" s="32">
        <v>840.86099999999999</v>
      </c>
      <c r="K371" s="33">
        <v>1</v>
      </c>
      <c r="L371" s="33">
        <v>1</v>
      </c>
      <c r="M371" s="6">
        <v>0</v>
      </c>
      <c r="N371" s="6">
        <v>0</v>
      </c>
      <c r="O371" s="6">
        <v>1</v>
      </c>
      <c r="P371" s="6">
        <v>1</v>
      </c>
      <c r="Q371" s="34">
        <v>848.30600000000004</v>
      </c>
      <c r="R371" s="34">
        <v>840.86099999999999</v>
      </c>
      <c r="S371" s="34">
        <v>12215.606400000001</v>
      </c>
      <c r="T371" s="34">
        <v>12108.3984</v>
      </c>
      <c r="U371" s="35">
        <v>6.6340337415495031E-4</v>
      </c>
      <c r="V371" s="36">
        <v>6.5994825134798392E-4</v>
      </c>
      <c r="W371" s="36">
        <v>-3.4551228069663919E-6</v>
      </c>
      <c r="X371" s="37">
        <v>-7.2527998780762051</v>
      </c>
      <c r="Y371" s="38">
        <v>-503666.65819973644</v>
      </c>
      <c r="Z371" s="39">
        <v>0</v>
      </c>
      <c r="AA371" s="40">
        <v>0</v>
      </c>
      <c r="AB371" s="40">
        <v>0</v>
      </c>
      <c r="AC371" s="41">
        <v>0</v>
      </c>
      <c r="AD371" s="42">
        <v>0</v>
      </c>
      <c r="AE371" s="39">
        <v>1.4251709605712303E-3</v>
      </c>
      <c r="AF371" s="40">
        <v>1.4172277799318906E-3</v>
      </c>
      <c r="AG371" s="40">
        <v>-7.9431806393396968E-6</v>
      </c>
      <c r="AH371" s="41">
        <v>-0.10212539857188363</v>
      </c>
      <c r="AI371" s="42">
        <v>-7092.0415674919186</v>
      </c>
      <c r="AJ371" s="41">
        <v>-7.354925276648089</v>
      </c>
      <c r="AK371" s="30">
        <v>-510758.69976722833</v>
      </c>
      <c r="AL371" s="43">
        <f>+$AL$6*W371/H371*10^6</f>
        <v>-119.96954190855526</v>
      </c>
      <c r="AM371" s="30">
        <v>9093999</v>
      </c>
      <c r="AN371" s="44">
        <v>-5.6164367267604529E-2</v>
      </c>
      <c r="AP371" s="32"/>
      <c r="AR371" s="32"/>
    </row>
    <row r="372" spans="1:44">
      <c r="A372" s="5" t="s">
        <v>994</v>
      </c>
      <c r="B372" s="5" t="s">
        <v>1084</v>
      </c>
      <c r="C372" s="5" t="s">
        <v>2438</v>
      </c>
      <c r="D372" s="29" t="s">
        <v>2439</v>
      </c>
      <c r="E372" s="5" t="s">
        <v>881</v>
      </c>
      <c r="F372" s="30" t="s">
        <v>1157</v>
      </c>
      <c r="G372" s="5" t="s">
        <v>970</v>
      </c>
      <c r="H372" s="31">
        <v>80.62</v>
      </c>
      <c r="I372" s="32">
        <v>546.42399999999998</v>
      </c>
      <c r="J372" s="32">
        <v>542.4289</v>
      </c>
      <c r="K372" s="33">
        <v>1</v>
      </c>
      <c r="L372" s="33">
        <v>1</v>
      </c>
      <c r="M372" s="6">
        <v>0</v>
      </c>
      <c r="N372" s="6">
        <v>0</v>
      </c>
      <c r="O372" s="6">
        <v>1</v>
      </c>
      <c r="P372" s="6">
        <v>1</v>
      </c>
      <c r="Q372" s="34">
        <v>546.42399999999998</v>
      </c>
      <c r="R372" s="34">
        <v>542.4289</v>
      </c>
      <c r="S372" s="34">
        <v>44052.702879999997</v>
      </c>
      <c r="T372" s="34">
        <v>43730.617918000004</v>
      </c>
      <c r="U372" s="35">
        <v>2.3924077752896077E-3</v>
      </c>
      <c r="V372" s="36">
        <v>2.3834650853040082E-3</v>
      </c>
      <c r="W372" s="36">
        <v>-8.9426899855995362E-6</v>
      </c>
      <c r="X372" s="37">
        <v>-18.771992910485427</v>
      </c>
      <c r="Y372" s="38">
        <v>-232845.35984229008</v>
      </c>
      <c r="Z372" s="39">
        <v>0</v>
      </c>
      <c r="AA372" s="40">
        <v>0</v>
      </c>
      <c r="AB372" s="40">
        <v>0</v>
      </c>
      <c r="AC372" s="41">
        <v>0</v>
      </c>
      <c r="AD372" s="42">
        <v>0</v>
      </c>
      <c r="AE372" s="39">
        <v>5.139542878464764E-3</v>
      </c>
      <c r="AF372" s="40">
        <v>5.1184512186993204E-3</v>
      </c>
      <c r="AG372" s="40">
        <v>-2.1091659765443659E-5</v>
      </c>
      <c r="AH372" s="41">
        <v>-0.27117527069956615</v>
      </c>
      <c r="AI372" s="42">
        <v>-3363.6228069904014</v>
      </c>
      <c r="AJ372" s="41">
        <v>-19.043168181184992</v>
      </c>
      <c r="AK372" s="30">
        <v>-236208.98264928049</v>
      </c>
      <c r="AL372" s="43">
        <f>+$AL$6*W372/H372*10^6</f>
        <v>-55.46198204911645</v>
      </c>
      <c r="AM372" s="30">
        <v>4114794.5</v>
      </c>
      <c r="AN372" s="44">
        <v>-5.7404806643267477E-2</v>
      </c>
      <c r="AP372" s="32"/>
      <c r="AR372" s="32"/>
    </row>
    <row r="373" spans="1:44">
      <c r="A373" s="5" t="s">
        <v>1276</v>
      </c>
      <c r="B373" s="5" t="s">
        <v>449</v>
      </c>
      <c r="C373" s="5" t="s">
        <v>2355</v>
      </c>
      <c r="D373" s="29" t="s">
        <v>2356</v>
      </c>
      <c r="E373" s="5" t="s">
        <v>790</v>
      </c>
      <c r="F373" s="30" t="s">
        <v>1151</v>
      </c>
      <c r="G373" s="5" t="s">
        <v>970</v>
      </c>
      <c r="H373" s="31">
        <v>70.75</v>
      </c>
      <c r="I373" s="32">
        <v>283.464</v>
      </c>
      <c r="J373" s="32">
        <v>281.58249999999998</v>
      </c>
      <c r="K373" s="33">
        <v>1</v>
      </c>
      <c r="L373" s="33">
        <v>1</v>
      </c>
      <c r="M373" s="6">
        <v>0.63</v>
      </c>
      <c r="N373" s="6">
        <v>0.63</v>
      </c>
      <c r="O373" s="6">
        <v>0.37</v>
      </c>
      <c r="P373" s="6">
        <v>0.37</v>
      </c>
      <c r="Q373" s="34">
        <v>283.464</v>
      </c>
      <c r="R373" s="34">
        <v>281.58249999999998</v>
      </c>
      <c r="S373" s="34">
        <v>20055.078000000001</v>
      </c>
      <c r="T373" s="34">
        <v>19921.961874999997</v>
      </c>
      <c r="U373" s="35">
        <v>1.0891482566220136E-3</v>
      </c>
      <c r="V373" s="36">
        <v>1.0858136203073273E-3</v>
      </c>
      <c r="W373" s="36">
        <v>-3.3346363146862911E-6</v>
      </c>
      <c r="X373" s="37">
        <v>-6.9998813957701591</v>
      </c>
      <c r="Y373" s="38">
        <v>-98938.252943747837</v>
      </c>
      <c r="Z373" s="39">
        <v>1.2837250779729691E-3</v>
      </c>
      <c r="AA373" s="40">
        <v>1.2802042787628286E-3</v>
      </c>
      <c r="AB373" s="40">
        <v>-3.5207992101404708E-6</v>
      </c>
      <c r="AC373" s="41">
        <v>-6.9304930651843483E-2</v>
      </c>
      <c r="AD373" s="42">
        <v>-979.57499154549089</v>
      </c>
      <c r="AE373" s="39">
        <v>8.6572112111508862E-4</v>
      </c>
      <c r="AF373" s="40">
        <v>8.6275360629014196E-4</v>
      </c>
      <c r="AG373" s="40">
        <v>-2.9675148249466579E-6</v>
      </c>
      <c r="AH373" s="41">
        <v>-3.8153310119212358E-2</v>
      </c>
      <c r="AI373" s="42">
        <v>-539.2694009782665</v>
      </c>
      <c r="AJ373" s="41">
        <v>-7.1073396365412149</v>
      </c>
      <c r="AK373" s="30">
        <v>-100457.0973362716</v>
      </c>
      <c r="AL373" s="43">
        <f>+$AL$6*W373/H373*10^6</f>
        <v>-23.566334379408417</v>
      </c>
      <c r="AM373" s="30">
        <v>1746172.5</v>
      </c>
      <c r="AN373" s="44">
        <v>-5.7529881690538368E-2</v>
      </c>
      <c r="AP373" s="32"/>
      <c r="AR373" s="32"/>
    </row>
    <row r="374" spans="1:44">
      <c r="A374" s="5" t="s">
        <v>1260</v>
      </c>
      <c r="B374" s="5" t="s">
        <v>433</v>
      </c>
      <c r="C374" s="5" t="s">
        <v>2326</v>
      </c>
      <c r="D374" s="29" t="s">
        <v>2327</v>
      </c>
      <c r="E374" s="5" t="s">
        <v>776</v>
      </c>
      <c r="F374" s="30" t="s">
        <v>1163</v>
      </c>
      <c r="G374" s="5" t="s">
        <v>970</v>
      </c>
      <c r="H374" s="31">
        <v>102.67</v>
      </c>
      <c r="I374" s="32">
        <v>119.00700000000001</v>
      </c>
      <c r="J374" s="32">
        <v>118.2443</v>
      </c>
      <c r="K374" s="33">
        <v>1</v>
      </c>
      <c r="L374" s="33">
        <v>1</v>
      </c>
      <c r="M374" s="6">
        <v>0.7</v>
      </c>
      <c r="N374" s="6">
        <v>0.7</v>
      </c>
      <c r="O374" s="6">
        <v>0.3</v>
      </c>
      <c r="P374" s="6">
        <v>0.3</v>
      </c>
      <c r="Q374" s="34">
        <v>119.00700000000001</v>
      </c>
      <c r="R374" s="34">
        <v>118.2443</v>
      </c>
      <c r="S374" s="34">
        <v>12218.448690000001</v>
      </c>
      <c r="T374" s="34">
        <v>12140.142281</v>
      </c>
      <c r="U374" s="35">
        <v>6.6355773282652044E-4</v>
      </c>
      <c r="V374" s="36">
        <v>6.6167839914002785E-4</v>
      </c>
      <c r="W374" s="36">
        <v>-1.8793336864925949E-6</v>
      </c>
      <c r="X374" s="37">
        <v>-3.9449917973322508</v>
      </c>
      <c r="Y374" s="38">
        <v>-38423.997246832092</v>
      </c>
      <c r="Z374" s="39">
        <v>8.6900290829523298E-4</v>
      </c>
      <c r="AA374" s="40">
        <v>8.668190295292573E-4</v>
      </c>
      <c r="AB374" s="40">
        <v>-2.1838787659756798E-6</v>
      </c>
      <c r="AC374" s="41">
        <v>-4.2988411833329E-2</v>
      </c>
      <c r="AD374" s="42">
        <v>-418.70470276934839</v>
      </c>
      <c r="AE374" s="39">
        <v>4.2765076949968501E-4</v>
      </c>
      <c r="AF374" s="40">
        <v>4.2628297297251738E-4</v>
      </c>
      <c r="AG374" s="40">
        <v>-1.3677965271676308E-6</v>
      </c>
      <c r="AH374" s="41">
        <v>-1.7585747050799096E-2</v>
      </c>
      <c r="AI374" s="42">
        <v>-171.28418282652282</v>
      </c>
      <c r="AJ374" s="41">
        <v>-4.0055659562163788</v>
      </c>
      <c r="AK374" s="30">
        <v>-39013.986132427963</v>
      </c>
      <c r="AL374" s="43">
        <f>+$AL$6*W374/H374*10^6</f>
        <v>-9.1523019698675121</v>
      </c>
      <c r="AM374" s="30">
        <v>677088.5</v>
      </c>
      <c r="AN374" s="44">
        <v>-5.7620216755162677E-2</v>
      </c>
      <c r="AP374" s="32"/>
      <c r="AR374" s="32"/>
    </row>
    <row r="375" spans="1:44">
      <c r="A375" s="5" t="s">
        <v>1331</v>
      </c>
      <c r="B375" s="5" t="s">
        <v>503</v>
      </c>
      <c r="C375" s="5" t="s">
        <v>2306</v>
      </c>
      <c r="D375" s="29" t="s">
        <v>2307</v>
      </c>
      <c r="E375" s="5" t="s">
        <v>37</v>
      </c>
      <c r="F375" s="30" t="s">
        <v>1166</v>
      </c>
      <c r="G375" s="5" t="s">
        <v>970</v>
      </c>
      <c r="H375" s="31">
        <v>47.73</v>
      </c>
      <c r="I375" s="32">
        <v>137.80000000000001</v>
      </c>
      <c r="J375" s="32">
        <v>136.82909999999998</v>
      </c>
      <c r="K375" s="33">
        <v>1</v>
      </c>
      <c r="L375" s="33">
        <v>1</v>
      </c>
      <c r="M375" s="6">
        <v>1</v>
      </c>
      <c r="N375" s="6">
        <v>1</v>
      </c>
      <c r="O375" s="6">
        <v>0</v>
      </c>
      <c r="P375" s="6">
        <v>0</v>
      </c>
      <c r="Q375" s="34">
        <v>137.80000000000001</v>
      </c>
      <c r="R375" s="34">
        <v>136.82909999999998</v>
      </c>
      <c r="S375" s="34">
        <v>6577.1940000000004</v>
      </c>
      <c r="T375" s="34">
        <v>6530.852942999999</v>
      </c>
      <c r="U375" s="35">
        <v>3.5719329431502429E-4</v>
      </c>
      <c r="V375" s="36">
        <v>3.5595335048966371E-4</v>
      </c>
      <c r="W375" s="36">
        <v>-1.2399438253605784E-6</v>
      </c>
      <c r="X375" s="37">
        <v>-2.602820486514771</v>
      </c>
      <c r="Y375" s="38">
        <v>-54532.170260104154</v>
      </c>
      <c r="Z375" s="39">
        <v>6.6826354841824462E-4</v>
      </c>
      <c r="AA375" s="40">
        <v>6.6615689138873723E-4</v>
      </c>
      <c r="AB375" s="40">
        <v>-2.1066570295073892E-6</v>
      </c>
      <c r="AC375" s="41">
        <v>-4.1468345856452038E-2</v>
      </c>
      <c r="AD375" s="42">
        <v>-868.81093351041363</v>
      </c>
      <c r="AE375" s="39">
        <v>0</v>
      </c>
      <c r="AF375" s="40">
        <v>0</v>
      </c>
      <c r="AG375" s="40">
        <v>0</v>
      </c>
      <c r="AH375" s="41">
        <v>0</v>
      </c>
      <c r="AI375" s="42">
        <v>0</v>
      </c>
      <c r="AJ375" s="41">
        <v>-2.644288832371223</v>
      </c>
      <c r="AK375" s="30">
        <v>-55400.981193614571</v>
      </c>
      <c r="AL375" s="43">
        <f>+$AL$6*W375/H375*10^6</f>
        <v>-12.9891454573704</v>
      </c>
      <c r="AM375" s="30">
        <v>957178.875</v>
      </c>
      <c r="AN375" s="44">
        <v>-5.7879444104545839E-2</v>
      </c>
      <c r="AP375" s="32"/>
      <c r="AR375" s="32"/>
    </row>
    <row r="376" spans="1:44">
      <c r="A376" s="5" t="s">
        <v>326</v>
      </c>
      <c r="B376" s="5" t="s">
        <v>625</v>
      </c>
      <c r="C376" s="5" t="s">
        <v>2357</v>
      </c>
      <c r="D376" s="29" t="s">
        <v>652</v>
      </c>
      <c r="E376" s="5" t="s">
        <v>152</v>
      </c>
      <c r="F376" s="30" t="s">
        <v>1151</v>
      </c>
      <c r="G376" s="5" t="s">
        <v>970</v>
      </c>
      <c r="H376" s="31">
        <v>20.420000000000002</v>
      </c>
      <c r="I376" s="32">
        <v>516.31100000000004</v>
      </c>
      <c r="J376" s="32">
        <v>511.43149999999997</v>
      </c>
      <c r="K376" s="33">
        <v>1</v>
      </c>
      <c r="L376" s="33">
        <v>1</v>
      </c>
      <c r="M376" s="6">
        <v>0.56000000000000005</v>
      </c>
      <c r="N376" s="6">
        <v>0.56000000000000005</v>
      </c>
      <c r="O376" s="6">
        <v>0.44</v>
      </c>
      <c r="P376" s="6">
        <v>0.44</v>
      </c>
      <c r="Q376" s="34">
        <v>516.31100000000004</v>
      </c>
      <c r="R376" s="34">
        <v>511.43149999999997</v>
      </c>
      <c r="S376" s="34">
        <v>10543.070620000002</v>
      </c>
      <c r="T376" s="34">
        <v>10443.43123</v>
      </c>
      <c r="U376" s="35">
        <v>5.7257154448443304E-4</v>
      </c>
      <c r="V376" s="36">
        <v>5.6920196632375634E-4</v>
      </c>
      <c r="W376" s="36">
        <v>-3.3695781606766975E-6</v>
      </c>
      <c r="X376" s="37">
        <v>-7.0732293577667651</v>
      </c>
      <c r="Y376" s="38">
        <v>-346387.33387692284</v>
      </c>
      <c r="Z376" s="39">
        <v>5.998770720306247E-4</v>
      </c>
      <c r="AA376" s="40">
        <v>5.9653764934283564E-4</v>
      </c>
      <c r="AB376" s="40">
        <v>-3.3394226877890565E-6</v>
      </c>
      <c r="AC376" s="41">
        <v>-6.5734636933521551E-2</v>
      </c>
      <c r="AD376" s="42">
        <v>-3219.1301142762759</v>
      </c>
      <c r="AE376" s="39">
        <v>5.4121736899326723E-4</v>
      </c>
      <c r="AF376" s="40">
        <v>5.3783472941097482E-4</v>
      </c>
      <c r="AG376" s="40">
        <v>-3.3826395822924172E-6</v>
      </c>
      <c r="AH376" s="41">
        <v>-4.3490565209575796E-2</v>
      </c>
      <c r="AI376" s="42">
        <v>-2129.8024098714882</v>
      </c>
      <c r="AJ376" s="41">
        <v>-7.1824545599098624</v>
      </c>
      <c r="AK376" s="30">
        <v>-351736.26640107058</v>
      </c>
      <c r="AL376" s="43">
        <f>+$AL$6*W376/H376*10^6</f>
        <v>-82.506810986207071</v>
      </c>
      <c r="AM376" s="30">
        <v>6038243.5</v>
      </c>
      <c r="AN376" s="44">
        <v>-5.8251421361372818E-2</v>
      </c>
      <c r="AP376" s="32"/>
      <c r="AR376" s="32"/>
    </row>
    <row r="377" spans="1:44">
      <c r="A377" s="5" t="s">
        <v>861</v>
      </c>
      <c r="B377" s="5" t="s">
        <v>1142</v>
      </c>
      <c r="C377" s="5" t="s">
        <v>2342</v>
      </c>
      <c r="D377" s="29" t="s">
        <v>2343</v>
      </c>
      <c r="E377" s="5" t="s">
        <v>1066</v>
      </c>
      <c r="F377" s="30" t="s">
        <v>1156</v>
      </c>
      <c r="G377" s="5" t="s">
        <v>970</v>
      </c>
      <c r="H377" s="31">
        <v>30.95</v>
      </c>
      <c r="I377" s="32">
        <v>517.745</v>
      </c>
      <c r="J377" s="32">
        <v>514.19359999999995</v>
      </c>
      <c r="K377" s="33">
        <v>1</v>
      </c>
      <c r="L377" s="33">
        <v>1</v>
      </c>
      <c r="M377" s="6">
        <v>0.71</v>
      </c>
      <c r="N377" s="6">
        <v>0.71</v>
      </c>
      <c r="O377" s="6">
        <v>0.28999999999999998</v>
      </c>
      <c r="P377" s="6">
        <v>0.28999999999999998</v>
      </c>
      <c r="Q377" s="34">
        <v>517.745</v>
      </c>
      <c r="R377" s="34">
        <v>514.19359999999995</v>
      </c>
      <c r="S377" s="34">
        <v>16024.20775</v>
      </c>
      <c r="T377" s="34">
        <v>15914.291919999998</v>
      </c>
      <c r="U377" s="35">
        <v>8.7024034185563678E-4</v>
      </c>
      <c r="V377" s="36">
        <v>8.6738219020323509E-4</v>
      </c>
      <c r="W377" s="36">
        <v>-2.858151652401688E-6</v>
      </c>
      <c r="X377" s="37">
        <v>-5.9996715353405685</v>
      </c>
      <c r="Y377" s="38">
        <v>-193850.45348434793</v>
      </c>
      <c r="Z377" s="39">
        <v>1.1559579497640415E-3</v>
      </c>
      <c r="AA377" s="40">
        <v>1.1525301337958591E-3</v>
      </c>
      <c r="AB377" s="40">
        <v>-3.4278159681824186E-6</v>
      </c>
      <c r="AC377" s="41">
        <v>-6.7474608400825573E-2</v>
      </c>
      <c r="AD377" s="42">
        <v>-2180.1165880719086</v>
      </c>
      <c r="AE377" s="39">
        <v>5.4215878385894384E-4</v>
      </c>
      <c r="AF377" s="40">
        <v>5.4017971658590206E-4</v>
      </c>
      <c r="AG377" s="40">
        <v>-1.9790672730417812E-6</v>
      </c>
      <c r="AH377" s="41">
        <v>-2.5444849265918754E-2</v>
      </c>
      <c r="AI377" s="42">
        <v>-822.12760148364316</v>
      </c>
      <c r="AJ377" s="41">
        <v>-6.0925909930073132</v>
      </c>
      <c r="AK377" s="30">
        <v>-196852.69767390349</v>
      </c>
      <c r="AL377" s="43">
        <f>+$AL$6*W377/H377*10^6</f>
        <v>-46.173693899865725</v>
      </c>
      <c r="AM377" s="30">
        <v>3251160.5</v>
      </c>
      <c r="AN377" s="44">
        <v>-6.0548440371954414E-2</v>
      </c>
      <c r="AP377" s="32"/>
      <c r="AR377" s="32"/>
    </row>
    <row r="378" spans="1:44">
      <c r="A378" s="5" t="s">
        <v>1307</v>
      </c>
      <c r="B378" s="5" t="s">
        <v>479</v>
      </c>
      <c r="C378" s="5" t="s">
        <v>2383</v>
      </c>
      <c r="D378" s="29" t="s">
        <v>2384</v>
      </c>
      <c r="E378" s="5" t="s">
        <v>14</v>
      </c>
      <c r="F378" s="30" t="s">
        <v>1156</v>
      </c>
      <c r="G378" s="5" t="s">
        <v>970</v>
      </c>
      <c r="H378" s="31">
        <v>19.13</v>
      </c>
      <c r="I378" s="32">
        <v>757.67499999999995</v>
      </c>
      <c r="J378" s="32">
        <v>751.12279999999998</v>
      </c>
      <c r="K378" s="33">
        <v>1</v>
      </c>
      <c r="L378" s="33">
        <v>1</v>
      </c>
      <c r="M378" s="6">
        <v>1</v>
      </c>
      <c r="N378" s="6">
        <v>1</v>
      </c>
      <c r="O378" s="6">
        <v>0</v>
      </c>
      <c r="P378" s="6">
        <v>0</v>
      </c>
      <c r="Q378" s="34">
        <v>757.67499999999995</v>
      </c>
      <c r="R378" s="34">
        <v>751.12279999999998</v>
      </c>
      <c r="S378" s="34">
        <v>14494.322749999998</v>
      </c>
      <c r="T378" s="34">
        <v>14368.979163999998</v>
      </c>
      <c r="U378" s="35">
        <v>7.8715556997979708E-4</v>
      </c>
      <c r="V378" s="36">
        <v>7.8315747134133069E-4</v>
      </c>
      <c r="W378" s="36">
        <v>-3.9980986384663842E-6</v>
      </c>
      <c r="X378" s="37">
        <v>-8.3925842691147192</v>
      </c>
      <c r="Y378" s="38">
        <v>-438713.23936825508</v>
      </c>
      <c r="Z378" s="39">
        <v>1.4726686719038983E-3</v>
      </c>
      <c r="AA378" s="40">
        <v>1.4656576370440833E-3</v>
      </c>
      <c r="AB378" s="40">
        <v>-7.011034859815031E-6</v>
      </c>
      <c r="AC378" s="41">
        <v>-0.13800823499325648</v>
      </c>
      <c r="AD378" s="42">
        <v>-7214.2307889836111</v>
      </c>
      <c r="AE378" s="39">
        <v>0</v>
      </c>
      <c r="AF378" s="40">
        <v>0</v>
      </c>
      <c r="AG378" s="40">
        <v>0</v>
      </c>
      <c r="AH378" s="41">
        <v>0</v>
      </c>
      <c r="AI378" s="42">
        <v>0</v>
      </c>
      <c r="AJ378" s="41">
        <v>-8.5305925041079753</v>
      </c>
      <c r="AK378" s="30">
        <v>-445927.47015723871</v>
      </c>
      <c r="AL378" s="43">
        <f>+$AL$6*W378/H378*10^6</f>
        <v>-104.49813482661747</v>
      </c>
      <c r="AM378" s="30">
        <v>7329827.5</v>
      </c>
      <c r="AN378" s="44">
        <v>-6.0837375798712685E-2</v>
      </c>
      <c r="AP378" s="32"/>
      <c r="AR378" s="32"/>
    </row>
    <row r="379" spans="1:44">
      <c r="A379" s="5" t="s">
        <v>1229</v>
      </c>
      <c r="B379" s="5" t="s">
        <v>400</v>
      </c>
      <c r="C379" s="5" t="s">
        <v>2415</v>
      </c>
      <c r="D379" s="29" t="s">
        <v>2416</v>
      </c>
      <c r="E379" s="5" t="s">
        <v>748</v>
      </c>
      <c r="F379" s="30" t="s">
        <v>1164</v>
      </c>
      <c r="G379" s="5" t="s">
        <v>970</v>
      </c>
      <c r="H379" s="31">
        <v>129.06</v>
      </c>
      <c r="I379" s="32">
        <v>180.3</v>
      </c>
      <c r="J379" s="32">
        <v>178.65009999999998</v>
      </c>
      <c r="K379" s="33">
        <v>0.93</v>
      </c>
      <c r="L379" s="33">
        <v>0.93</v>
      </c>
      <c r="M379" s="6">
        <v>0</v>
      </c>
      <c r="N379" s="6">
        <v>0</v>
      </c>
      <c r="O379" s="6">
        <v>1</v>
      </c>
      <c r="P379" s="6">
        <v>1</v>
      </c>
      <c r="Q379" s="34">
        <v>167.67900000000003</v>
      </c>
      <c r="R379" s="34">
        <v>166.14459299999999</v>
      </c>
      <c r="S379" s="34">
        <v>21640.651740000005</v>
      </c>
      <c r="T379" s="34">
        <v>21442.621172579999</v>
      </c>
      <c r="U379" s="35">
        <v>1.1752573644832074E-3</v>
      </c>
      <c r="V379" s="36">
        <v>1.1686946431463162E-3</v>
      </c>
      <c r="W379" s="36">
        <v>-6.5627213368911475E-6</v>
      </c>
      <c r="X379" s="37">
        <v>-13.776096298540399</v>
      </c>
      <c r="Y379" s="38">
        <v>-106741.7968273702</v>
      </c>
      <c r="Z379" s="39">
        <v>0</v>
      </c>
      <c r="AA379" s="40">
        <v>0</v>
      </c>
      <c r="AB379" s="40">
        <v>0</v>
      </c>
      <c r="AC379" s="41">
        <v>0</v>
      </c>
      <c r="AD379" s="42">
        <v>0</v>
      </c>
      <c r="AE379" s="39">
        <v>2.5247726079061675E-3</v>
      </c>
      <c r="AF379" s="40">
        <v>2.509752107292415E-3</v>
      </c>
      <c r="AG379" s="40">
        <v>-1.5020500613752413E-5</v>
      </c>
      <c r="AH379" s="41">
        <v>-0.19311843474029372</v>
      </c>
      <c r="AI379" s="42">
        <v>-1496.3461548139912</v>
      </c>
      <c r="AJ379" s="41">
        <v>-13.969214733280692</v>
      </c>
      <c r="AK379" s="30">
        <v>-108238.14298218419</v>
      </c>
      <c r="AL379" s="43">
        <f>+$AL$6*W379/H379*10^6</f>
        <v>-25.425078788513666</v>
      </c>
      <c r="AM379" s="30">
        <v>1728944.375</v>
      </c>
      <c r="AN379" s="44">
        <v>-6.2603600524848688E-2</v>
      </c>
      <c r="AP379" s="32"/>
      <c r="AR379" s="32"/>
    </row>
    <row r="380" spans="1:44">
      <c r="A380" s="5" t="s">
        <v>263</v>
      </c>
      <c r="B380" s="5" t="s">
        <v>563</v>
      </c>
      <c r="C380" s="5" t="s">
        <v>2395</v>
      </c>
      <c r="D380" s="29" t="s">
        <v>2396</v>
      </c>
      <c r="E380" s="5" t="s">
        <v>93</v>
      </c>
      <c r="F380" s="30" t="s">
        <v>1148</v>
      </c>
      <c r="G380" s="5" t="s">
        <v>970</v>
      </c>
      <c r="H380" s="31">
        <v>113.45</v>
      </c>
      <c r="I380" s="32">
        <v>288.31</v>
      </c>
      <c r="J380" s="32">
        <v>286.47159999999997</v>
      </c>
      <c r="K380" s="33">
        <v>1</v>
      </c>
      <c r="L380" s="33">
        <v>1</v>
      </c>
      <c r="M380" s="6">
        <v>0.53</v>
      </c>
      <c r="N380" s="6">
        <v>0.53</v>
      </c>
      <c r="O380" s="6">
        <v>0.47</v>
      </c>
      <c r="P380" s="6">
        <v>0.47</v>
      </c>
      <c r="Q380" s="34">
        <v>288.31</v>
      </c>
      <c r="R380" s="34">
        <v>286.47159999999997</v>
      </c>
      <c r="S380" s="34">
        <v>32708.769500000002</v>
      </c>
      <c r="T380" s="34">
        <v>32500.203019999997</v>
      </c>
      <c r="U380" s="35">
        <v>1.7763430926160595E-3</v>
      </c>
      <c r="V380" s="36">
        <v>1.7713698742769699E-3</v>
      </c>
      <c r="W380" s="36">
        <v>-4.97321833908956E-6</v>
      </c>
      <c r="X380" s="37">
        <v>-10.439500816199486</v>
      </c>
      <c r="Y380" s="38">
        <v>-92018.517551339668</v>
      </c>
      <c r="Z380" s="39">
        <v>1.76135621609248E-3</v>
      </c>
      <c r="AA380" s="40">
        <v>1.7569870632826172E-3</v>
      </c>
      <c r="AB380" s="40">
        <v>-4.3691528098627978E-6</v>
      </c>
      <c r="AC380" s="41">
        <v>-8.6004288919039829E-2</v>
      </c>
      <c r="AD380" s="42">
        <v>-758.08099531987511</v>
      </c>
      <c r="AE380" s="39">
        <v>1.7935521048129417E-3</v>
      </c>
      <c r="AF380" s="40">
        <v>1.7878739082027605E-3</v>
      </c>
      <c r="AG380" s="40">
        <v>-5.678196610181107E-6</v>
      </c>
      <c r="AH380" s="41">
        <v>-7.3004520268906942E-2</v>
      </c>
      <c r="AI380" s="42">
        <v>-643.49511034735076</v>
      </c>
      <c r="AJ380" s="41">
        <v>-10.598509625387432</v>
      </c>
      <c r="AK380" s="30">
        <v>-93420.093657006903</v>
      </c>
      <c r="AL380" s="43">
        <f>+$AL$6*W380/H380*10^6</f>
        <v>-21.918106386467873</v>
      </c>
      <c r="AM380" s="30">
        <v>1458055.375</v>
      </c>
      <c r="AN380" s="44">
        <v>-6.4071704860322543E-2</v>
      </c>
      <c r="AP380" s="32"/>
      <c r="AR380" s="32"/>
    </row>
    <row r="381" spans="1:44">
      <c r="A381" s="5" t="s">
        <v>846</v>
      </c>
      <c r="B381" s="5" t="s">
        <v>1128</v>
      </c>
      <c r="C381" s="5" t="s">
        <v>2414</v>
      </c>
      <c r="D381" s="29" t="s">
        <v>1045</v>
      </c>
      <c r="E381" s="5" t="s">
        <v>1052</v>
      </c>
      <c r="F381" s="30" t="s">
        <v>1165</v>
      </c>
      <c r="G381" s="5" t="s">
        <v>970</v>
      </c>
      <c r="H381" s="31">
        <v>10.35</v>
      </c>
      <c r="I381" s="32">
        <v>1340.355</v>
      </c>
      <c r="J381" s="32">
        <v>1324.9069999999999</v>
      </c>
      <c r="K381" s="33">
        <v>1</v>
      </c>
      <c r="L381" s="33">
        <v>1</v>
      </c>
      <c r="M381" s="6">
        <v>0.45</v>
      </c>
      <c r="N381" s="6">
        <v>0.45</v>
      </c>
      <c r="O381" s="6">
        <v>0.55000000000000004</v>
      </c>
      <c r="P381" s="6">
        <v>0.55000000000000004</v>
      </c>
      <c r="Q381" s="34">
        <v>1340.355</v>
      </c>
      <c r="R381" s="34">
        <v>1324.9069999999999</v>
      </c>
      <c r="S381" s="34">
        <v>13872.67425</v>
      </c>
      <c r="T381" s="34">
        <v>13712.787449999998</v>
      </c>
      <c r="U381" s="35">
        <v>7.5339517373468215E-4</v>
      </c>
      <c r="V381" s="36">
        <v>7.47392826018516E-4</v>
      </c>
      <c r="W381" s="36">
        <v>-6.0023477161661506E-6</v>
      </c>
      <c r="X381" s="37">
        <v>-12.599791444809359</v>
      </c>
      <c r="Y381" s="38">
        <v>-1217371.1540878608</v>
      </c>
      <c r="Z381" s="39">
        <v>6.3427825515864893E-4</v>
      </c>
      <c r="AA381" s="40">
        <v>6.2942628977596319E-4</v>
      </c>
      <c r="AB381" s="40">
        <v>-4.8519653826857361E-6</v>
      </c>
      <c r="AC381" s="41">
        <v>-9.5508179905199428E-2</v>
      </c>
      <c r="AD381" s="42">
        <v>-9227.8434691013936</v>
      </c>
      <c r="AE381" s="39">
        <v>8.9017380812223532E-4</v>
      </c>
      <c r="AF381" s="40">
        <v>8.8275744403510585E-4</v>
      </c>
      <c r="AG381" s="40">
        <v>-7.4163640871294755E-6</v>
      </c>
      <c r="AH381" s="41">
        <v>-9.5352123128256458E-2</v>
      </c>
      <c r="AI381" s="42">
        <v>-9212.7655196383057</v>
      </c>
      <c r="AJ381" s="41">
        <v>-12.790651747842814</v>
      </c>
      <c r="AK381" s="30">
        <v>-1235811.7630766006</v>
      </c>
      <c r="AL381" s="43">
        <f>+$AL$6*W381/H381*10^6</f>
        <v>-289.96848870367882</v>
      </c>
      <c r="AM381" s="30">
        <v>18833696</v>
      </c>
      <c r="AN381" s="44">
        <v>-6.5617060139263189E-2</v>
      </c>
      <c r="AP381" s="32"/>
      <c r="AR381" s="32"/>
    </row>
    <row r="382" spans="1:44">
      <c r="A382" s="5" t="s">
        <v>812</v>
      </c>
      <c r="B382" s="5" t="s">
        <v>172</v>
      </c>
      <c r="C382" s="5" t="s">
        <v>2339</v>
      </c>
      <c r="D382" s="29" t="s">
        <v>1565</v>
      </c>
      <c r="E382" s="5" t="s">
        <v>1561</v>
      </c>
      <c r="F382" s="30" t="s">
        <v>1166</v>
      </c>
      <c r="G382" s="5" t="s">
        <v>968</v>
      </c>
      <c r="H382" s="31">
        <v>60.67</v>
      </c>
      <c r="I382" s="32">
        <v>48.81</v>
      </c>
      <c r="J382" s="32">
        <v>48.810389999999998</v>
      </c>
      <c r="K382" s="33">
        <v>0.88</v>
      </c>
      <c r="L382" s="33">
        <v>0.86</v>
      </c>
      <c r="M382" s="6">
        <v>0.65</v>
      </c>
      <c r="N382" s="6">
        <v>0.65</v>
      </c>
      <c r="O382" s="6">
        <v>0.35</v>
      </c>
      <c r="P382" s="6">
        <v>0.35</v>
      </c>
      <c r="Q382" s="34">
        <v>42.952800000000003</v>
      </c>
      <c r="R382" s="34">
        <v>41.976935399999995</v>
      </c>
      <c r="S382" s="34">
        <v>2605.9463760000003</v>
      </c>
      <c r="T382" s="34">
        <v>2546.7406707179998</v>
      </c>
      <c r="U382" s="35">
        <v>1.4152335644223646E-4</v>
      </c>
      <c r="V382" s="36">
        <v>1.3880589296410461E-4</v>
      </c>
      <c r="W382" s="36">
        <v>-2.7174634781318581E-6</v>
      </c>
      <c r="X382" s="37">
        <v>-5.7043468160183961</v>
      </c>
      <c r="Y382" s="38">
        <v>-94022.528696528694</v>
      </c>
      <c r="Z382" s="39">
        <v>1.7210201370656338E-4</v>
      </c>
      <c r="AA382" s="40">
        <v>1.6885141360106122E-4</v>
      </c>
      <c r="AB382" s="40">
        <v>-3.2506001055021539E-6</v>
      </c>
      <c r="AC382" s="41">
        <v>-6.3986214902528815E-2</v>
      </c>
      <c r="AD382" s="42">
        <v>-1054.6598797186223</v>
      </c>
      <c r="AE382" s="39">
        <v>1.0641073741196857E-4</v>
      </c>
      <c r="AF382" s="40">
        <v>1.0432916292119805E-4</v>
      </c>
      <c r="AG382" s="40">
        <v>-2.0815744907705163E-6</v>
      </c>
      <c r="AH382" s="41">
        <v>-2.6762783597563535E-2</v>
      </c>
      <c r="AI382" s="42">
        <v>-441.12054718252074</v>
      </c>
      <c r="AJ382" s="41">
        <v>-5.7950958145184881</v>
      </c>
      <c r="AK382" s="30">
        <v>-95518.309123429834</v>
      </c>
      <c r="AL382" s="43">
        <f>+$AL$6*W382/H382*10^6</f>
        <v>-22.395446498531879</v>
      </c>
      <c r="AM382" s="30">
        <v>1454519.125</v>
      </c>
      <c r="AN382" s="44">
        <v>-6.5670026252442601E-2</v>
      </c>
      <c r="AP382" s="32"/>
      <c r="AR382" s="32"/>
    </row>
    <row r="383" spans="1:44">
      <c r="A383" s="5" t="s">
        <v>1391</v>
      </c>
      <c r="B383" s="5" t="s">
        <v>188</v>
      </c>
      <c r="C383" s="5" t="s">
        <v>2340</v>
      </c>
      <c r="D383" s="29" t="s">
        <v>2341</v>
      </c>
      <c r="E383" s="5" t="s">
        <v>689</v>
      </c>
      <c r="F383" s="30" t="s">
        <v>1159</v>
      </c>
      <c r="G383" s="5" t="s">
        <v>970</v>
      </c>
      <c r="H383" s="31">
        <v>53.56</v>
      </c>
      <c r="I383" s="32">
        <v>413.791</v>
      </c>
      <c r="J383" s="32">
        <v>411.35730000000001</v>
      </c>
      <c r="K383" s="33">
        <v>1</v>
      </c>
      <c r="L383" s="33">
        <v>1</v>
      </c>
      <c r="M383" s="6">
        <v>1</v>
      </c>
      <c r="N383" s="6">
        <v>1</v>
      </c>
      <c r="O383" s="6">
        <v>0</v>
      </c>
      <c r="P383" s="6">
        <v>0</v>
      </c>
      <c r="Q383" s="34">
        <v>413.791</v>
      </c>
      <c r="R383" s="34">
        <v>411.35730000000001</v>
      </c>
      <c r="S383" s="34">
        <v>22162.645960000002</v>
      </c>
      <c r="T383" s="34">
        <v>22032.296988000002</v>
      </c>
      <c r="U383" s="35">
        <v>1.2036057505966776E-3</v>
      </c>
      <c r="V383" s="36">
        <v>1.2008339493033244E-3</v>
      </c>
      <c r="W383" s="36">
        <v>-2.771801293353221E-6</v>
      </c>
      <c r="X383" s="37">
        <v>-5.818409708028434</v>
      </c>
      <c r="Y383" s="38">
        <v>-108633.48969433222</v>
      </c>
      <c r="Z383" s="39">
        <v>2.2517943718197873E-3</v>
      </c>
      <c r="AA383" s="40">
        <v>2.2473276614520645E-3</v>
      </c>
      <c r="AB383" s="40">
        <v>-4.4667103677228231E-6</v>
      </c>
      <c r="AC383" s="41">
        <v>-8.7924653977796627E-2</v>
      </c>
      <c r="AD383" s="42">
        <v>-1641.6104178080027</v>
      </c>
      <c r="AE383" s="39">
        <v>0</v>
      </c>
      <c r="AF383" s="40">
        <v>0</v>
      </c>
      <c r="AG383" s="40">
        <v>0</v>
      </c>
      <c r="AH383" s="41">
        <v>0</v>
      </c>
      <c r="AI383" s="42">
        <v>0</v>
      </c>
      <c r="AJ383" s="41">
        <v>-5.9063343620062305</v>
      </c>
      <c r="AK383" s="30">
        <v>-110275.10011214022</v>
      </c>
      <c r="AL383" s="43">
        <f>+$AL$6*W383/H383*10^6</f>
        <v>-25.875665546613341</v>
      </c>
      <c r="AM383" s="30">
        <v>1677149.5</v>
      </c>
      <c r="AN383" s="44">
        <v>-6.5751502839872189E-2</v>
      </c>
      <c r="AP383" s="32"/>
      <c r="AR383" s="32"/>
    </row>
    <row r="384" spans="1:44">
      <c r="A384" s="5" t="s">
        <v>1005</v>
      </c>
      <c r="B384" s="5" t="s">
        <v>1093</v>
      </c>
      <c r="C384" s="5" t="s">
        <v>2499</v>
      </c>
      <c r="D384" s="29" t="s">
        <v>2500</v>
      </c>
      <c r="E384" s="5" t="s">
        <v>890</v>
      </c>
      <c r="F384" s="30" t="s">
        <v>1147</v>
      </c>
      <c r="G384" s="5" t="s">
        <v>970</v>
      </c>
      <c r="H384" s="31">
        <v>26.38</v>
      </c>
      <c r="I384" s="32">
        <v>1942.0609999999999</v>
      </c>
      <c r="J384" s="32">
        <v>1924.7259999999999</v>
      </c>
      <c r="K384" s="33">
        <v>1</v>
      </c>
      <c r="L384" s="33">
        <v>1</v>
      </c>
      <c r="M384" s="6">
        <v>0.71</v>
      </c>
      <c r="N384" s="6">
        <v>0.71</v>
      </c>
      <c r="O384" s="6">
        <v>0.28999999999999998</v>
      </c>
      <c r="P384" s="6">
        <v>0.28999999999999998</v>
      </c>
      <c r="Q384" s="34">
        <v>1942.0609999999999</v>
      </c>
      <c r="R384" s="34">
        <v>1924.7259999999999</v>
      </c>
      <c r="S384" s="34">
        <v>51231.569179999999</v>
      </c>
      <c r="T384" s="34">
        <v>50774.271879999993</v>
      </c>
      <c r="U384" s="35">
        <v>2.7822766012880668E-3</v>
      </c>
      <c r="V384" s="36">
        <v>2.7673678081713191E-3</v>
      </c>
      <c r="W384" s="36">
        <v>-1.4908793116747733E-5</v>
      </c>
      <c r="X384" s="37">
        <v>-31.295701756647606</v>
      </c>
      <c r="Y384" s="38">
        <v>-1186341.9922914179</v>
      </c>
      <c r="Z384" s="39">
        <v>3.695754610552117E-3</v>
      </c>
      <c r="AA384" s="40">
        <v>3.6771273681175335E-3</v>
      </c>
      <c r="AB384" s="40">
        <v>-1.8627242434583486E-5</v>
      </c>
      <c r="AC384" s="41">
        <v>-0.36666667654483442</v>
      </c>
      <c r="AD384" s="42">
        <v>-13899.41912603618</v>
      </c>
      <c r="AE384" s="39">
        <v>1.7333552881460953E-3</v>
      </c>
      <c r="AF384" s="40">
        <v>1.7234340008257143E-3</v>
      </c>
      <c r="AG384" s="40">
        <v>-9.9212873203810038E-6</v>
      </c>
      <c r="AH384" s="41">
        <v>-0.12755789751551114</v>
      </c>
      <c r="AI384" s="42">
        <v>-4835.4017253794973</v>
      </c>
      <c r="AJ384" s="41">
        <v>-31.789926330707953</v>
      </c>
      <c r="AK384" s="30">
        <v>-1205076.8131428335</v>
      </c>
      <c r="AL384" s="43">
        <f>+$AL$6*W384/H384*10^6</f>
        <v>-282.57757992319432</v>
      </c>
      <c r="AM384" s="30">
        <v>17398936</v>
      </c>
      <c r="AN384" s="44">
        <v>-6.9261523414008389E-2</v>
      </c>
      <c r="AP384" s="32"/>
      <c r="AR384" s="32"/>
    </row>
    <row r="385" spans="1:44">
      <c r="A385" s="5" t="s">
        <v>978</v>
      </c>
      <c r="B385" s="5" t="s">
        <v>340</v>
      </c>
      <c r="C385" s="5" t="s">
        <v>2620</v>
      </c>
      <c r="D385" s="29" t="s">
        <v>2621</v>
      </c>
      <c r="E385" s="5" t="s">
        <v>865</v>
      </c>
      <c r="F385" s="30" t="s">
        <v>1147</v>
      </c>
      <c r="G385" s="5" t="s">
        <v>970</v>
      </c>
      <c r="H385" s="31">
        <v>115.24</v>
      </c>
      <c r="I385" s="32">
        <v>5761.03</v>
      </c>
      <c r="J385" s="32">
        <v>5702.7219999999998</v>
      </c>
      <c r="K385" s="33">
        <v>1</v>
      </c>
      <c r="L385" s="33">
        <v>1</v>
      </c>
      <c r="M385" s="6">
        <v>1</v>
      </c>
      <c r="N385" s="6">
        <v>1</v>
      </c>
      <c r="O385" s="6">
        <v>0</v>
      </c>
      <c r="P385" s="6">
        <v>0</v>
      </c>
      <c r="Q385" s="34">
        <v>5761.03</v>
      </c>
      <c r="R385" s="34">
        <v>5702.7219999999998</v>
      </c>
      <c r="S385" s="34">
        <v>663901.09719999996</v>
      </c>
      <c r="T385" s="34">
        <v>657181.68328</v>
      </c>
      <c r="U385" s="35">
        <v>3.6055044143175209E-2</v>
      </c>
      <c r="V385" s="36">
        <v>3.5818601962961556E-2</v>
      </c>
      <c r="W385" s="36">
        <v>-2.3644218021365293E-4</v>
      </c>
      <c r="X385" s="37">
        <v>-496.32615441860753</v>
      </c>
      <c r="Y385" s="38">
        <v>-4306891.3087348798</v>
      </c>
      <c r="Z385" s="39">
        <v>6.7454434674366903E-2</v>
      </c>
      <c r="AA385" s="40">
        <v>6.7033527018956568E-2</v>
      </c>
      <c r="AB385" s="40">
        <v>-4.2090765541033526E-4</v>
      </c>
      <c r="AC385" s="41">
        <v>-8.2853278838015498</v>
      </c>
      <c r="AD385" s="42">
        <v>-71896.285003484474</v>
      </c>
      <c r="AE385" s="39">
        <v>0</v>
      </c>
      <c r="AF385" s="40">
        <v>0</v>
      </c>
      <c r="AG385" s="40">
        <v>0</v>
      </c>
      <c r="AH385" s="41">
        <v>0</v>
      </c>
      <c r="AI385" s="42">
        <v>0</v>
      </c>
      <c r="AJ385" s="41">
        <v>-504.61148230240906</v>
      </c>
      <c r="AK385" s="30">
        <v>-4378787.5937383641</v>
      </c>
      <c r="AL385" s="43">
        <f>+$AL$6*W385/H385*10^6</f>
        <v>-1025.8685361578139</v>
      </c>
      <c r="AM385" s="30">
        <v>62848768</v>
      </c>
      <c r="AN385" s="44">
        <v>-6.967181271935774E-2</v>
      </c>
      <c r="AP385" s="32"/>
      <c r="AR385" s="32"/>
    </row>
    <row r="386" spans="1:44">
      <c r="A386" s="5" t="s">
        <v>1281</v>
      </c>
      <c r="B386" s="5" t="s">
        <v>454</v>
      </c>
      <c r="C386" s="5" t="s">
        <v>2332</v>
      </c>
      <c r="D386" s="29" t="s">
        <v>2333</v>
      </c>
      <c r="E386" s="5" t="s">
        <v>795</v>
      </c>
      <c r="F386" s="30" t="s">
        <v>1164</v>
      </c>
      <c r="G386" s="5" t="s">
        <v>970</v>
      </c>
      <c r="H386" s="31">
        <v>48.22</v>
      </c>
      <c r="I386" s="32">
        <v>134.691</v>
      </c>
      <c r="J386" s="32">
        <v>133.3681</v>
      </c>
      <c r="K386" s="33">
        <v>1</v>
      </c>
      <c r="L386" s="33">
        <v>1</v>
      </c>
      <c r="M386" s="6">
        <v>0</v>
      </c>
      <c r="N386" s="6">
        <v>0</v>
      </c>
      <c r="O386" s="6">
        <v>1</v>
      </c>
      <c r="P386" s="6">
        <v>1</v>
      </c>
      <c r="Q386" s="34">
        <v>134.691</v>
      </c>
      <c r="R386" s="34">
        <v>133.3681</v>
      </c>
      <c r="S386" s="34">
        <v>6494.8000199999997</v>
      </c>
      <c r="T386" s="34">
        <v>6431.0097820000001</v>
      </c>
      <c r="U386" s="35">
        <v>3.5271865404321137E-4</v>
      </c>
      <c r="V386" s="36">
        <v>3.5051156394331053E-4</v>
      </c>
      <c r="W386" s="36">
        <v>-2.2070900999008485E-6</v>
      </c>
      <c r="X386" s="37">
        <v>-4.6329996650737799</v>
      </c>
      <c r="Y386" s="38">
        <v>-96080.457591741608</v>
      </c>
      <c r="Z386" s="39">
        <v>0</v>
      </c>
      <c r="AA386" s="40">
        <v>0</v>
      </c>
      <c r="AB386" s="40">
        <v>0</v>
      </c>
      <c r="AC386" s="41">
        <v>0</v>
      </c>
      <c r="AD386" s="42">
        <v>0</v>
      </c>
      <c r="AE386" s="39">
        <v>7.5773564407096848E-4</v>
      </c>
      <c r="AF386" s="40">
        <v>7.5271769353609408E-4</v>
      </c>
      <c r="AG386" s="40">
        <v>-5.0179505348743993E-6</v>
      </c>
      <c r="AH386" s="41">
        <v>-6.4515742705134382E-2</v>
      </c>
      <c r="AI386" s="42">
        <v>-1337.9457217987222</v>
      </c>
      <c r="AJ386" s="41">
        <v>-4.6975154077789139</v>
      </c>
      <c r="AK386" s="30">
        <v>-97418.40331354033</v>
      </c>
      <c r="AL386" s="43">
        <f>+$AL$6*W386/H386*10^6</f>
        <v>-22.885629405856996</v>
      </c>
      <c r="AM386" s="30">
        <v>1370389.25</v>
      </c>
      <c r="AN386" s="44">
        <v>-7.1088125737662003E-2</v>
      </c>
      <c r="AP386" s="32"/>
      <c r="AR386" s="32"/>
    </row>
    <row r="387" spans="1:44">
      <c r="A387" s="5" t="s">
        <v>811</v>
      </c>
      <c r="B387" s="5" t="s">
        <v>171</v>
      </c>
      <c r="C387" s="5" t="s">
        <v>2392</v>
      </c>
      <c r="D387" s="29" t="s">
        <v>2393</v>
      </c>
      <c r="E387" s="5" t="s">
        <v>668</v>
      </c>
      <c r="F387" s="30" t="s">
        <v>1147</v>
      </c>
      <c r="G387" s="5" t="s">
        <v>970</v>
      </c>
      <c r="H387" s="31">
        <v>132.71</v>
      </c>
      <c r="I387" s="32">
        <v>71.932000000000002</v>
      </c>
      <c r="J387" s="32">
        <v>71.004099999999994</v>
      </c>
      <c r="K387" s="33">
        <v>1</v>
      </c>
      <c r="L387" s="33">
        <v>1</v>
      </c>
      <c r="M387" s="6">
        <v>1</v>
      </c>
      <c r="N387" s="6">
        <v>1</v>
      </c>
      <c r="O387" s="6">
        <v>0</v>
      </c>
      <c r="P387" s="6">
        <v>0</v>
      </c>
      <c r="Q387" s="34">
        <v>71.932000000000002</v>
      </c>
      <c r="R387" s="34">
        <v>71.004099999999994</v>
      </c>
      <c r="S387" s="34">
        <v>9546.0957200000012</v>
      </c>
      <c r="T387" s="34">
        <v>9422.9541109999991</v>
      </c>
      <c r="U387" s="35">
        <v>5.1842797674408786E-4</v>
      </c>
      <c r="V387" s="36">
        <v>5.1358254681203299E-4</v>
      </c>
      <c r="W387" s="36">
        <v>-4.8454299320548674E-6</v>
      </c>
      <c r="X387" s="37">
        <v>-10.171254564259595</v>
      </c>
      <c r="Y387" s="38">
        <v>-76642.713919520713</v>
      </c>
      <c r="Z387" s="39">
        <v>9.6991327903470971E-4</v>
      </c>
      <c r="AA387" s="40">
        <v>9.6115559071201738E-4</v>
      </c>
      <c r="AB387" s="40">
        <v>-8.7576883226923256E-6</v>
      </c>
      <c r="AC387" s="41">
        <v>-0.17239011532567211</v>
      </c>
      <c r="AD387" s="42">
        <v>-1298.9986837892554</v>
      </c>
      <c r="AE387" s="39">
        <v>0</v>
      </c>
      <c r="AF387" s="40">
        <v>0</v>
      </c>
      <c r="AG387" s="40">
        <v>0</v>
      </c>
      <c r="AH387" s="41">
        <v>0</v>
      </c>
      <c r="AI387" s="42">
        <v>0</v>
      </c>
      <c r="AJ387" s="41">
        <v>-10.343644679585267</v>
      </c>
      <c r="AK387" s="30">
        <v>-77941.712603309963</v>
      </c>
      <c r="AL387" s="43">
        <f>+$AL$6*W387/H387*10^6</f>
        <v>-18.255707678603223</v>
      </c>
      <c r="AM387" s="30">
        <v>1088043.875</v>
      </c>
      <c r="AN387" s="44">
        <v>-7.163471473364065E-2</v>
      </c>
      <c r="AP387" s="32"/>
      <c r="AR387" s="32"/>
    </row>
    <row r="388" spans="1:44">
      <c r="A388" s="5" t="s">
        <v>801</v>
      </c>
      <c r="B388" s="5" t="s">
        <v>1581</v>
      </c>
      <c r="C388" s="5" t="s">
        <v>2337</v>
      </c>
      <c r="D388" s="29" t="s">
        <v>2338</v>
      </c>
      <c r="E388" s="5" t="s">
        <v>660</v>
      </c>
      <c r="F388" s="30" t="s">
        <v>1157</v>
      </c>
      <c r="G388" s="5" t="s">
        <v>970</v>
      </c>
      <c r="H388" s="31">
        <v>203.33</v>
      </c>
      <c r="I388" s="32">
        <v>54.723999999999997</v>
      </c>
      <c r="J388" s="32">
        <v>54.284039999999997</v>
      </c>
      <c r="K388" s="33">
        <v>1</v>
      </c>
      <c r="L388" s="33">
        <v>1</v>
      </c>
      <c r="M388" s="6">
        <v>0.63</v>
      </c>
      <c r="N388" s="6">
        <v>0.63</v>
      </c>
      <c r="O388" s="6">
        <v>0.37</v>
      </c>
      <c r="P388" s="6">
        <v>0.37</v>
      </c>
      <c r="Q388" s="34">
        <v>54.723999999999997</v>
      </c>
      <c r="R388" s="34">
        <v>54.284039999999997</v>
      </c>
      <c r="S388" s="34">
        <v>11127.030919999999</v>
      </c>
      <c r="T388" s="34">
        <v>11037.5738532</v>
      </c>
      <c r="U388" s="35">
        <v>6.0428517545018973E-4</v>
      </c>
      <c r="V388" s="36">
        <v>6.0158472845951022E-4</v>
      </c>
      <c r="W388" s="36">
        <v>-2.7004469906795076E-6</v>
      </c>
      <c r="X388" s="37">
        <v>-5.6686267606065153</v>
      </c>
      <c r="Y388" s="38">
        <v>-27878.949297233634</v>
      </c>
      <c r="Z388" s="39">
        <v>7.122409913032817E-4</v>
      </c>
      <c r="AA388" s="40">
        <v>7.0928502738274422E-4</v>
      </c>
      <c r="AB388" s="40">
        <v>-2.9559639205374794E-6</v>
      </c>
      <c r="AC388" s="41">
        <v>-5.8186469121034562E-2</v>
      </c>
      <c r="AD388" s="42">
        <v>-286.16765416335295</v>
      </c>
      <c r="AE388" s="39">
        <v>4.8032252393855827E-4</v>
      </c>
      <c r="AF388" s="40">
        <v>4.7800044525193522E-4</v>
      </c>
      <c r="AG388" s="40">
        <v>-2.3220786866230496E-6</v>
      </c>
      <c r="AH388" s="41">
        <v>-2.9854943775566498E-2</v>
      </c>
      <c r="AI388" s="42">
        <v>-146.82999938802192</v>
      </c>
      <c r="AJ388" s="41">
        <v>-5.7566681735031162</v>
      </c>
      <c r="AK388" s="30">
        <v>-28311.946950785008</v>
      </c>
      <c r="AL388" s="43">
        <f>+$AL$6*W388/H388*10^6</f>
        <v>-6.6405522812165136</v>
      </c>
      <c r="AM388" s="30">
        <v>388995.09375</v>
      </c>
      <c r="AN388" s="44">
        <v>-7.278227259334169E-2</v>
      </c>
      <c r="AP388" s="32"/>
      <c r="AR388" s="32"/>
    </row>
    <row r="389" spans="1:44">
      <c r="A389" s="5" t="s">
        <v>282</v>
      </c>
      <c r="B389" s="5" t="s">
        <v>582</v>
      </c>
      <c r="C389" s="5" t="s">
        <v>2436</v>
      </c>
      <c r="D389" s="29" t="s">
        <v>2437</v>
      </c>
      <c r="E389" s="5" t="s">
        <v>109</v>
      </c>
      <c r="F389" s="30" t="s">
        <v>1147</v>
      </c>
      <c r="G389" s="5" t="s">
        <v>970</v>
      </c>
      <c r="H389" s="31">
        <v>59.2</v>
      </c>
      <c r="I389" s="32">
        <v>207.91900000000001</v>
      </c>
      <c r="J389" s="32">
        <v>204.43899999999999</v>
      </c>
      <c r="K389" s="33">
        <v>1</v>
      </c>
      <c r="L389" s="33">
        <v>1</v>
      </c>
      <c r="M389" s="6">
        <v>1</v>
      </c>
      <c r="N389" s="6">
        <v>1</v>
      </c>
      <c r="O389" s="6">
        <v>0</v>
      </c>
      <c r="P389" s="6">
        <v>0</v>
      </c>
      <c r="Q389" s="34">
        <v>207.91900000000001</v>
      </c>
      <c r="R389" s="34">
        <v>204.43899999999999</v>
      </c>
      <c r="S389" s="34">
        <v>12308.804800000002</v>
      </c>
      <c r="T389" s="34">
        <v>12102.7888</v>
      </c>
      <c r="U389" s="35">
        <v>6.6846477929533238E-4</v>
      </c>
      <c r="V389" s="36">
        <v>6.5964250936721442E-4</v>
      </c>
      <c r="W389" s="36">
        <v>-8.8222699281179616E-6</v>
      </c>
      <c r="X389" s="37">
        <v>-18.519213884379802</v>
      </c>
      <c r="Y389" s="38">
        <v>-312824.55885776691</v>
      </c>
      <c r="Z389" s="39">
        <v>1.2506131904328082E-3</v>
      </c>
      <c r="AA389" s="40">
        <v>1.2345027876923711E-3</v>
      </c>
      <c r="AB389" s="40">
        <v>-1.6110402740437089E-5</v>
      </c>
      <c r="AC389" s="41">
        <v>-0.31712411815007052</v>
      </c>
      <c r="AD389" s="42">
        <v>-5356.826320102542</v>
      </c>
      <c r="AE389" s="39">
        <v>0</v>
      </c>
      <c r="AF389" s="40">
        <v>0</v>
      </c>
      <c r="AG389" s="40">
        <v>0</v>
      </c>
      <c r="AH389" s="41">
        <v>0</v>
      </c>
      <c r="AI389" s="42">
        <v>0</v>
      </c>
      <c r="AJ389" s="41">
        <v>-18.836338002529871</v>
      </c>
      <c r="AK389" s="30">
        <v>-318181.38517786947</v>
      </c>
      <c r="AL389" s="43">
        <f>+$AL$6*W389/H389*10^6</f>
        <v>-74.51241493342873</v>
      </c>
      <c r="AM389" s="30">
        <v>4300010</v>
      </c>
      <c r="AN389" s="44">
        <v>-7.3995498889042E-2</v>
      </c>
      <c r="AP389" s="32"/>
      <c r="AR389" s="32"/>
    </row>
    <row r="390" spans="1:44">
      <c r="A390" s="5" t="s">
        <v>1338</v>
      </c>
      <c r="B390" s="5" t="s">
        <v>510</v>
      </c>
      <c r="C390" s="5" t="s">
        <v>2364</v>
      </c>
      <c r="D390" s="29" t="s">
        <v>2365</v>
      </c>
      <c r="E390" s="5" t="s">
        <v>42</v>
      </c>
      <c r="F390" s="30" t="s">
        <v>1155</v>
      </c>
      <c r="G390" s="5" t="s">
        <v>970</v>
      </c>
      <c r="H390" s="31">
        <v>55.03</v>
      </c>
      <c r="I390" s="32">
        <v>253.02199999999999</v>
      </c>
      <c r="J390" s="32">
        <v>250.95189999999999</v>
      </c>
      <c r="K390" s="33">
        <v>1</v>
      </c>
      <c r="L390" s="33">
        <v>1</v>
      </c>
      <c r="M390" s="6">
        <v>0</v>
      </c>
      <c r="N390" s="6">
        <v>0</v>
      </c>
      <c r="O390" s="6">
        <v>1</v>
      </c>
      <c r="P390" s="6">
        <v>1</v>
      </c>
      <c r="Q390" s="34">
        <v>253.02199999999999</v>
      </c>
      <c r="R390" s="34">
        <v>250.95189999999999</v>
      </c>
      <c r="S390" s="34">
        <v>13923.800659999999</v>
      </c>
      <c r="T390" s="34">
        <v>13809.883056999999</v>
      </c>
      <c r="U390" s="35">
        <v>7.561717393665306E-4</v>
      </c>
      <c r="V390" s="36">
        <v>7.5268486167314244E-4</v>
      </c>
      <c r="W390" s="36">
        <v>-3.4868776933881561E-6</v>
      </c>
      <c r="X390" s="37">
        <v>-7.3194579534139983</v>
      </c>
      <c r="Y390" s="38">
        <v>-133008.50360556057</v>
      </c>
      <c r="Z390" s="39">
        <v>0</v>
      </c>
      <c r="AA390" s="40">
        <v>0</v>
      </c>
      <c r="AB390" s="40">
        <v>0</v>
      </c>
      <c r="AC390" s="41">
        <v>0</v>
      </c>
      <c r="AD390" s="42">
        <v>0</v>
      </c>
      <c r="AE390" s="39">
        <v>1.6244626514337044E-3</v>
      </c>
      <c r="AF390" s="40">
        <v>1.6163780922496852E-3</v>
      </c>
      <c r="AG390" s="40">
        <v>-8.0845591840191834E-6</v>
      </c>
      <c r="AH390" s="41">
        <v>-0.10394310118755846</v>
      </c>
      <c r="AI390" s="42">
        <v>-1888.8442883437847</v>
      </c>
      <c r="AJ390" s="41">
        <v>-7.4234010546015572</v>
      </c>
      <c r="AK390" s="30">
        <v>-134897.34789390437</v>
      </c>
      <c r="AL390" s="43">
        <f>+$AL$6*W390/H390*10^6</f>
        <v>-31.681607245031405</v>
      </c>
      <c r="AM390" s="30">
        <v>1809763</v>
      </c>
      <c r="AN390" s="44">
        <v>-7.45386815256497E-2</v>
      </c>
      <c r="AP390" s="32"/>
      <c r="AR390" s="32"/>
    </row>
    <row r="391" spans="1:44">
      <c r="A391" s="5" t="s">
        <v>284</v>
      </c>
      <c r="B391" s="5" t="s">
        <v>584</v>
      </c>
      <c r="C391" s="5" t="s">
        <v>2425</v>
      </c>
      <c r="D391" s="29" t="s">
        <v>2426</v>
      </c>
      <c r="E391" s="5" t="s">
        <v>111</v>
      </c>
      <c r="F391" s="30" t="s">
        <v>1156</v>
      </c>
      <c r="G391" s="5" t="s">
        <v>970</v>
      </c>
      <c r="H391" s="31">
        <v>192.02</v>
      </c>
      <c r="I391" s="32">
        <v>311.26900000000001</v>
      </c>
      <c r="J391" s="32">
        <v>309.40960000000001</v>
      </c>
      <c r="K391" s="33">
        <v>1</v>
      </c>
      <c r="L391" s="33">
        <v>1</v>
      </c>
      <c r="M391" s="6">
        <v>1</v>
      </c>
      <c r="N391" s="6">
        <v>1</v>
      </c>
      <c r="O391" s="6">
        <v>0</v>
      </c>
      <c r="P391" s="6">
        <v>0</v>
      </c>
      <c r="Q391" s="34">
        <v>311.26900000000001</v>
      </c>
      <c r="R391" s="34">
        <v>309.40960000000001</v>
      </c>
      <c r="S391" s="34">
        <v>59769.873380000005</v>
      </c>
      <c r="T391" s="34">
        <v>59412.831392000007</v>
      </c>
      <c r="U391" s="35">
        <v>3.2459735828674167E-3</v>
      </c>
      <c r="V391" s="36">
        <v>3.2381982232086953E-3</v>
      </c>
      <c r="W391" s="36">
        <v>-7.7753596587214376E-6</v>
      </c>
      <c r="X391" s="37">
        <v>-16.321598604562141</v>
      </c>
      <c r="Y391" s="38">
        <v>-84999.471953765955</v>
      </c>
      <c r="Z391" s="39">
        <v>6.0728066822155445E-3</v>
      </c>
      <c r="AA391" s="40">
        <v>6.0601987847727157E-3</v>
      </c>
      <c r="AB391" s="40">
        <v>-1.2607897442828801E-5</v>
      </c>
      <c r="AC391" s="41">
        <v>-0.24817929276516251</v>
      </c>
      <c r="AD391" s="42">
        <v>-1292.4658512923784</v>
      </c>
      <c r="AE391" s="39">
        <v>0</v>
      </c>
      <c r="AF391" s="40">
        <v>0</v>
      </c>
      <c r="AG391" s="40">
        <v>0</v>
      </c>
      <c r="AH391" s="41">
        <v>0</v>
      </c>
      <c r="AI391" s="42">
        <v>0</v>
      </c>
      <c r="AJ391" s="41">
        <v>-16.569777897327302</v>
      </c>
      <c r="AK391" s="30">
        <v>-86291.937805058333</v>
      </c>
      <c r="AL391" s="43">
        <f>+$AL$6*W391/H391*10^6</f>
        <v>-20.246223462976349</v>
      </c>
      <c r="AM391" s="30">
        <v>1148677.375</v>
      </c>
      <c r="AN391" s="44">
        <v>-7.5122867119288686E-2</v>
      </c>
      <c r="AP391" s="32"/>
      <c r="AR391" s="32"/>
    </row>
    <row r="392" spans="1:44">
      <c r="A392" s="5" t="s">
        <v>1384</v>
      </c>
      <c r="B392" s="5" t="s">
        <v>1358</v>
      </c>
      <c r="C392" s="5" t="s">
        <v>2451</v>
      </c>
      <c r="D392" s="29" t="s">
        <v>1394</v>
      </c>
      <c r="E392" s="5" t="s">
        <v>1368</v>
      </c>
      <c r="F392" s="30" t="s">
        <v>1155</v>
      </c>
      <c r="G392" s="5" t="s">
        <v>970</v>
      </c>
      <c r="H392" s="31">
        <v>109.13</v>
      </c>
      <c r="I392" s="32">
        <v>326.59199999999998</v>
      </c>
      <c r="J392" s="32">
        <v>323.80500000000001</v>
      </c>
      <c r="K392" s="33">
        <v>1</v>
      </c>
      <c r="L392" s="33">
        <v>1</v>
      </c>
      <c r="M392" s="6">
        <v>0</v>
      </c>
      <c r="N392" s="6">
        <v>0</v>
      </c>
      <c r="O392" s="6">
        <v>1</v>
      </c>
      <c r="P392" s="6">
        <v>1</v>
      </c>
      <c r="Q392" s="34">
        <v>326.59199999999998</v>
      </c>
      <c r="R392" s="34">
        <v>323.80500000000001</v>
      </c>
      <c r="S392" s="34">
        <v>35640.984959999994</v>
      </c>
      <c r="T392" s="34">
        <v>35336.839650000002</v>
      </c>
      <c r="U392" s="35">
        <v>1.9355854229774327E-3</v>
      </c>
      <c r="V392" s="36">
        <v>1.9259760675847603E-3</v>
      </c>
      <c r="W392" s="36">
        <v>-9.609355392672372E-6</v>
      </c>
      <c r="X392" s="37">
        <v>-20.171419516505487</v>
      </c>
      <c r="Y392" s="38">
        <v>-184838.44512513047</v>
      </c>
      <c r="Z392" s="39">
        <v>0</v>
      </c>
      <c r="AA392" s="40">
        <v>0</v>
      </c>
      <c r="AB392" s="40">
        <v>0</v>
      </c>
      <c r="AC392" s="41">
        <v>0</v>
      </c>
      <c r="AD392" s="42">
        <v>0</v>
      </c>
      <c r="AE392" s="39">
        <v>4.1581641637657846E-3</v>
      </c>
      <c r="AF392" s="40">
        <v>4.1360012408394745E-3</v>
      </c>
      <c r="AG392" s="40">
        <v>-2.2162922926310079E-5</v>
      </c>
      <c r="AH392" s="41">
        <v>-0.28494849105628633</v>
      </c>
      <c r="AI392" s="42">
        <v>-2611.0921933133541</v>
      </c>
      <c r="AJ392" s="41">
        <v>-20.456368007561775</v>
      </c>
      <c r="AK392" s="30">
        <v>-187449.53731844382</v>
      </c>
      <c r="AL392" s="43">
        <f>+$AL$6*W392/H392*10^6</f>
        <v>-44.027102504684194</v>
      </c>
      <c r="AM392" s="30">
        <v>2432477.25</v>
      </c>
      <c r="AN392" s="44">
        <v>-7.7061167712234035E-2</v>
      </c>
      <c r="AP392" s="32"/>
      <c r="AR392" s="32"/>
    </row>
    <row r="393" spans="1:44">
      <c r="A393" s="5" t="s">
        <v>799</v>
      </c>
      <c r="B393" s="5" t="s">
        <v>1583</v>
      </c>
      <c r="C393" s="5" t="s">
        <v>2408</v>
      </c>
      <c r="D393" s="29" t="s">
        <v>2409</v>
      </c>
      <c r="E393" s="5" t="s">
        <v>655</v>
      </c>
      <c r="F393" s="30" t="s">
        <v>1151</v>
      </c>
      <c r="G393" s="5" t="s">
        <v>970</v>
      </c>
      <c r="H393" s="31">
        <v>269.52999999999997</v>
      </c>
      <c r="I393" s="32">
        <v>62.048999999999999</v>
      </c>
      <c r="J393" s="32">
        <v>61.433459999999997</v>
      </c>
      <c r="K393" s="33">
        <v>1</v>
      </c>
      <c r="L393" s="33">
        <v>1</v>
      </c>
      <c r="M393" s="6">
        <v>1</v>
      </c>
      <c r="N393" s="6">
        <v>1</v>
      </c>
      <c r="O393" s="6">
        <v>0</v>
      </c>
      <c r="P393" s="6">
        <v>0</v>
      </c>
      <c r="Q393" s="34">
        <v>62.048999999999999</v>
      </c>
      <c r="R393" s="34">
        <v>61.433459999999997</v>
      </c>
      <c r="S393" s="34">
        <v>16724.06697</v>
      </c>
      <c r="T393" s="34">
        <v>16558.160473799999</v>
      </c>
      <c r="U393" s="35">
        <v>9.0824819449743862E-4</v>
      </c>
      <c r="V393" s="36">
        <v>9.0247518203758587E-4</v>
      </c>
      <c r="W393" s="36">
        <v>-5.7730124598527437E-6</v>
      </c>
      <c r="X393" s="37">
        <v>-12.118383746166991</v>
      </c>
      <c r="Y393" s="38">
        <v>-44961.168501343054</v>
      </c>
      <c r="Z393" s="39">
        <v>1.699217681180844E-3</v>
      </c>
      <c r="AA393" s="40">
        <v>1.6889574462345186E-3</v>
      </c>
      <c r="AB393" s="40">
        <v>-1.0260234946325416E-5</v>
      </c>
      <c r="AC393" s="41">
        <v>-0.20196689131793275</v>
      </c>
      <c r="AD393" s="42">
        <v>-749.32991250670705</v>
      </c>
      <c r="AE393" s="39">
        <v>0</v>
      </c>
      <c r="AF393" s="40">
        <v>0</v>
      </c>
      <c r="AG393" s="40">
        <v>0</v>
      </c>
      <c r="AH393" s="41">
        <v>0</v>
      </c>
      <c r="AI393" s="42">
        <v>0</v>
      </c>
      <c r="AJ393" s="41">
        <v>-12.320350637484923</v>
      </c>
      <c r="AK393" s="30">
        <v>-45710.49841384976</v>
      </c>
      <c r="AL393" s="43">
        <f>+$AL$6*W393/H393*10^6</f>
        <v>-10.709406114074026</v>
      </c>
      <c r="AM393" s="30">
        <v>565670.875</v>
      </c>
      <c r="AN393" s="44">
        <v>-8.0807586945058393E-2</v>
      </c>
      <c r="AP393" s="32"/>
      <c r="AR393" s="32"/>
    </row>
    <row r="394" spans="1:44">
      <c r="A394" s="5" t="s">
        <v>1475</v>
      </c>
      <c r="B394" s="5" t="s">
        <v>1470</v>
      </c>
      <c r="C394" s="5" t="s">
        <v>2477</v>
      </c>
      <c r="D394" s="29" t="s">
        <v>1485</v>
      </c>
      <c r="E394" s="5" t="s">
        <v>1481</v>
      </c>
      <c r="F394" s="30" t="s">
        <v>1160</v>
      </c>
      <c r="G394" s="5" t="s">
        <v>970</v>
      </c>
      <c r="H394" s="31">
        <v>84.32</v>
      </c>
      <c r="I394" s="32">
        <v>542.327</v>
      </c>
      <c r="J394" s="32">
        <v>537.65959999999995</v>
      </c>
      <c r="K394" s="33">
        <v>1</v>
      </c>
      <c r="L394" s="33">
        <v>1</v>
      </c>
      <c r="M394" s="6">
        <v>0</v>
      </c>
      <c r="N394" s="6">
        <v>0</v>
      </c>
      <c r="O394" s="6">
        <v>1</v>
      </c>
      <c r="P394" s="6">
        <v>1</v>
      </c>
      <c r="Q394" s="34">
        <v>542.327</v>
      </c>
      <c r="R394" s="34">
        <v>537.65959999999995</v>
      </c>
      <c r="S394" s="34">
        <v>45729.012639999994</v>
      </c>
      <c r="T394" s="34">
        <v>45335.457471999995</v>
      </c>
      <c r="U394" s="35">
        <v>2.4834445617165895E-3</v>
      </c>
      <c r="V394" s="36">
        <v>2.4709342139508134E-3</v>
      </c>
      <c r="W394" s="36">
        <v>-1.2510347765776111E-5</v>
      </c>
      <c r="X394" s="37">
        <v>-26.261019888314053</v>
      </c>
      <c r="Y394" s="38">
        <v>-311444.73302080232</v>
      </c>
      <c r="Z394" s="39">
        <v>0</v>
      </c>
      <c r="AA394" s="40">
        <v>0</v>
      </c>
      <c r="AB394" s="40">
        <v>0</v>
      </c>
      <c r="AC394" s="41">
        <v>0</v>
      </c>
      <c r="AD394" s="42">
        <v>0</v>
      </c>
      <c r="AE394" s="39">
        <v>5.3351146669331712E-3</v>
      </c>
      <c r="AF394" s="40">
        <v>5.3062897026281523E-3</v>
      </c>
      <c r="AG394" s="40">
        <v>-2.8824964305018859E-5</v>
      </c>
      <c r="AH394" s="41">
        <v>-0.37060229423601265</v>
      </c>
      <c r="AI394" s="42">
        <v>-4395.1884990039453</v>
      </c>
      <c r="AJ394" s="41">
        <v>-26.631622182550064</v>
      </c>
      <c r="AK394" s="30">
        <v>-315839.92151980626</v>
      </c>
      <c r="AL394" s="43">
        <f>+$AL$6*W394/H394*10^6</f>
        <v>-74.183750983017731</v>
      </c>
      <c r="AM394" s="30">
        <v>3871681.75</v>
      </c>
      <c r="AN394" s="44">
        <v>-8.1576932690763201E-2</v>
      </c>
      <c r="AP394" s="32"/>
      <c r="AR394" s="32"/>
    </row>
    <row r="395" spans="1:44">
      <c r="A395" s="5" t="s">
        <v>1199</v>
      </c>
      <c r="B395" s="5" t="s">
        <v>369</v>
      </c>
      <c r="C395" s="5" t="s">
        <v>2378</v>
      </c>
      <c r="D395" s="29" t="s">
        <v>2379</v>
      </c>
      <c r="E395" s="5" t="s">
        <v>724</v>
      </c>
      <c r="F395" s="30" t="s">
        <v>1159</v>
      </c>
      <c r="G395" s="5" t="s">
        <v>970</v>
      </c>
      <c r="H395" s="31">
        <v>63.91</v>
      </c>
      <c r="I395" s="32">
        <v>171.309</v>
      </c>
      <c r="J395" s="32">
        <v>169.59639999999999</v>
      </c>
      <c r="K395" s="33">
        <v>1</v>
      </c>
      <c r="L395" s="33">
        <v>1</v>
      </c>
      <c r="M395" s="6">
        <v>0.49</v>
      </c>
      <c r="N395" s="6">
        <v>0.49</v>
      </c>
      <c r="O395" s="6">
        <v>0.51</v>
      </c>
      <c r="P395" s="6">
        <v>0.51</v>
      </c>
      <c r="Q395" s="34">
        <v>171.309</v>
      </c>
      <c r="R395" s="34">
        <v>169.59639999999999</v>
      </c>
      <c r="S395" s="34">
        <v>10948.358189999999</v>
      </c>
      <c r="T395" s="34">
        <v>10838.905923999999</v>
      </c>
      <c r="U395" s="35">
        <v>5.9458184283859899E-4</v>
      </c>
      <c r="V395" s="36">
        <v>5.9075666118395167E-4</v>
      </c>
      <c r="W395" s="36">
        <v>-3.8251816546473229E-6</v>
      </c>
      <c r="X395" s="37">
        <v>-8.0296066416244454</v>
      </c>
      <c r="Y395" s="38">
        <v>-125639.28401853303</v>
      </c>
      <c r="Z395" s="39">
        <v>5.4506989755321819E-4</v>
      </c>
      <c r="AA395" s="40">
        <v>5.4173656187155343E-4</v>
      </c>
      <c r="AB395" s="40">
        <v>-3.33333568166476E-6</v>
      </c>
      <c r="AC395" s="41">
        <v>-6.561481767881748E-2</v>
      </c>
      <c r="AD395" s="42">
        <v>-1026.6752883557733</v>
      </c>
      <c r="AE395" s="39">
        <v>6.5143502828834585E-4</v>
      </c>
      <c r="AF395" s="40">
        <v>6.4700640140616611E-4</v>
      </c>
      <c r="AG395" s="40">
        <v>-4.4286268821797439E-6</v>
      </c>
      <c r="AH395" s="41">
        <v>-5.6938814060051586E-2</v>
      </c>
      <c r="AI395" s="42">
        <v>-890.92182850964775</v>
      </c>
      <c r="AJ395" s="41">
        <v>-8.1521602733633145</v>
      </c>
      <c r="AK395" s="30">
        <v>-127556.88113539845</v>
      </c>
      <c r="AL395" s="43">
        <f>+$AL$6*W395/H395*10^6</f>
        <v>-29.926315558185909</v>
      </c>
      <c r="AM395" s="30">
        <v>1553801.75</v>
      </c>
      <c r="AN395" s="44">
        <v>-8.2093408078217481E-2</v>
      </c>
      <c r="AP395" s="32"/>
      <c r="AR395" s="32"/>
    </row>
    <row r="396" spans="1:44">
      <c r="A396" s="5" t="s">
        <v>1211</v>
      </c>
      <c r="B396" s="5" t="s">
        <v>381</v>
      </c>
      <c r="C396" s="5" t="s">
        <v>2358</v>
      </c>
      <c r="D396" s="29" t="s">
        <v>2359</v>
      </c>
      <c r="E396" s="5" t="s">
        <v>733</v>
      </c>
      <c r="F396" s="30" t="s">
        <v>1151</v>
      </c>
      <c r="G396" s="5" t="s">
        <v>968</v>
      </c>
      <c r="H396" s="31">
        <v>29.46</v>
      </c>
      <c r="I396" s="32">
        <v>439.678</v>
      </c>
      <c r="J396" s="32">
        <v>441.30489999999998</v>
      </c>
      <c r="K396" s="33">
        <v>0.72</v>
      </c>
      <c r="L396" s="33">
        <v>0.71</v>
      </c>
      <c r="M396" s="6">
        <v>0</v>
      </c>
      <c r="N396" s="6">
        <v>0</v>
      </c>
      <c r="O396" s="6">
        <v>1</v>
      </c>
      <c r="P396" s="6">
        <v>1</v>
      </c>
      <c r="Q396" s="34">
        <v>316.56815999999998</v>
      </c>
      <c r="R396" s="34">
        <v>313.32647899999995</v>
      </c>
      <c r="S396" s="34">
        <v>9326.0979936000003</v>
      </c>
      <c r="T396" s="34">
        <v>9230.5980713399986</v>
      </c>
      <c r="U396" s="35">
        <v>5.0648037224365324E-4</v>
      </c>
      <c r="V396" s="36">
        <v>5.030984986484178E-4</v>
      </c>
      <c r="W396" s="36">
        <v>-3.3818735952354309E-6</v>
      </c>
      <c r="X396" s="37">
        <v>-7.0990392439128298</v>
      </c>
      <c r="Y396" s="38">
        <v>-240972.13998346333</v>
      </c>
      <c r="Z396" s="39">
        <v>0</v>
      </c>
      <c r="AA396" s="40">
        <v>0</v>
      </c>
      <c r="AB396" s="40">
        <v>0</v>
      </c>
      <c r="AC396" s="41">
        <v>0</v>
      </c>
      <c r="AD396" s="42">
        <v>0</v>
      </c>
      <c r="AE396" s="39">
        <v>1.0880576535210185E-3</v>
      </c>
      <c r="AF396" s="40">
        <v>1.080395571728857E-3</v>
      </c>
      <c r="AG396" s="40">
        <v>-7.6620817921614452E-6</v>
      </c>
      <c r="AH396" s="41">
        <v>-9.8511313344613466E-2</v>
      </c>
      <c r="AI396" s="42">
        <v>-3343.900656639968</v>
      </c>
      <c r="AJ396" s="41">
        <v>-7.1975505572574434</v>
      </c>
      <c r="AK396" s="30">
        <v>-244316.04064010331</v>
      </c>
      <c r="AL396" s="43">
        <f>+$AL$6*W396/H396*10^6</f>
        <v>-57.397718860071805</v>
      </c>
      <c r="AM396" s="30">
        <v>2966879.25</v>
      </c>
      <c r="AN396" s="44">
        <v>-8.234782074130699E-2</v>
      </c>
      <c r="AP396" s="32"/>
      <c r="AR396" s="32"/>
    </row>
    <row r="397" spans="1:44">
      <c r="A397" s="5" t="s">
        <v>990</v>
      </c>
      <c r="B397" s="5" t="s">
        <v>1081</v>
      </c>
      <c r="C397" s="5" t="s">
        <v>2573</v>
      </c>
      <c r="D397" s="29" t="s">
        <v>2574</v>
      </c>
      <c r="E397" s="5" t="s">
        <v>878</v>
      </c>
      <c r="F397" s="30" t="s">
        <v>1165</v>
      </c>
      <c r="G397" s="5" t="s">
        <v>970</v>
      </c>
      <c r="H397" s="31">
        <v>56.91</v>
      </c>
      <c r="I397" s="32">
        <v>3034.14</v>
      </c>
      <c r="J397" s="32">
        <v>3009.8449999999998</v>
      </c>
      <c r="K397" s="33">
        <v>1</v>
      </c>
      <c r="L397" s="33">
        <v>1</v>
      </c>
      <c r="M397" s="6">
        <v>0</v>
      </c>
      <c r="N397" s="6">
        <v>0</v>
      </c>
      <c r="O397" s="6">
        <v>1</v>
      </c>
      <c r="P397" s="6">
        <v>1</v>
      </c>
      <c r="Q397" s="34">
        <v>3034.14</v>
      </c>
      <c r="R397" s="34">
        <v>3009.8449999999998</v>
      </c>
      <c r="S397" s="34">
        <v>172672.9074</v>
      </c>
      <c r="T397" s="34">
        <v>171290.27894999998</v>
      </c>
      <c r="U397" s="35">
        <v>9.3774951192194013E-3</v>
      </c>
      <c r="V397" s="36">
        <v>9.3358936773967442E-3</v>
      </c>
      <c r="W397" s="36">
        <v>-4.160144182265707E-5</v>
      </c>
      <c r="X397" s="37">
        <v>-87.327411798736804</v>
      </c>
      <c r="Y397" s="38">
        <v>-1534482.7235764682</v>
      </c>
      <c r="Z397" s="39">
        <v>0</v>
      </c>
      <c r="AA397" s="40">
        <v>0</v>
      </c>
      <c r="AB397" s="40">
        <v>0</v>
      </c>
      <c r="AC397" s="41">
        <v>0</v>
      </c>
      <c r="AD397" s="42">
        <v>0</v>
      </c>
      <c r="AE397" s="39">
        <v>2.0145411144213445E-2</v>
      </c>
      <c r="AF397" s="40">
        <v>2.0048674790897426E-2</v>
      </c>
      <c r="AG397" s="40">
        <v>-9.6736353316018847E-5</v>
      </c>
      <c r="AH397" s="41">
        <v>-1.2437383823125827</v>
      </c>
      <c r="AI397" s="42">
        <v>-21854.478691136577</v>
      </c>
      <c r="AJ397" s="41">
        <v>-88.57115018104939</v>
      </c>
      <c r="AK397" s="30">
        <v>-1556337.2022676046</v>
      </c>
      <c r="AL397" s="43">
        <f>+$AL$6*W397/H397*10^6</f>
        <v>-365.50203674799747</v>
      </c>
      <c r="AM397" s="30">
        <v>18561434</v>
      </c>
      <c r="AN397" s="44">
        <v>-8.3847896787910062E-2</v>
      </c>
      <c r="AP397" s="32"/>
      <c r="AR397" s="32"/>
    </row>
    <row r="398" spans="1:44">
      <c r="A398" s="5" t="s">
        <v>1218</v>
      </c>
      <c r="B398" s="5" t="s">
        <v>388</v>
      </c>
      <c r="C398" s="5" t="s">
        <v>2431</v>
      </c>
      <c r="D398" s="29" t="s">
        <v>1395</v>
      </c>
      <c r="E398" s="5" t="s">
        <v>739</v>
      </c>
      <c r="F398" s="30" t="s">
        <v>1153</v>
      </c>
      <c r="G398" s="5" t="s">
        <v>970</v>
      </c>
      <c r="H398" s="31">
        <v>52.82</v>
      </c>
      <c r="I398" s="32">
        <v>232.98500000000001</v>
      </c>
      <c r="J398" s="32">
        <v>229.0857</v>
      </c>
      <c r="K398" s="33">
        <v>0.92</v>
      </c>
      <c r="L398" s="33">
        <v>0.92</v>
      </c>
      <c r="M398" s="6">
        <v>0.52</v>
      </c>
      <c r="N398" s="6">
        <v>0.52</v>
      </c>
      <c r="O398" s="6">
        <v>0.48</v>
      </c>
      <c r="P398" s="6">
        <v>0.48</v>
      </c>
      <c r="Q398" s="34">
        <v>214.34620000000001</v>
      </c>
      <c r="R398" s="34">
        <v>210.75884400000001</v>
      </c>
      <c r="S398" s="34">
        <v>11321.766284000001</v>
      </c>
      <c r="T398" s="34">
        <v>11132.28214008</v>
      </c>
      <c r="U398" s="35">
        <v>6.1486083525082755E-4</v>
      </c>
      <c r="V398" s="36">
        <v>6.0674664717492186E-4</v>
      </c>
      <c r="W398" s="36">
        <v>-8.1141880759056902E-6</v>
      </c>
      <c r="X398" s="37">
        <v>-17.032848201215508</v>
      </c>
      <c r="Y398" s="38">
        <v>-322469.67438878282</v>
      </c>
      <c r="Z398" s="39">
        <v>5.9817002963271271E-4</v>
      </c>
      <c r="AA398" s="40">
        <v>5.904650120276009E-4</v>
      </c>
      <c r="AB398" s="40">
        <v>-7.7050176051118077E-6</v>
      </c>
      <c r="AC398" s="41">
        <v>-0.15166889076080028</v>
      </c>
      <c r="AD398" s="42">
        <v>-2871.4292078909557</v>
      </c>
      <c r="AE398" s="39">
        <v>6.3402642168947088E-4</v>
      </c>
      <c r="AF398" s="40">
        <v>6.2542954990820983E-4</v>
      </c>
      <c r="AG398" s="40">
        <v>-8.5968717812610418E-6</v>
      </c>
      <c r="AH398" s="41">
        <v>-0.11052989941893683</v>
      </c>
      <c r="AI398" s="42">
        <v>-2092.5766645008866</v>
      </c>
      <c r="AJ398" s="41">
        <v>-17.295046991395242</v>
      </c>
      <c r="AK398" s="30">
        <v>-327433.68026117462</v>
      </c>
      <c r="AL398" s="43">
        <f>+$AL$6*W398/H398*10^6</f>
        <v>-76.809807609860741</v>
      </c>
      <c r="AM398" s="30">
        <v>3830867.75</v>
      </c>
      <c r="AN398" s="44">
        <v>-8.5472457320191916E-2</v>
      </c>
      <c r="AP398" s="32"/>
      <c r="AR398" s="32"/>
    </row>
    <row r="399" spans="1:44">
      <c r="A399" s="5" t="s">
        <v>802</v>
      </c>
      <c r="B399" s="5" t="s">
        <v>163</v>
      </c>
      <c r="C399" s="5" t="s">
        <v>2349</v>
      </c>
      <c r="D399" s="29" t="s">
        <v>2350</v>
      </c>
      <c r="E399" s="5" t="s">
        <v>661</v>
      </c>
      <c r="F399" s="30" t="s">
        <v>1148</v>
      </c>
      <c r="G399" s="5" t="s">
        <v>970</v>
      </c>
      <c r="H399" s="31">
        <v>105.34</v>
      </c>
      <c r="I399" s="32">
        <v>75.513999999999996</v>
      </c>
      <c r="J399" s="32">
        <v>74.654020000000003</v>
      </c>
      <c r="K399" s="33">
        <v>0.9</v>
      </c>
      <c r="L399" s="33">
        <v>0.9</v>
      </c>
      <c r="M399" s="6">
        <v>0.54</v>
      </c>
      <c r="N399" s="6">
        <v>0.54</v>
      </c>
      <c r="O399" s="6">
        <v>0.46</v>
      </c>
      <c r="P399" s="6">
        <v>0.46</v>
      </c>
      <c r="Q399" s="34">
        <v>67.962599999999995</v>
      </c>
      <c r="R399" s="34">
        <v>67.188618000000005</v>
      </c>
      <c r="S399" s="34">
        <v>7159.180284</v>
      </c>
      <c r="T399" s="34">
        <v>7077.6490201200004</v>
      </c>
      <c r="U399" s="35">
        <v>3.8879972070720903E-4</v>
      </c>
      <c r="V399" s="36">
        <v>3.8575556734926777E-4</v>
      </c>
      <c r="W399" s="36">
        <v>-3.0441533579412617E-6</v>
      </c>
      <c r="X399" s="37">
        <v>-6.3901158762882755</v>
      </c>
      <c r="Y399" s="38">
        <v>-60661.817697819206</v>
      </c>
      <c r="Z399" s="39">
        <v>3.9279339776049778E-4</v>
      </c>
      <c r="AA399" s="40">
        <v>3.8984269647413932E-4</v>
      </c>
      <c r="AB399" s="40">
        <v>-2.9507012863584561E-6</v>
      </c>
      <c r="AC399" s="41">
        <v>-5.8082877159364964E-2</v>
      </c>
      <c r="AD399" s="42">
        <v>-551.38482209383869</v>
      </c>
      <c r="AE399" s="39">
        <v>3.8421389276552091E-4</v>
      </c>
      <c r="AF399" s="40">
        <v>3.8106565535901292E-4</v>
      </c>
      <c r="AG399" s="40">
        <v>-3.1482374065079904E-6</v>
      </c>
      <c r="AH399" s="41">
        <v>-4.0476858646043425E-2</v>
      </c>
      <c r="AI399" s="42">
        <v>-384.24965488934328</v>
      </c>
      <c r="AJ399" s="41">
        <v>-6.4886756120936839</v>
      </c>
      <c r="AK399" s="30">
        <v>-61597.452174802391</v>
      </c>
      <c r="AL399" s="43">
        <f>+$AL$6*W399/H399*10^6</f>
        <v>-14.449180548420646</v>
      </c>
      <c r="AM399" s="30">
        <v>681628.375</v>
      </c>
      <c r="AN399" s="44">
        <v>-9.0368086825614313E-2</v>
      </c>
      <c r="AP399" s="32"/>
      <c r="AR399" s="32"/>
    </row>
    <row r="400" spans="1:44">
      <c r="A400" s="5" t="s">
        <v>208</v>
      </c>
      <c r="B400" s="5" t="s">
        <v>210</v>
      </c>
      <c r="C400" s="5" t="s">
        <v>2373</v>
      </c>
      <c r="D400" s="29" t="s">
        <v>1482</v>
      </c>
      <c r="E400" s="5" t="s">
        <v>1477</v>
      </c>
      <c r="F400" s="30" t="s">
        <v>1155</v>
      </c>
      <c r="G400" s="5" t="s">
        <v>970</v>
      </c>
      <c r="H400" s="31">
        <v>101.23</v>
      </c>
      <c r="I400" s="32">
        <v>281.73399999999998</v>
      </c>
      <c r="J400" s="32">
        <v>280.04289999999997</v>
      </c>
      <c r="K400" s="33">
        <v>1</v>
      </c>
      <c r="L400" s="33">
        <v>1</v>
      </c>
      <c r="M400" s="6">
        <v>0.57999999999999996</v>
      </c>
      <c r="N400" s="6">
        <v>0.57999999999999996</v>
      </c>
      <c r="O400" s="6">
        <v>0.42</v>
      </c>
      <c r="P400" s="6">
        <v>0.42</v>
      </c>
      <c r="Q400" s="34">
        <v>281.73399999999998</v>
      </c>
      <c r="R400" s="34">
        <v>280.04289999999997</v>
      </c>
      <c r="S400" s="34">
        <v>28519.932819999998</v>
      </c>
      <c r="T400" s="34">
        <v>28348.742767</v>
      </c>
      <c r="U400" s="35">
        <v>1.5488563599642918E-3</v>
      </c>
      <c r="V400" s="36">
        <v>1.5451013915263523E-3</v>
      </c>
      <c r="W400" s="36">
        <v>-3.7549684379395605E-6</v>
      </c>
      <c r="X400" s="37">
        <v>-7.8822189978189536</v>
      </c>
      <c r="Y400" s="38">
        <v>-77864.457155180804</v>
      </c>
      <c r="Z400" s="39">
        <v>1.6806745055759382E-3</v>
      </c>
      <c r="AA400" s="40">
        <v>1.6771365244837254E-3</v>
      </c>
      <c r="AB400" s="40">
        <v>-3.5379810922127504E-6</v>
      </c>
      <c r="AC400" s="41">
        <v>-6.9643146231436262E-2</v>
      </c>
      <c r="AD400" s="42">
        <v>-687.96943822420485</v>
      </c>
      <c r="AE400" s="39">
        <v>1.3974932609201183E-3</v>
      </c>
      <c r="AF400" s="40">
        <v>1.3935932951896408E-3</v>
      </c>
      <c r="AG400" s="40">
        <v>-3.899965730477491E-6</v>
      </c>
      <c r="AH400" s="41">
        <v>-5.0141822618150839E-2</v>
      </c>
      <c r="AI400" s="42">
        <v>-495.32571982762852</v>
      </c>
      <c r="AJ400" s="41">
        <v>-8.002003966668541</v>
      </c>
      <c r="AK400" s="30">
        <v>-79047.752313232631</v>
      </c>
      <c r="AL400" s="43">
        <f>+$AL$6*W400/H400*10^6</f>
        <v>-18.546717563664725</v>
      </c>
      <c r="AM400" s="30">
        <v>869521.125</v>
      </c>
      <c r="AN400" s="44">
        <v>-9.0909524841311512E-2</v>
      </c>
      <c r="AP400" s="32"/>
      <c r="AR400" s="32"/>
    </row>
    <row r="401" spans="1:44">
      <c r="A401" s="5" t="s">
        <v>1340</v>
      </c>
      <c r="B401" s="5" t="s">
        <v>512</v>
      </c>
      <c r="C401" s="5" t="s">
        <v>2488</v>
      </c>
      <c r="D401" s="29" t="s">
        <v>2489</v>
      </c>
      <c r="E401" s="5" t="s">
        <v>44</v>
      </c>
      <c r="F401" s="30" t="s">
        <v>1167</v>
      </c>
      <c r="G401" s="5" t="s">
        <v>970</v>
      </c>
      <c r="H401" s="31">
        <v>38.68</v>
      </c>
      <c r="I401" s="32">
        <v>668.29700000000003</v>
      </c>
      <c r="J401" s="32">
        <v>659.35550000000001</v>
      </c>
      <c r="K401" s="33">
        <v>1</v>
      </c>
      <c r="L401" s="33">
        <v>1</v>
      </c>
      <c r="M401" s="6">
        <v>1</v>
      </c>
      <c r="N401" s="6">
        <v>1</v>
      </c>
      <c r="O401" s="6">
        <v>0</v>
      </c>
      <c r="P401" s="6">
        <v>0</v>
      </c>
      <c r="Q401" s="34">
        <v>668.29700000000003</v>
      </c>
      <c r="R401" s="34">
        <v>659.35550000000001</v>
      </c>
      <c r="S401" s="34">
        <v>25849.72796</v>
      </c>
      <c r="T401" s="34">
        <v>25503.870739999998</v>
      </c>
      <c r="U401" s="35">
        <v>1.4038432631270404E-3</v>
      </c>
      <c r="V401" s="36">
        <v>1.3900463415102043E-3</v>
      </c>
      <c r="W401" s="36">
        <v>-1.379692161683618E-5</v>
      </c>
      <c r="X401" s="37">
        <v>-28.961723507673209</v>
      </c>
      <c r="Y401" s="38">
        <v>-748751.90040520194</v>
      </c>
      <c r="Z401" s="39">
        <v>2.6264134724011353E-3</v>
      </c>
      <c r="AA401" s="40">
        <v>2.6014334419746212E-3</v>
      </c>
      <c r="AB401" s="40">
        <v>-2.498003042651414E-5</v>
      </c>
      <c r="AC401" s="41">
        <v>-0.49171769619927591</v>
      </c>
      <c r="AD401" s="42">
        <v>-12712.453366061942</v>
      </c>
      <c r="AE401" s="39">
        <v>0</v>
      </c>
      <c r="AF401" s="40">
        <v>0</v>
      </c>
      <c r="AG401" s="40">
        <v>0</v>
      </c>
      <c r="AH401" s="41">
        <v>0</v>
      </c>
      <c r="AI401" s="42">
        <v>0</v>
      </c>
      <c r="AJ401" s="41">
        <v>-29.453441203872487</v>
      </c>
      <c r="AK401" s="30">
        <v>-761464.35377126385</v>
      </c>
      <c r="AL401" s="43">
        <f>+$AL$6*W401/H401*10^6</f>
        <v>-178.34697022797542</v>
      </c>
      <c r="AM401" s="30">
        <v>8303560</v>
      </c>
      <c r="AN401" s="44">
        <v>-9.1703360217938318E-2</v>
      </c>
      <c r="AP401" s="32"/>
      <c r="AR401" s="32"/>
    </row>
    <row r="402" spans="1:44">
      <c r="A402" s="5" t="s">
        <v>303</v>
      </c>
      <c r="B402" s="5" t="s">
        <v>603</v>
      </c>
      <c r="C402" s="5" t="s">
        <v>2324</v>
      </c>
      <c r="D402" s="29" t="s">
        <v>2325</v>
      </c>
      <c r="E402" s="5" t="s">
        <v>129</v>
      </c>
      <c r="F402" s="30" t="s">
        <v>1155</v>
      </c>
      <c r="G402" s="5" t="s">
        <v>970</v>
      </c>
      <c r="H402" s="31">
        <v>62.47</v>
      </c>
      <c r="I402" s="32">
        <v>126.108</v>
      </c>
      <c r="J402" s="32">
        <v>125.11539999999999</v>
      </c>
      <c r="K402" s="33">
        <v>1</v>
      </c>
      <c r="L402" s="33">
        <v>1</v>
      </c>
      <c r="M402" s="6">
        <v>0</v>
      </c>
      <c r="N402" s="6">
        <v>0</v>
      </c>
      <c r="O402" s="6">
        <v>1</v>
      </c>
      <c r="P402" s="6">
        <v>1</v>
      </c>
      <c r="Q402" s="34">
        <v>126.108</v>
      </c>
      <c r="R402" s="34">
        <v>125.11539999999999</v>
      </c>
      <c r="S402" s="34">
        <v>7877.9667600000002</v>
      </c>
      <c r="T402" s="34">
        <v>7815.9590379999991</v>
      </c>
      <c r="U402" s="35">
        <v>4.2783547201263308E-4</v>
      </c>
      <c r="V402" s="36">
        <v>4.2599593516311538E-4</v>
      </c>
      <c r="W402" s="36">
        <v>-1.8395368495177015E-6</v>
      </c>
      <c r="X402" s="37">
        <v>-3.8614525107467323</v>
      </c>
      <c r="Y402" s="38">
        <v>-61812.9103689248</v>
      </c>
      <c r="Z402" s="39">
        <v>0</v>
      </c>
      <c r="AA402" s="40">
        <v>0</v>
      </c>
      <c r="AB402" s="40">
        <v>0</v>
      </c>
      <c r="AC402" s="41">
        <v>0</v>
      </c>
      <c r="AD402" s="42">
        <v>0</v>
      </c>
      <c r="AE402" s="39">
        <v>9.1910700844924267E-4</v>
      </c>
      <c r="AF402" s="40">
        <v>9.1481911228353163E-4</v>
      </c>
      <c r="AG402" s="40">
        <v>-4.287896165711038E-6</v>
      </c>
      <c r="AH402" s="41">
        <v>-5.5129440565573423E-2</v>
      </c>
      <c r="AI402" s="42">
        <v>-882.49464647948491</v>
      </c>
      <c r="AJ402" s="41">
        <v>-3.9165819513123057</v>
      </c>
      <c r="AK402" s="30">
        <v>-62695.405015404285</v>
      </c>
      <c r="AL402" s="43">
        <f>+$AL$6*W402/H402*10^6</f>
        <v>-14.723362009906367</v>
      </c>
      <c r="AM402" s="30">
        <v>677813.9375</v>
      </c>
      <c r="AN402" s="44">
        <v>-9.249648251059206E-2</v>
      </c>
      <c r="AP402" s="32"/>
      <c r="AR402" s="32"/>
    </row>
    <row r="403" spans="1:44">
      <c r="A403" s="5" t="s">
        <v>1320</v>
      </c>
      <c r="B403" s="5" t="s">
        <v>493</v>
      </c>
      <c r="C403" s="5" t="s">
        <v>2351</v>
      </c>
      <c r="D403" s="29" t="s">
        <v>2352</v>
      </c>
      <c r="E403" s="5" t="s">
        <v>26</v>
      </c>
      <c r="F403" s="30" t="s">
        <v>1164</v>
      </c>
      <c r="G403" s="5" t="s">
        <v>970</v>
      </c>
      <c r="H403" s="31">
        <v>44.16</v>
      </c>
      <c r="I403" s="32">
        <v>125.584</v>
      </c>
      <c r="J403" s="32">
        <v>123.7988</v>
      </c>
      <c r="K403" s="33">
        <v>1</v>
      </c>
      <c r="L403" s="33">
        <v>1</v>
      </c>
      <c r="M403" s="6">
        <v>0</v>
      </c>
      <c r="N403" s="6">
        <v>0</v>
      </c>
      <c r="O403" s="6">
        <v>1</v>
      </c>
      <c r="P403" s="6">
        <v>1</v>
      </c>
      <c r="Q403" s="34">
        <v>125.584</v>
      </c>
      <c r="R403" s="34">
        <v>123.7988</v>
      </c>
      <c r="S403" s="34">
        <v>5545.7894399999996</v>
      </c>
      <c r="T403" s="34">
        <v>5466.9550079999999</v>
      </c>
      <c r="U403" s="35">
        <v>3.0117992561129768E-4</v>
      </c>
      <c r="V403" s="36">
        <v>2.9796735113437489E-4</v>
      </c>
      <c r="W403" s="36">
        <v>-3.2125744769227879E-6</v>
      </c>
      <c r="X403" s="37">
        <v>-6.7436560366414104</v>
      </c>
      <c r="Y403" s="38">
        <v>-152709.60227901745</v>
      </c>
      <c r="Z403" s="39">
        <v>0</v>
      </c>
      <c r="AA403" s="40">
        <v>0</v>
      </c>
      <c r="AB403" s="40">
        <v>0</v>
      </c>
      <c r="AC403" s="41">
        <v>0</v>
      </c>
      <c r="AD403" s="42">
        <v>0</v>
      </c>
      <c r="AE403" s="39">
        <v>6.4701643164686315E-4</v>
      </c>
      <c r="AF403" s="40">
        <v>6.3987987948723021E-4</v>
      </c>
      <c r="AG403" s="40">
        <v>-7.1365521596329379E-6</v>
      </c>
      <c r="AH403" s="41">
        <v>-9.1754583815197799E-2</v>
      </c>
      <c r="AI403" s="42">
        <v>-2077.7759016122691</v>
      </c>
      <c r="AJ403" s="41">
        <v>-6.8354106204566083</v>
      </c>
      <c r="AK403" s="30">
        <v>-154787.37818062972</v>
      </c>
      <c r="AL403" s="43">
        <f>+$AL$6*W403/H403*10^6</f>
        <v>-36.374258117332289</v>
      </c>
      <c r="AM403" s="30">
        <v>1641791.875</v>
      </c>
      <c r="AN403" s="44">
        <v>-9.4279537216390305E-2</v>
      </c>
      <c r="AP403" s="32"/>
      <c r="AR403" s="32"/>
    </row>
    <row r="404" spans="1:44">
      <c r="A404" s="5" t="s">
        <v>1181</v>
      </c>
      <c r="B404" s="5" t="s">
        <v>349</v>
      </c>
      <c r="C404" s="5" t="s">
        <v>2406</v>
      </c>
      <c r="D404" s="29" t="s">
        <v>2407</v>
      </c>
      <c r="E404" s="5" t="s">
        <v>707</v>
      </c>
      <c r="F404" s="30" t="s">
        <v>1155</v>
      </c>
      <c r="G404" s="5" t="s">
        <v>970</v>
      </c>
      <c r="H404" s="31">
        <v>64.11</v>
      </c>
      <c r="I404" s="32">
        <v>433.88400000000001</v>
      </c>
      <c r="J404" s="32">
        <v>430.69409999999999</v>
      </c>
      <c r="K404" s="33">
        <v>1</v>
      </c>
      <c r="L404" s="33">
        <v>1</v>
      </c>
      <c r="M404" s="6">
        <v>0</v>
      </c>
      <c r="N404" s="6">
        <v>0</v>
      </c>
      <c r="O404" s="6">
        <v>1</v>
      </c>
      <c r="P404" s="6">
        <v>1</v>
      </c>
      <c r="Q404" s="34">
        <v>433.88400000000001</v>
      </c>
      <c r="R404" s="34">
        <v>430.69409999999999</v>
      </c>
      <c r="S404" s="34">
        <v>27816.303240000001</v>
      </c>
      <c r="T404" s="34">
        <v>27611.798750999998</v>
      </c>
      <c r="U404" s="35">
        <v>1.5106437471604584E-3</v>
      </c>
      <c r="V404" s="36">
        <v>1.5049354753882969E-3</v>
      </c>
      <c r="W404" s="36">
        <v>-5.7082717721615179E-6</v>
      </c>
      <c r="X404" s="37">
        <v>-11.982483728128049</v>
      </c>
      <c r="Y404" s="38">
        <v>-186905.06517123769</v>
      </c>
      <c r="Z404" s="39">
        <v>0</v>
      </c>
      <c r="AA404" s="40">
        <v>0</v>
      </c>
      <c r="AB404" s="40">
        <v>0</v>
      </c>
      <c r="AC404" s="41">
        <v>0</v>
      </c>
      <c r="AD404" s="42">
        <v>0</v>
      </c>
      <c r="AE404" s="39">
        <v>3.2452738169503744E-3</v>
      </c>
      <c r="AF404" s="40">
        <v>3.2318236443067386E-3</v>
      </c>
      <c r="AG404" s="40">
        <v>-1.3450172643635853E-5</v>
      </c>
      <c r="AH404" s="41">
        <v>-0.17292874283747153</v>
      </c>
      <c r="AI404" s="42">
        <v>-2697.3754927074019</v>
      </c>
      <c r="AJ404" s="41">
        <v>-12.155412470965521</v>
      </c>
      <c r="AK404" s="30">
        <v>-189602.44066394508</v>
      </c>
      <c r="AL404" s="43">
        <f>+$AL$6*W404/H404*10^6</f>
        <v>-44.519355577612835</v>
      </c>
      <c r="AM404" s="30">
        <v>1976770.625</v>
      </c>
      <c r="AN404" s="44">
        <v>-9.591524594005188E-2</v>
      </c>
      <c r="AP404" s="32"/>
      <c r="AR404" s="32"/>
    </row>
    <row r="405" spans="1:44">
      <c r="A405" s="5" t="s">
        <v>1034</v>
      </c>
      <c r="B405" s="5" t="s">
        <v>1119</v>
      </c>
      <c r="C405" s="5" t="s">
        <v>2505</v>
      </c>
      <c r="D405" s="29" t="s">
        <v>2506</v>
      </c>
      <c r="E405" s="5" t="s">
        <v>917</v>
      </c>
      <c r="F405" s="30" t="s">
        <v>1157</v>
      </c>
      <c r="G405" s="5" t="s">
        <v>970</v>
      </c>
      <c r="H405" s="31">
        <v>37.57</v>
      </c>
      <c r="I405" s="32">
        <v>1970.027</v>
      </c>
      <c r="J405" s="32">
        <v>1953.385</v>
      </c>
      <c r="K405" s="33">
        <v>0.78</v>
      </c>
      <c r="L405" s="33">
        <v>0.78</v>
      </c>
      <c r="M405" s="6">
        <v>0</v>
      </c>
      <c r="N405" s="6">
        <v>0</v>
      </c>
      <c r="O405" s="6">
        <v>1</v>
      </c>
      <c r="P405" s="6">
        <v>1</v>
      </c>
      <c r="Q405" s="34">
        <v>1536.6210600000002</v>
      </c>
      <c r="R405" s="34">
        <v>1523.6403</v>
      </c>
      <c r="S405" s="34">
        <v>57730.853224200007</v>
      </c>
      <c r="T405" s="34">
        <v>57243.166071</v>
      </c>
      <c r="U405" s="35">
        <v>3.1352387730647965E-3</v>
      </c>
      <c r="V405" s="36">
        <v>3.1199441992409739E-3</v>
      </c>
      <c r="W405" s="36">
        <v>-1.5294573823822558E-5</v>
      </c>
      <c r="X405" s="37">
        <v>-32.105510965048246</v>
      </c>
      <c r="Y405" s="38">
        <v>-854551.79571595008</v>
      </c>
      <c r="Z405" s="39">
        <v>0</v>
      </c>
      <c r="AA405" s="40">
        <v>0</v>
      </c>
      <c r="AB405" s="40">
        <v>0</v>
      </c>
      <c r="AC405" s="41">
        <v>0</v>
      </c>
      <c r="AD405" s="42">
        <v>0</v>
      </c>
      <c r="AE405" s="39">
        <v>6.7353459869278227E-3</v>
      </c>
      <c r="AF405" s="40">
        <v>6.700027740008609E-3</v>
      </c>
      <c r="AG405" s="40">
        <v>-3.5318246919213703E-5</v>
      </c>
      <c r="AH405" s="41">
        <v>-0.45408636757186166</v>
      </c>
      <c r="AI405" s="42">
        <v>-12086.408506038373</v>
      </c>
      <c r="AJ405" s="41">
        <v>-32.559597332620108</v>
      </c>
      <c r="AK405" s="30">
        <v>-866638.20422198845</v>
      </c>
      <c r="AL405" s="43">
        <f>+$AL$6*W405/H405*10^6</f>
        <v>-203.54769528643274</v>
      </c>
      <c r="AM405" s="30">
        <v>9000244</v>
      </c>
      <c r="AN405" s="44">
        <v>-9.6290523259368127E-2</v>
      </c>
      <c r="AP405" s="32"/>
      <c r="AR405" s="32"/>
    </row>
    <row r="406" spans="1:44">
      <c r="A406" s="5" t="s">
        <v>1271</v>
      </c>
      <c r="B406" s="5" t="s">
        <v>444</v>
      </c>
      <c r="C406" s="5" t="s">
        <v>2376</v>
      </c>
      <c r="D406" s="29" t="s">
        <v>2377</v>
      </c>
      <c r="E406" s="5" t="s">
        <v>786</v>
      </c>
      <c r="F406" s="30" t="s">
        <v>1167</v>
      </c>
      <c r="G406" s="5" t="s">
        <v>970</v>
      </c>
      <c r="H406" s="31">
        <v>48.5</v>
      </c>
      <c r="I406" s="32">
        <v>191.274</v>
      </c>
      <c r="J406" s="32">
        <v>189.16</v>
      </c>
      <c r="K406" s="33">
        <v>1</v>
      </c>
      <c r="L406" s="33">
        <v>1</v>
      </c>
      <c r="M406" s="6">
        <v>0.47</v>
      </c>
      <c r="N406" s="6">
        <v>0.47</v>
      </c>
      <c r="O406" s="6">
        <v>0.53</v>
      </c>
      <c r="P406" s="6">
        <v>0.53</v>
      </c>
      <c r="Q406" s="34">
        <v>191.274</v>
      </c>
      <c r="R406" s="34">
        <v>189.16</v>
      </c>
      <c r="S406" s="34">
        <v>9276.7890000000007</v>
      </c>
      <c r="T406" s="34">
        <v>9174.26</v>
      </c>
      <c r="U406" s="35">
        <v>5.03802506597096E-4</v>
      </c>
      <c r="V406" s="36">
        <v>5.0002788514224596E-4</v>
      </c>
      <c r="W406" s="36">
        <v>-3.7746214548500454E-6</v>
      </c>
      <c r="X406" s="37">
        <v>-7.9234735078944851</v>
      </c>
      <c r="Y406" s="38">
        <v>-163370.58779163889</v>
      </c>
      <c r="Z406" s="39">
        <v>4.4299890948657579E-4</v>
      </c>
      <c r="AA406" s="40">
        <v>4.3982055492506553E-4</v>
      </c>
      <c r="AB406" s="40">
        <v>-3.1783545615102541E-6</v>
      </c>
      <c r="AC406" s="41">
        <v>-6.2564102445265585E-2</v>
      </c>
      <c r="AD406" s="42">
        <v>-1289.9814937168162</v>
      </c>
      <c r="AE406" s="39">
        <v>5.7362158081466271E-4</v>
      </c>
      <c r="AF406" s="40">
        <v>5.6911478483632593E-4</v>
      </c>
      <c r="AG406" s="40">
        <v>-4.506795978336778E-6</v>
      </c>
      <c r="AH406" s="41">
        <v>-5.7943833392169485E-2</v>
      </c>
      <c r="AI406" s="42">
        <v>-1194.7182142715358</v>
      </c>
      <c r="AJ406" s="41">
        <v>-8.043981443731921</v>
      </c>
      <c r="AK406" s="30">
        <v>-165855.28749962724</v>
      </c>
      <c r="AL406" s="43">
        <f>+$AL$6*W406/H406*10^6</f>
        <v>-38.913623245876757</v>
      </c>
      <c r="AM406" s="30">
        <v>1697702.75</v>
      </c>
      <c r="AN406" s="44">
        <v>-9.7693949956567633E-2</v>
      </c>
      <c r="AP406" s="32"/>
      <c r="AR406" s="32"/>
    </row>
    <row r="407" spans="1:44">
      <c r="A407" s="5" t="s">
        <v>1419</v>
      </c>
      <c r="B407" s="5" t="s">
        <v>1417</v>
      </c>
      <c r="C407" s="5" t="s">
        <v>2507</v>
      </c>
      <c r="D407" s="29" t="s">
        <v>1424</v>
      </c>
      <c r="E407" s="5" t="s">
        <v>1421</v>
      </c>
      <c r="F407" s="30" t="s">
        <v>1160</v>
      </c>
      <c r="G407" s="5" t="s">
        <v>970</v>
      </c>
      <c r="H407" s="31">
        <v>57.8</v>
      </c>
      <c r="I407" s="32">
        <v>543.274</v>
      </c>
      <c r="J407" s="32">
        <v>536.15679999999998</v>
      </c>
      <c r="K407" s="33">
        <v>1</v>
      </c>
      <c r="L407" s="33">
        <v>1</v>
      </c>
      <c r="M407" s="6">
        <v>0</v>
      </c>
      <c r="N407" s="6">
        <v>0</v>
      </c>
      <c r="O407" s="6">
        <v>1</v>
      </c>
      <c r="P407" s="6">
        <v>1</v>
      </c>
      <c r="Q407" s="34">
        <v>543.274</v>
      </c>
      <c r="R407" s="34">
        <v>536.15679999999998</v>
      </c>
      <c r="S407" s="34">
        <v>31401.2372</v>
      </c>
      <c r="T407" s="34">
        <v>30989.863039999997</v>
      </c>
      <c r="U407" s="35">
        <v>1.7053338188041114E-3</v>
      </c>
      <c r="V407" s="36">
        <v>1.6890512887948511E-3</v>
      </c>
      <c r="W407" s="36">
        <v>-1.628253000926028E-5</v>
      </c>
      <c r="X407" s="37">
        <v>-34.179373140609705</v>
      </c>
      <c r="Y407" s="38">
        <v>-591338.63565068704</v>
      </c>
      <c r="Z407" s="39">
        <v>0</v>
      </c>
      <c r="AA407" s="40">
        <v>0</v>
      </c>
      <c r="AB407" s="40">
        <v>0</v>
      </c>
      <c r="AC407" s="41">
        <v>0</v>
      </c>
      <c r="AD407" s="42">
        <v>0</v>
      </c>
      <c r="AE407" s="39">
        <v>3.6635210662525151E-3</v>
      </c>
      <c r="AF407" s="40">
        <v>3.6272092596963566E-3</v>
      </c>
      <c r="AG407" s="40">
        <v>-3.6311806556158475E-5</v>
      </c>
      <c r="AH407" s="41">
        <v>-0.46686055445430369</v>
      </c>
      <c r="AI407" s="42">
        <v>-8077.1722223927973</v>
      </c>
      <c r="AJ407" s="41">
        <v>-34.646233695064012</v>
      </c>
      <c r="AK407" s="30">
        <v>-599415.80787307979</v>
      </c>
      <c r="AL407" s="43">
        <f>+$AL$6*W407/H407*10^6</f>
        <v>-140.85233572024464</v>
      </c>
      <c r="AM407" s="30">
        <v>5997126</v>
      </c>
      <c r="AN407" s="44">
        <v>-9.9950510940253673E-2</v>
      </c>
      <c r="AP407" s="32"/>
      <c r="AR407" s="32"/>
    </row>
    <row r="408" spans="1:44">
      <c r="A408" s="5" t="s">
        <v>313</v>
      </c>
      <c r="B408" s="5" t="s">
        <v>613</v>
      </c>
      <c r="C408" s="5" t="s">
        <v>2541</v>
      </c>
      <c r="D408" s="29" t="s">
        <v>2542</v>
      </c>
      <c r="E408" s="5" t="s">
        <v>139</v>
      </c>
      <c r="F408" s="30" t="s">
        <v>1167</v>
      </c>
      <c r="G408" s="5" t="s">
        <v>970</v>
      </c>
      <c r="H408" s="31">
        <v>92.82</v>
      </c>
      <c r="I408" s="32">
        <v>875.59100000000001</v>
      </c>
      <c r="J408" s="32">
        <v>867.69159999999999</v>
      </c>
      <c r="K408" s="33">
        <v>1</v>
      </c>
      <c r="L408" s="33">
        <v>1</v>
      </c>
      <c r="M408" s="6">
        <v>1</v>
      </c>
      <c r="N408" s="6">
        <v>1</v>
      </c>
      <c r="O408" s="6">
        <v>0</v>
      </c>
      <c r="P408" s="6">
        <v>0</v>
      </c>
      <c r="Q408" s="34">
        <v>875.59100000000001</v>
      </c>
      <c r="R408" s="34">
        <v>867.69159999999999</v>
      </c>
      <c r="S408" s="34">
        <v>81272.356619999991</v>
      </c>
      <c r="T408" s="34">
        <v>80539.134311999995</v>
      </c>
      <c r="U408" s="35">
        <v>4.4137273125657035E-3</v>
      </c>
      <c r="V408" s="36">
        <v>4.3896524625655535E-3</v>
      </c>
      <c r="W408" s="36">
        <v>-2.4074850000149924E-5</v>
      </c>
      <c r="X408" s="37">
        <v>-50.536573922562958</v>
      </c>
      <c r="Y408" s="38">
        <v>-544457.80998236325</v>
      </c>
      <c r="Z408" s="39">
        <v>8.2575264502148197E-3</v>
      </c>
      <c r="AA408" s="40">
        <v>8.2151136791294172E-3</v>
      </c>
      <c r="AB408" s="40">
        <v>-4.2412771085402479E-5</v>
      </c>
      <c r="AC408" s="41">
        <v>-0.83487128444028935</v>
      </c>
      <c r="AD408" s="42">
        <v>-8994.5193324745687</v>
      </c>
      <c r="AE408" s="39">
        <v>0</v>
      </c>
      <c r="AF408" s="40">
        <v>0</v>
      </c>
      <c r="AG408" s="40">
        <v>0</v>
      </c>
      <c r="AH408" s="41">
        <v>0</v>
      </c>
      <c r="AI408" s="42">
        <v>0</v>
      </c>
      <c r="AJ408" s="41">
        <v>-51.371445207003248</v>
      </c>
      <c r="AK408" s="30">
        <v>-553452.32931483781</v>
      </c>
      <c r="AL408" s="43">
        <f>+$AL$6*W408/H408*10^6</f>
        <v>-129.68568196590135</v>
      </c>
      <c r="AM408" s="30">
        <v>5509280</v>
      </c>
      <c r="AN408" s="44">
        <v>-0.10045819586494747</v>
      </c>
      <c r="AP408" s="32"/>
      <c r="AR408" s="32"/>
    </row>
    <row r="409" spans="1:44">
      <c r="A409" s="5" t="s">
        <v>301</v>
      </c>
      <c r="B409" s="5" t="s">
        <v>601</v>
      </c>
      <c r="C409" s="5" t="s">
        <v>2389</v>
      </c>
      <c r="D409" s="29" t="s">
        <v>2390</v>
      </c>
      <c r="E409" s="5" t="s">
        <v>127</v>
      </c>
      <c r="F409" s="30" t="s">
        <v>1159</v>
      </c>
      <c r="G409" s="5" t="s">
        <v>968</v>
      </c>
      <c r="H409" s="31">
        <v>89.75</v>
      </c>
      <c r="I409" s="32">
        <v>129.15899999999999</v>
      </c>
      <c r="J409" s="32">
        <v>129.1585</v>
      </c>
      <c r="K409" s="33">
        <v>0.87</v>
      </c>
      <c r="L409" s="33">
        <v>0.86</v>
      </c>
      <c r="M409" s="6">
        <v>0.69</v>
      </c>
      <c r="N409" s="6">
        <v>0.69</v>
      </c>
      <c r="O409" s="6">
        <v>0.31</v>
      </c>
      <c r="P409" s="6">
        <v>0.31</v>
      </c>
      <c r="Q409" s="34">
        <v>112.36832999999999</v>
      </c>
      <c r="R409" s="34">
        <v>111.07631000000001</v>
      </c>
      <c r="S409" s="34">
        <v>10085.057617499999</v>
      </c>
      <c r="T409" s="34">
        <v>9969.0988225000001</v>
      </c>
      <c r="U409" s="35">
        <v>5.4769784101725669E-4</v>
      </c>
      <c r="V409" s="36">
        <v>5.4334926206459479E-4</v>
      </c>
      <c r="W409" s="36">
        <v>-4.3485789526619004E-6</v>
      </c>
      <c r="X409" s="37">
        <v>-9.1282928740129634</v>
      </c>
      <c r="Y409" s="38">
        <v>-101707.99859624471</v>
      </c>
      <c r="Z409" s="39">
        <v>7.0702471429858501E-4</v>
      </c>
      <c r="AA409" s="40">
        <v>7.0163559312365429E-4</v>
      </c>
      <c r="AB409" s="40">
        <v>-5.3891211749307246E-6</v>
      </c>
      <c r="AC409" s="41">
        <v>-0.1060817862680825</v>
      </c>
      <c r="AD409" s="42">
        <v>-1181.969763432674</v>
      </c>
      <c r="AE409" s="39">
        <v>3.6474723744914456E-4</v>
      </c>
      <c r="AF409" s="40">
        <v>3.6171835703401728E-4</v>
      </c>
      <c r="AG409" s="40">
        <v>-3.0288804151272757E-6</v>
      </c>
      <c r="AH409" s="41">
        <v>-3.8942286933456811E-2</v>
      </c>
      <c r="AI409" s="42">
        <v>-433.89734744798676</v>
      </c>
      <c r="AJ409" s="41">
        <v>-9.2733169472145036</v>
      </c>
      <c r="AK409" s="30">
        <v>-103323.86570712537</v>
      </c>
      <c r="AL409" s="43">
        <f>+$AL$6*W409/H409*10^6</f>
        <v>-24.226066588645683</v>
      </c>
      <c r="AM409" s="30">
        <v>1015869.75</v>
      </c>
      <c r="AN409" s="44">
        <v>-0.10170975728642906</v>
      </c>
      <c r="AP409" s="32"/>
      <c r="AR409" s="32"/>
    </row>
    <row r="410" spans="1:44">
      <c r="A410" s="5" t="s">
        <v>1309</v>
      </c>
      <c r="B410" s="5" t="s">
        <v>481</v>
      </c>
      <c r="C410" s="5" t="s">
        <v>2464</v>
      </c>
      <c r="D410" s="29" t="s">
        <v>2465</v>
      </c>
      <c r="E410" s="5" t="s">
        <v>16</v>
      </c>
      <c r="F410" s="30" t="s">
        <v>1149</v>
      </c>
      <c r="G410" s="5" t="s">
        <v>970</v>
      </c>
      <c r="H410" s="31">
        <v>186.09</v>
      </c>
      <c r="I410" s="32">
        <v>149.78100000000001</v>
      </c>
      <c r="J410" s="32">
        <v>148.1437</v>
      </c>
      <c r="K410" s="33">
        <v>1</v>
      </c>
      <c r="L410" s="33">
        <v>1</v>
      </c>
      <c r="M410" s="6">
        <v>0</v>
      </c>
      <c r="N410" s="6">
        <v>0</v>
      </c>
      <c r="O410" s="6">
        <v>1</v>
      </c>
      <c r="P410" s="6">
        <v>1</v>
      </c>
      <c r="Q410" s="34">
        <v>149.78100000000001</v>
      </c>
      <c r="R410" s="34">
        <v>148.1437</v>
      </c>
      <c r="S410" s="34">
        <v>27872.746290000003</v>
      </c>
      <c r="T410" s="34">
        <v>27568.061132999999</v>
      </c>
      <c r="U410" s="35">
        <v>1.513709048103488E-3</v>
      </c>
      <c r="V410" s="36">
        <v>1.502551628775088E-3</v>
      </c>
      <c r="W410" s="36">
        <v>-1.1157419328400048E-5</v>
      </c>
      <c r="X410" s="37">
        <v>-23.421028445502689</v>
      </c>
      <c r="Y410" s="38">
        <v>-125858.60844485297</v>
      </c>
      <c r="Z410" s="39">
        <v>0</v>
      </c>
      <c r="AA410" s="40">
        <v>0</v>
      </c>
      <c r="AB410" s="40">
        <v>0</v>
      </c>
      <c r="AC410" s="41">
        <v>0</v>
      </c>
      <c r="AD410" s="42">
        <v>0</v>
      </c>
      <c r="AE410" s="39">
        <v>3.2518589174482158E-3</v>
      </c>
      <c r="AF410" s="40">
        <v>3.2267043737632742E-3</v>
      </c>
      <c r="AG410" s="40">
        <v>-2.5154543684941574E-5</v>
      </c>
      <c r="AH410" s="41">
        <v>-0.32341173093755382</v>
      </c>
      <c r="AI410" s="42">
        <v>-1737.9318122282434</v>
      </c>
      <c r="AJ410" s="41">
        <v>-23.744440176440243</v>
      </c>
      <c r="AK410" s="30">
        <v>-127596.54025708121</v>
      </c>
      <c r="AL410" s="43">
        <f>+$AL$6*W410/H410*10^6</f>
        <v>-29.978556957386342</v>
      </c>
      <c r="AM410" s="30">
        <v>1222060.125</v>
      </c>
      <c r="AN410" s="44">
        <v>-0.104411016812353</v>
      </c>
      <c r="AP410" s="32"/>
      <c r="AR410" s="32"/>
    </row>
    <row r="411" spans="1:44">
      <c r="A411" s="5" t="s">
        <v>275</v>
      </c>
      <c r="B411" s="5" t="s">
        <v>1366</v>
      </c>
      <c r="C411" s="5" t="s">
        <v>2480</v>
      </c>
      <c r="D411" s="29" t="s">
        <v>2481</v>
      </c>
      <c r="E411" s="5" t="s">
        <v>1530</v>
      </c>
      <c r="F411" s="30" t="s">
        <v>1157</v>
      </c>
      <c r="G411" s="5" t="s">
        <v>968</v>
      </c>
      <c r="H411" s="31">
        <v>33.85</v>
      </c>
      <c r="I411" s="32">
        <v>1313.519</v>
      </c>
      <c r="J411" s="32">
        <v>1315.624</v>
      </c>
      <c r="K411" s="33">
        <v>0.88</v>
      </c>
      <c r="L411" s="33">
        <v>0.87</v>
      </c>
      <c r="M411" s="6">
        <v>0.65</v>
      </c>
      <c r="N411" s="6">
        <v>0.65</v>
      </c>
      <c r="O411" s="6">
        <v>0.35</v>
      </c>
      <c r="P411" s="6">
        <v>0.35</v>
      </c>
      <c r="Q411" s="34">
        <v>1155.89672</v>
      </c>
      <c r="R411" s="34">
        <v>1144.5928799999999</v>
      </c>
      <c r="S411" s="34">
        <v>39127.103971999997</v>
      </c>
      <c r="T411" s="34">
        <v>38744.468988000001</v>
      </c>
      <c r="U411" s="35">
        <v>2.1249090668095166E-3</v>
      </c>
      <c r="V411" s="36">
        <v>2.1117032751446956E-3</v>
      </c>
      <c r="W411" s="36">
        <v>-1.3205791664821012E-5</v>
      </c>
      <c r="X411" s="37">
        <v>-27.720856689492845</v>
      </c>
      <c r="Y411" s="38">
        <v>-818932.25079742528</v>
      </c>
      <c r="Z411" s="39">
        <v>2.5840337491607975E-3</v>
      </c>
      <c r="AA411" s="40">
        <v>2.568796435799599E-3</v>
      </c>
      <c r="AB411" s="40">
        <v>-1.5237313361198511E-5</v>
      </c>
      <c r="AC411" s="41">
        <v>-0.29993785012697111</v>
      </c>
      <c r="AD411" s="42">
        <v>-8860.7932090685699</v>
      </c>
      <c r="AE411" s="39">
        <v>1.5977090030709379E-3</v>
      </c>
      <c r="AF411" s="40">
        <v>1.5871965543334061E-3</v>
      </c>
      <c r="AG411" s="40">
        <v>-1.051244873753179E-5</v>
      </c>
      <c r="AH411" s="41">
        <v>-0.13515845428087539</v>
      </c>
      <c r="AI411" s="42">
        <v>-3992.8642328175888</v>
      </c>
      <c r="AJ411" s="41">
        <v>-28.155952993900691</v>
      </c>
      <c r="AK411" s="30">
        <v>-831785.90823931142</v>
      </c>
      <c r="AL411" s="43">
        <f>+$AL$6*W411/H411*10^6</f>
        <v>-195.06339239026605</v>
      </c>
      <c r="AM411" s="30">
        <v>7907727.5</v>
      </c>
      <c r="AN411" s="44">
        <v>-0.10518646580061231</v>
      </c>
      <c r="AP411" s="32"/>
      <c r="AR411" s="32"/>
    </row>
    <row r="412" spans="1:44">
      <c r="A412" s="5" t="s">
        <v>1213</v>
      </c>
      <c r="B412" s="5" t="s">
        <v>383</v>
      </c>
      <c r="C412" s="5" t="s">
        <v>2458</v>
      </c>
      <c r="D412" s="29" t="s">
        <v>2459</v>
      </c>
      <c r="E412" s="5" t="s">
        <v>735</v>
      </c>
      <c r="F412" s="30" t="s">
        <v>1149</v>
      </c>
      <c r="G412" s="5" t="s">
        <v>970</v>
      </c>
      <c r="H412" s="31">
        <v>85.05</v>
      </c>
      <c r="I412" s="32">
        <v>330.834</v>
      </c>
      <c r="J412" s="32">
        <v>327.35949999999997</v>
      </c>
      <c r="K412" s="33">
        <v>1</v>
      </c>
      <c r="L412" s="33">
        <v>1</v>
      </c>
      <c r="M412" s="6">
        <v>0</v>
      </c>
      <c r="N412" s="6">
        <v>0</v>
      </c>
      <c r="O412" s="6">
        <v>1</v>
      </c>
      <c r="P412" s="6">
        <v>1</v>
      </c>
      <c r="Q412" s="34">
        <v>330.834</v>
      </c>
      <c r="R412" s="34">
        <v>327.35949999999997</v>
      </c>
      <c r="S412" s="34">
        <v>28137.431700000001</v>
      </c>
      <c r="T412" s="34">
        <v>27841.925474999996</v>
      </c>
      <c r="U412" s="35">
        <v>1.5280835448197201E-3</v>
      </c>
      <c r="V412" s="36">
        <v>1.5174781523035394E-3</v>
      </c>
      <c r="W412" s="36">
        <v>-1.0605392516180702E-5</v>
      </c>
      <c r="X412" s="37">
        <v>-22.262244743723198</v>
      </c>
      <c r="Y412" s="38">
        <v>-261754.78828598702</v>
      </c>
      <c r="Z412" s="39">
        <v>0</v>
      </c>
      <c r="AA412" s="40">
        <v>0</v>
      </c>
      <c r="AB412" s="40">
        <v>0</v>
      </c>
      <c r="AC412" s="41">
        <v>0</v>
      </c>
      <c r="AD412" s="42">
        <v>0</v>
      </c>
      <c r="AE412" s="39">
        <v>3.2827392477131866E-3</v>
      </c>
      <c r="AF412" s="40">
        <v>3.2587588322137962E-3</v>
      </c>
      <c r="AG412" s="40">
        <v>-2.3980415499390371E-5</v>
      </c>
      <c r="AH412" s="41">
        <v>-0.30831597592852922</v>
      </c>
      <c r="AI412" s="42">
        <v>-3625.1143554206847</v>
      </c>
      <c r="AJ412" s="41">
        <v>-22.570560719651727</v>
      </c>
      <c r="AK412" s="30">
        <v>-265379.90264140768</v>
      </c>
      <c r="AL412" s="43">
        <f>+$AL$6*W412/H412*10^6</f>
        <v>-62.347986573666681</v>
      </c>
      <c r="AM412" s="30">
        <v>2503413</v>
      </c>
      <c r="AN412" s="44">
        <v>-0.10600723997255254</v>
      </c>
      <c r="AP412" s="32"/>
      <c r="AR412" s="32"/>
    </row>
    <row r="413" spans="1:44">
      <c r="A413" s="5" t="s">
        <v>1612</v>
      </c>
      <c r="B413" s="5" t="s">
        <v>1597</v>
      </c>
      <c r="C413" s="5" t="s">
        <v>2462</v>
      </c>
      <c r="D413" s="29" t="s">
        <v>1625</v>
      </c>
      <c r="E413" s="5" t="s">
        <v>1641</v>
      </c>
      <c r="F413" s="30" t="s">
        <v>1166</v>
      </c>
      <c r="G413" s="5" t="s">
        <v>970</v>
      </c>
      <c r="H413" s="31">
        <v>44.44</v>
      </c>
      <c r="I413" s="32">
        <v>198.7</v>
      </c>
      <c r="J413" s="32">
        <v>193.422</v>
      </c>
      <c r="K413" s="33">
        <v>1</v>
      </c>
      <c r="L413" s="33">
        <v>1</v>
      </c>
      <c r="M413" s="6">
        <v>1</v>
      </c>
      <c r="N413" s="6">
        <v>1</v>
      </c>
      <c r="O413" s="6">
        <v>0</v>
      </c>
      <c r="P413" s="6">
        <v>0</v>
      </c>
      <c r="Q413" s="34">
        <v>198.7</v>
      </c>
      <c r="R413" s="34">
        <v>193.422</v>
      </c>
      <c r="S413" s="34">
        <v>8830.2279999999992</v>
      </c>
      <c r="T413" s="34">
        <v>8595.6736799999999</v>
      </c>
      <c r="U413" s="35">
        <v>4.7955073681463066E-4</v>
      </c>
      <c r="V413" s="36">
        <v>4.684929936129199E-4</v>
      </c>
      <c r="W413" s="36">
        <v>-1.1057743201710758E-5</v>
      </c>
      <c r="X413" s="37">
        <v>-23.211793914665872</v>
      </c>
      <c r="Y413" s="38">
        <v>-522317.59483946604</v>
      </c>
      <c r="Z413" s="39">
        <v>8.9717887242221205E-4</v>
      </c>
      <c r="AA413" s="40">
        <v>8.7677173380518235E-4</v>
      </c>
      <c r="AB413" s="40">
        <v>-2.0407138617029703E-5</v>
      </c>
      <c r="AC413" s="41">
        <v>-0.40170292091134985</v>
      </c>
      <c r="AD413" s="42">
        <v>-9039.2196424696194</v>
      </c>
      <c r="AE413" s="39">
        <v>0</v>
      </c>
      <c r="AF413" s="40">
        <v>0</v>
      </c>
      <c r="AG413" s="40">
        <v>0</v>
      </c>
      <c r="AH413" s="41">
        <v>0</v>
      </c>
      <c r="AI413" s="42">
        <v>0</v>
      </c>
      <c r="AJ413" s="41">
        <v>-23.613496835577223</v>
      </c>
      <c r="AK413" s="30">
        <v>-531356.8144819357</v>
      </c>
      <c r="AL413" s="43">
        <f>+$AL$6*W413/H413*10^6</f>
        <v>-124.41205222446847</v>
      </c>
      <c r="AM413" s="30">
        <v>4989544</v>
      </c>
      <c r="AN413" s="44">
        <v>-0.10649406328152146</v>
      </c>
      <c r="AP413" s="32"/>
      <c r="AR413" s="32"/>
    </row>
    <row r="414" spans="1:44">
      <c r="A414" s="5" t="s">
        <v>314</v>
      </c>
      <c r="B414" s="5" t="s">
        <v>614</v>
      </c>
      <c r="C414" s="5" t="s">
        <v>2360</v>
      </c>
      <c r="D414" s="29" t="s">
        <v>2361</v>
      </c>
      <c r="E414" s="5" t="s">
        <v>140</v>
      </c>
      <c r="F414" s="30" t="s">
        <v>1149</v>
      </c>
      <c r="G414" s="5" t="s">
        <v>970</v>
      </c>
      <c r="H414" s="31">
        <v>86.82</v>
      </c>
      <c r="I414" s="32">
        <v>99.796999999999997</v>
      </c>
      <c r="J414" s="32">
        <v>98.716819999999998</v>
      </c>
      <c r="K414" s="33">
        <v>1</v>
      </c>
      <c r="L414" s="33">
        <v>1</v>
      </c>
      <c r="M414" s="6">
        <v>0.69</v>
      </c>
      <c r="N414" s="6">
        <v>0.69</v>
      </c>
      <c r="O414" s="6">
        <v>0.31</v>
      </c>
      <c r="P414" s="6">
        <v>0.31</v>
      </c>
      <c r="Q414" s="34">
        <v>99.796999999999997</v>
      </c>
      <c r="R414" s="34">
        <v>98.716819999999998</v>
      </c>
      <c r="S414" s="34">
        <v>8664.3755399999991</v>
      </c>
      <c r="T414" s="34">
        <v>8570.5943123999987</v>
      </c>
      <c r="U414" s="35">
        <v>4.7054364555996326E-4</v>
      </c>
      <c r="V414" s="36">
        <v>4.6712608411376315E-4</v>
      </c>
      <c r="W414" s="36">
        <v>-3.4175614462001033E-6</v>
      </c>
      <c r="X414" s="37">
        <v>-7.1739531776819856</v>
      </c>
      <c r="Y414" s="38">
        <v>-82630.19094312354</v>
      </c>
      <c r="Z414" s="39">
        <v>6.0742614202958958E-4</v>
      </c>
      <c r="AA414" s="40">
        <v>6.0320738422522447E-4</v>
      </c>
      <c r="AB414" s="40">
        <v>-4.2187578043651093E-6</v>
      </c>
      <c r="AC414" s="41">
        <v>-8.3043848745007559E-2</v>
      </c>
      <c r="AD414" s="42">
        <v>-956.50597494825581</v>
      </c>
      <c r="AE414" s="39">
        <v>3.1336529371463851E-4</v>
      </c>
      <c r="AF414" s="40">
        <v>3.1097507895994379E-4</v>
      </c>
      <c r="AG414" s="40">
        <v>-2.3902147546947224E-6</v>
      </c>
      <c r="AH414" s="41">
        <v>-3.0730968560207305E-2</v>
      </c>
      <c r="AI414" s="42">
        <v>-353.96185856032378</v>
      </c>
      <c r="AJ414" s="41">
        <v>-7.2877279949872005</v>
      </c>
      <c r="AK414" s="30">
        <v>-83940.658776632117</v>
      </c>
      <c r="AL414" s="43">
        <f>+$AL$6*W414/H414*10^6</f>
        <v>-19.681878865469383</v>
      </c>
      <c r="AM414" s="30">
        <v>786430.4375</v>
      </c>
      <c r="AN414" s="44">
        <v>-0.10673627923592685</v>
      </c>
      <c r="AP414" s="32"/>
      <c r="AR414" s="32"/>
    </row>
    <row r="415" spans="1:44">
      <c r="A415" s="5" t="s">
        <v>290</v>
      </c>
      <c r="B415" s="5" t="s">
        <v>590</v>
      </c>
      <c r="C415" s="5" t="s">
        <v>2434</v>
      </c>
      <c r="D415" s="29" t="s">
        <v>2435</v>
      </c>
      <c r="E415" s="5" t="s">
        <v>117</v>
      </c>
      <c r="F415" s="30" t="s">
        <v>1157</v>
      </c>
      <c r="G415" s="5" t="s">
        <v>970</v>
      </c>
      <c r="H415" s="31">
        <v>77.209999999999994</v>
      </c>
      <c r="I415" s="32">
        <v>411.68</v>
      </c>
      <c r="J415" s="32">
        <v>408.11309999999997</v>
      </c>
      <c r="K415" s="33">
        <v>1</v>
      </c>
      <c r="L415" s="33">
        <v>1</v>
      </c>
      <c r="M415" s="6">
        <v>0</v>
      </c>
      <c r="N415" s="6">
        <v>0</v>
      </c>
      <c r="O415" s="6">
        <v>1</v>
      </c>
      <c r="P415" s="6">
        <v>1</v>
      </c>
      <c r="Q415" s="34">
        <v>411.68</v>
      </c>
      <c r="R415" s="34">
        <v>408.11309999999997</v>
      </c>
      <c r="S415" s="34">
        <v>31785.8128</v>
      </c>
      <c r="T415" s="34">
        <v>31510.412450999997</v>
      </c>
      <c r="U415" s="35">
        <v>1.7262192945065428E-3</v>
      </c>
      <c r="V415" s="36">
        <v>1.7174229744778787E-3</v>
      </c>
      <c r="W415" s="36">
        <v>-8.7963200286640935E-6</v>
      </c>
      <c r="X415" s="37">
        <v>-18.464741311880896</v>
      </c>
      <c r="Y415" s="38">
        <v>-239149.6090128338</v>
      </c>
      <c r="Z415" s="39">
        <v>0</v>
      </c>
      <c r="AA415" s="40">
        <v>0</v>
      </c>
      <c r="AB415" s="40">
        <v>0</v>
      </c>
      <c r="AC415" s="41">
        <v>0</v>
      </c>
      <c r="AD415" s="42">
        <v>0</v>
      </c>
      <c r="AE415" s="39">
        <v>3.7083887510253525E-3</v>
      </c>
      <c r="AF415" s="40">
        <v>3.6881369779399507E-3</v>
      </c>
      <c r="AG415" s="40">
        <v>-2.0251773085401895E-5</v>
      </c>
      <c r="AH415" s="41">
        <v>-0.26037685557481438</v>
      </c>
      <c r="AI415" s="42">
        <v>-3372.3203675018053</v>
      </c>
      <c r="AJ415" s="41">
        <v>-18.725118167455712</v>
      </c>
      <c r="AK415" s="30">
        <v>-242521.92938033561</v>
      </c>
      <c r="AL415" s="43">
        <f>+$AL$6*W415/H415*10^6</f>
        <v>-56.96360593617468</v>
      </c>
      <c r="AM415" s="30">
        <v>2269939</v>
      </c>
      <c r="AN415" s="44">
        <v>-0.10684072540290096</v>
      </c>
      <c r="AP415" s="32"/>
      <c r="AR415" s="32"/>
    </row>
    <row r="416" spans="1:44">
      <c r="A416" s="5" t="s">
        <v>855</v>
      </c>
      <c r="B416" s="5" t="s">
        <v>1136</v>
      </c>
      <c r="C416" s="5" t="s">
        <v>2490</v>
      </c>
      <c r="D416" s="29" t="s">
        <v>2491</v>
      </c>
      <c r="E416" s="5" t="s">
        <v>1061</v>
      </c>
      <c r="F416" s="30" t="s">
        <v>1165</v>
      </c>
      <c r="G416" s="5" t="s">
        <v>970</v>
      </c>
      <c r="H416" s="31">
        <v>44.89</v>
      </c>
      <c r="I416" s="32">
        <v>1773.0350000000001</v>
      </c>
      <c r="J416" s="32">
        <v>1761.0039999999999</v>
      </c>
      <c r="K416" s="33">
        <v>1</v>
      </c>
      <c r="L416" s="33">
        <v>1</v>
      </c>
      <c r="M416" s="6">
        <v>0.48</v>
      </c>
      <c r="N416" s="6">
        <v>0.48</v>
      </c>
      <c r="O416" s="6">
        <v>0.52</v>
      </c>
      <c r="P416" s="6">
        <v>0.52</v>
      </c>
      <c r="Q416" s="34">
        <v>1773.0350000000001</v>
      </c>
      <c r="R416" s="34">
        <v>1761.0039999999999</v>
      </c>
      <c r="S416" s="34">
        <v>79591.541150000005</v>
      </c>
      <c r="T416" s="34">
        <v>79051.469559999998</v>
      </c>
      <c r="U416" s="35">
        <v>4.3224458306959351E-3</v>
      </c>
      <c r="V416" s="36">
        <v>4.3085697529254051E-3</v>
      </c>
      <c r="W416" s="36">
        <v>-1.3876077770529939E-5</v>
      </c>
      <c r="X416" s="37">
        <v>-29.12788366287856</v>
      </c>
      <c r="Y416" s="38">
        <v>-648872.43624144711</v>
      </c>
      <c r="Z416" s="39">
        <v>3.8816401556998853E-3</v>
      </c>
      <c r="AA416" s="40">
        <v>3.8704174182267264E-3</v>
      </c>
      <c r="AB416" s="40">
        <v>-1.1222737473158897E-5</v>
      </c>
      <c r="AC416" s="41">
        <v>-0.22091320631433869</v>
      </c>
      <c r="AD416" s="42">
        <v>-4921.2119918542812</v>
      </c>
      <c r="AE416" s="39">
        <v>4.8286106893659295E-3</v>
      </c>
      <c r="AF416" s="40">
        <v>4.8113421942354954E-3</v>
      </c>
      <c r="AG416" s="40">
        <v>-1.726849513043402E-5</v>
      </c>
      <c r="AH416" s="41">
        <v>-0.22202087904157333</v>
      </c>
      <c r="AI416" s="42">
        <v>-4945.8872586672605</v>
      </c>
      <c r="AJ416" s="41">
        <v>-29.570817748234472</v>
      </c>
      <c r="AK416" s="30">
        <v>-658739.53549196862</v>
      </c>
      <c r="AL416" s="43">
        <f>+$AL$6*W416/H416*10^6</f>
        <v>-154.55644654187947</v>
      </c>
      <c r="AM416" s="30">
        <v>6146559.5</v>
      </c>
      <c r="AN416" s="44">
        <v>-0.10717207496193092</v>
      </c>
      <c r="AP416" s="32"/>
      <c r="AR416" s="32"/>
    </row>
    <row r="417" spans="1:44">
      <c r="A417" s="5" t="s">
        <v>1489</v>
      </c>
      <c r="B417" s="5" t="s">
        <v>1496</v>
      </c>
      <c r="C417" s="5" t="s">
        <v>2382</v>
      </c>
      <c r="D417" s="29" t="s">
        <v>1505</v>
      </c>
      <c r="E417" s="5" t="s">
        <v>1516</v>
      </c>
      <c r="F417" s="30" t="s">
        <v>1166</v>
      </c>
      <c r="G417" s="5" t="s">
        <v>968</v>
      </c>
      <c r="H417" s="31">
        <v>40.340000000000003</v>
      </c>
      <c r="I417" s="32">
        <v>191.43899999999999</v>
      </c>
      <c r="J417" s="32">
        <v>190.93599999999998</v>
      </c>
      <c r="K417" s="33">
        <v>0.63</v>
      </c>
      <c r="L417" s="33">
        <v>0.62</v>
      </c>
      <c r="M417" s="6">
        <v>0.56999999999999995</v>
      </c>
      <c r="N417" s="6">
        <v>0.56999999999999995</v>
      </c>
      <c r="O417" s="6">
        <v>0.43</v>
      </c>
      <c r="P417" s="6">
        <v>0.43</v>
      </c>
      <c r="Q417" s="34">
        <v>120.60656999999999</v>
      </c>
      <c r="R417" s="34">
        <v>118.38031999999998</v>
      </c>
      <c r="S417" s="34">
        <v>4865.2690338000002</v>
      </c>
      <c r="T417" s="34">
        <v>4775.4621087999994</v>
      </c>
      <c r="U417" s="35">
        <v>2.642223224542103E-4</v>
      </c>
      <c r="V417" s="36">
        <v>2.6027867303087047E-4</v>
      </c>
      <c r="W417" s="36">
        <v>-3.9436494233398246E-6</v>
      </c>
      <c r="X417" s="37">
        <v>-8.2782875326759964</v>
      </c>
      <c r="Y417" s="38">
        <v>-205212.87884670292</v>
      </c>
      <c r="Z417" s="39">
        <v>2.8176616208459984E-4</v>
      </c>
      <c r="AA417" s="40">
        <v>2.7764948958910579E-4</v>
      </c>
      <c r="AB417" s="40">
        <v>-4.1166724954940512E-6</v>
      </c>
      <c r="AC417" s="41">
        <v>-8.103435748191494E-2</v>
      </c>
      <c r="AD417" s="42">
        <v>-2008.7842707465277</v>
      </c>
      <c r="AE417" s="39">
        <v>2.4407722085785516E-4</v>
      </c>
      <c r="AF417" s="40">
        <v>2.4034595293127286E-4</v>
      </c>
      <c r="AG417" s="40">
        <v>-3.7312679265822963E-6</v>
      </c>
      <c r="AH417" s="41">
        <v>-4.7972876544373724E-2</v>
      </c>
      <c r="AI417" s="42">
        <v>-1189.213598026121</v>
      </c>
      <c r="AJ417" s="41">
        <v>-8.4072947667022859</v>
      </c>
      <c r="AK417" s="30">
        <v>-208410.87671547555</v>
      </c>
      <c r="AL417" s="43">
        <f>+$AL$6*W417/H417*10^6</f>
        <v>-48.880136630389494</v>
      </c>
      <c r="AM417" s="30">
        <v>1943496</v>
      </c>
      <c r="AN417" s="44">
        <v>-0.10723504278654319</v>
      </c>
      <c r="AP417" s="32"/>
      <c r="AR417" s="32"/>
    </row>
    <row r="418" spans="1:44">
      <c r="A418" s="5" t="s">
        <v>1671</v>
      </c>
      <c r="B418" s="5" t="s">
        <v>1654</v>
      </c>
      <c r="C418" s="5" t="s">
        <v>2508</v>
      </c>
      <c r="D418" s="29" t="s">
        <v>2509</v>
      </c>
      <c r="E418" s="5" t="s">
        <v>1687</v>
      </c>
      <c r="F418" s="30" t="s">
        <v>1149</v>
      </c>
      <c r="G418" s="5" t="s">
        <v>970</v>
      </c>
      <c r="H418" s="31">
        <v>149.47</v>
      </c>
      <c r="I418" s="32">
        <v>264.536</v>
      </c>
      <c r="J418" s="32">
        <v>261.58709999999996</v>
      </c>
      <c r="K418" s="33">
        <v>1</v>
      </c>
      <c r="L418" s="33">
        <v>1</v>
      </c>
      <c r="M418" s="6">
        <v>0</v>
      </c>
      <c r="N418" s="6">
        <v>0</v>
      </c>
      <c r="O418" s="6">
        <v>1</v>
      </c>
      <c r="P418" s="6">
        <v>1</v>
      </c>
      <c r="Q418" s="34">
        <v>264.536</v>
      </c>
      <c r="R418" s="34">
        <v>261.58709999999996</v>
      </c>
      <c r="S418" s="34">
        <v>39540.195919999998</v>
      </c>
      <c r="T418" s="34">
        <v>39099.423836999995</v>
      </c>
      <c r="U418" s="35">
        <v>2.1473432041880292E-3</v>
      </c>
      <c r="V418" s="36">
        <v>2.1310495027931872E-3</v>
      </c>
      <c r="W418" s="36">
        <v>-1.6293701394842069E-5</v>
      </c>
      <c r="X418" s="37">
        <v>-34.202823486230471</v>
      </c>
      <c r="Y418" s="38">
        <v>-228827.34653261839</v>
      </c>
      <c r="Z418" s="39">
        <v>0</v>
      </c>
      <c r="AA418" s="40">
        <v>0</v>
      </c>
      <c r="AB418" s="40">
        <v>0</v>
      </c>
      <c r="AC418" s="41">
        <v>0</v>
      </c>
      <c r="AD418" s="42">
        <v>0</v>
      </c>
      <c r="AE418" s="39">
        <v>4.613077497362803E-3</v>
      </c>
      <c r="AF418" s="40">
        <v>4.5763929968745953E-3</v>
      </c>
      <c r="AG418" s="40">
        <v>-3.6684500488207671E-5</v>
      </c>
      <c r="AH418" s="41">
        <v>-0.47165227682397282</v>
      </c>
      <c r="AI418" s="42">
        <v>-3155.4979382081542</v>
      </c>
      <c r="AJ418" s="41">
        <v>-34.674475763054446</v>
      </c>
      <c r="AK418" s="30">
        <v>-231982.84447082656</v>
      </c>
      <c r="AL418" s="43">
        <f>+$AL$6*W418/H418*10^6</f>
        <v>-54.504922040683979</v>
      </c>
      <c r="AM418" s="30">
        <v>2147234.25</v>
      </c>
      <c r="AN418" s="44">
        <v>-0.10803797697937548</v>
      </c>
      <c r="AP418" s="32"/>
      <c r="AR418" s="32"/>
    </row>
    <row r="419" spans="1:44">
      <c r="A419" s="5" t="s">
        <v>327</v>
      </c>
      <c r="B419" s="5" t="s">
        <v>626</v>
      </c>
      <c r="C419" s="5" t="s">
        <v>2417</v>
      </c>
      <c r="D419" s="29" t="s">
        <v>653</v>
      </c>
      <c r="E419" s="5" t="s">
        <v>153</v>
      </c>
      <c r="F419" s="30" t="s">
        <v>1161</v>
      </c>
      <c r="G419" s="5" t="s">
        <v>970</v>
      </c>
      <c r="H419" s="31">
        <v>80.08</v>
      </c>
      <c r="I419" s="32">
        <v>120.045</v>
      </c>
      <c r="J419" s="32">
        <v>118.11069999999999</v>
      </c>
      <c r="K419" s="33">
        <v>1</v>
      </c>
      <c r="L419" s="33">
        <v>1</v>
      </c>
      <c r="M419" s="6">
        <v>1</v>
      </c>
      <c r="N419" s="6">
        <v>1</v>
      </c>
      <c r="O419" s="6">
        <v>0</v>
      </c>
      <c r="P419" s="6">
        <v>0</v>
      </c>
      <c r="Q419" s="34">
        <v>120.045</v>
      </c>
      <c r="R419" s="34">
        <v>118.11069999999999</v>
      </c>
      <c r="S419" s="34">
        <v>9613.2036000000007</v>
      </c>
      <c r="T419" s="34">
        <v>9458.3048559999988</v>
      </c>
      <c r="U419" s="35">
        <v>5.2207246172228633E-4</v>
      </c>
      <c r="V419" s="36">
        <v>5.1550928076774742E-4</v>
      </c>
      <c r="W419" s="36">
        <v>-6.563180954538908E-6</v>
      </c>
      <c r="X419" s="37">
        <v>-13.777061102110599</v>
      </c>
      <c r="Y419" s="38">
        <v>-172041.22255382867</v>
      </c>
      <c r="Z419" s="39">
        <v>9.7673165021482469E-4</v>
      </c>
      <c r="AA419" s="40">
        <v>9.6476142024194374E-4</v>
      </c>
      <c r="AB419" s="40">
        <v>-1.1970229972880944E-5</v>
      </c>
      <c r="AC419" s="41">
        <v>-0.23562717117402254</v>
      </c>
      <c r="AD419" s="42">
        <v>-2942.397242432849</v>
      </c>
      <c r="AE419" s="39">
        <v>0</v>
      </c>
      <c r="AF419" s="40">
        <v>0</v>
      </c>
      <c r="AG419" s="40">
        <v>0</v>
      </c>
      <c r="AH419" s="41">
        <v>0</v>
      </c>
      <c r="AI419" s="42">
        <v>0</v>
      </c>
      <c r="AJ419" s="41">
        <v>-14.012688273284621</v>
      </c>
      <c r="AK419" s="30">
        <v>-174983.61979626151</v>
      </c>
      <c r="AL419" s="43">
        <f>+$AL$6*W419/H419*10^6</f>
        <v>-40.97890206380437</v>
      </c>
      <c r="AM419" s="30">
        <v>1612749.125</v>
      </c>
      <c r="AN419" s="44">
        <v>-0.10850021065505865</v>
      </c>
      <c r="AP419" s="32"/>
      <c r="AR419" s="32"/>
    </row>
    <row r="420" spans="1:44">
      <c r="A420" s="5" t="s">
        <v>1328</v>
      </c>
      <c r="B420" s="5" t="s">
        <v>500</v>
      </c>
      <c r="C420" s="5" t="s">
        <v>2468</v>
      </c>
      <c r="D420" s="29" t="s">
        <v>2469</v>
      </c>
      <c r="E420" s="5" t="s">
        <v>34</v>
      </c>
      <c r="F420" s="30" t="s">
        <v>1169</v>
      </c>
      <c r="G420" s="5" t="s">
        <v>970</v>
      </c>
      <c r="H420" s="31">
        <v>37.799999999999997</v>
      </c>
      <c r="I420" s="32">
        <v>980.404</v>
      </c>
      <c r="J420" s="32">
        <v>971.42319999999995</v>
      </c>
      <c r="K420" s="33">
        <v>1</v>
      </c>
      <c r="L420" s="33">
        <v>1</v>
      </c>
      <c r="M420" s="6">
        <v>0.47</v>
      </c>
      <c r="N420" s="6">
        <v>0.47</v>
      </c>
      <c r="O420" s="6">
        <v>0.53</v>
      </c>
      <c r="P420" s="6">
        <v>0.53</v>
      </c>
      <c r="Q420" s="34">
        <v>980.404</v>
      </c>
      <c r="R420" s="34">
        <v>971.42319999999995</v>
      </c>
      <c r="S420" s="34">
        <v>37059.271199999996</v>
      </c>
      <c r="T420" s="34">
        <v>36719.796959999992</v>
      </c>
      <c r="U420" s="35">
        <v>2.0126095056405362E-3</v>
      </c>
      <c r="V420" s="36">
        <v>2.0013518710785905E-3</v>
      </c>
      <c r="W420" s="36">
        <v>-1.1257634561945718E-5</v>
      </c>
      <c r="X420" s="37">
        <v>-23.631394639195115</v>
      </c>
      <c r="Y420" s="38">
        <v>-625169.17034907721</v>
      </c>
      <c r="Z420" s="39">
        <v>1.7697089723574895E-3</v>
      </c>
      <c r="AA420" s="40">
        <v>1.7603732045617772E-3</v>
      </c>
      <c r="AB420" s="40">
        <v>-9.3357677957122808E-6</v>
      </c>
      <c r="AC420" s="41">
        <v>-0.18376928107687773</v>
      </c>
      <c r="AD420" s="42">
        <v>-4861.6211925099933</v>
      </c>
      <c r="AE420" s="39">
        <v>2.2915254113878517E-3</v>
      </c>
      <c r="AF420" s="40">
        <v>2.2778708414764753E-3</v>
      </c>
      <c r="AG420" s="40">
        <v>-1.3654569911376434E-5</v>
      </c>
      <c r="AH420" s="41">
        <v>-0.17555667658124527</v>
      </c>
      <c r="AI420" s="42">
        <v>-4644.3565233133668</v>
      </c>
      <c r="AJ420" s="41">
        <v>-23.990720596853237</v>
      </c>
      <c r="AK420" s="30">
        <v>-634675.14806490054</v>
      </c>
      <c r="AL420" s="43">
        <f>+$AL$6*W420/H420*10^6</f>
        <v>-148.91051007864709</v>
      </c>
      <c r="AM420" s="30">
        <v>5846324.5</v>
      </c>
      <c r="AN420" s="44">
        <v>-0.10855968533133947</v>
      </c>
      <c r="AP420" s="32"/>
      <c r="AR420" s="32"/>
    </row>
    <row r="421" spans="1:44">
      <c r="A421" s="5" t="s">
        <v>1250</v>
      </c>
      <c r="B421" s="5" t="s">
        <v>423</v>
      </c>
      <c r="C421" s="5" t="s">
        <v>2353</v>
      </c>
      <c r="D421" s="29" t="s">
        <v>2354</v>
      </c>
      <c r="E421" s="5" t="s">
        <v>767</v>
      </c>
      <c r="F421" s="30" t="s">
        <v>1160</v>
      </c>
      <c r="G421" s="5" t="s">
        <v>968</v>
      </c>
      <c r="H421" s="31">
        <v>24</v>
      </c>
      <c r="I421" s="32">
        <v>137.15899999999999</v>
      </c>
      <c r="J421" s="32">
        <v>137.15869999999998</v>
      </c>
      <c r="K421" s="33">
        <v>0.49</v>
      </c>
      <c r="L421" s="33">
        <v>0.47</v>
      </c>
      <c r="M421" s="6">
        <v>0</v>
      </c>
      <c r="N421" s="6">
        <v>0</v>
      </c>
      <c r="O421" s="6">
        <v>1</v>
      </c>
      <c r="P421" s="6">
        <v>1</v>
      </c>
      <c r="Q421" s="34">
        <v>67.207909999999998</v>
      </c>
      <c r="R421" s="34">
        <v>64.464588999999989</v>
      </c>
      <c r="S421" s="34">
        <v>1612.98984</v>
      </c>
      <c r="T421" s="34">
        <v>1547.1501359999997</v>
      </c>
      <c r="U421" s="35">
        <v>8.7598017429053166E-5</v>
      </c>
      <c r="V421" s="36">
        <v>8.432486222339655E-5</v>
      </c>
      <c r="W421" s="36">
        <v>-3.273155205656616E-6</v>
      </c>
      <c r="X421" s="37">
        <v>-6.8708237023141256</v>
      </c>
      <c r="Y421" s="38">
        <v>-286284.32092975528</v>
      </c>
      <c r="Z421" s="39">
        <v>0</v>
      </c>
      <c r="AA421" s="40">
        <v>0</v>
      </c>
      <c r="AB421" s="40">
        <v>0</v>
      </c>
      <c r="AC421" s="41">
        <v>0</v>
      </c>
      <c r="AD421" s="42">
        <v>0</v>
      </c>
      <c r="AE421" s="39">
        <v>1.8818437696751876E-4</v>
      </c>
      <c r="AF421" s="40">
        <v>1.8108622462113588E-4</v>
      </c>
      <c r="AG421" s="40">
        <v>-7.0981523463828832E-6</v>
      </c>
      <c r="AH421" s="41">
        <v>-9.1260877778371011E-2</v>
      </c>
      <c r="AI421" s="42">
        <v>-3802.5365740987918</v>
      </c>
      <c r="AJ421" s="41">
        <v>-6.9620845800924966</v>
      </c>
      <c r="AK421" s="30">
        <v>-290086.85750385409</v>
      </c>
      <c r="AL421" s="43">
        <f>+$AL$6*W421/H421*10^6</f>
        <v>-68.190733451179511</v>
      </c>
      <c r="AM421" s="30">
        <v>2650568.25</v>
      </c>
      <c r="AN421" s="44">
        <v>-0.10944327032660038</v>
      </c>
      <c r="AP421" s="32"/>
      <c r="AR421" s="32"/>
    </row>
    <row r="422" spans="1:44">
      <c r="A422" s="5" t="s">
        <v>1300</v>
      </c>
      <c r="B422" s="5" t="s">
        <v>472</v>
      </c>
      <c r="C422" s="5" t="s">
        <v>2444</v>
      </c>
      <c r="D422" s="29" t="s">
        <v>2445</v>
      </c>
      <c r="E422" s="5" t="s">
        <v>8</v>
      </c>
      <c r="F422" s="30" t="s">
        <v>1155</v>
      </c>
      <c r="G422" s="5" t="s">
        <v>970</v>
      </c>
      <c r="H422" s="31">
        <v>47.48</v>
      </c>
      <c r="I422" s="32">
        <v>419.92899999999997</v>
      </c>
      <c r="J422" s="32">
        <v>414.84539999999998</v>
      </c>
      <c r="K422" s="33">
        <v>1</v>
      </c>
      <c r="L422" s="33">
        <v>1</v>
      </c>
      <c r="M422" s="6">
        <v>0</v>
      </c>
      <c r="N422" s="6">
        <v>0</v>
      </c>
      <c r="O422" s="6">
        <v>1</v>
      </c>
      <c r="P422" s="6">
        <v>1</v>
      </c>
      <c r="Q422" s="34">
        <v>419.92899999999997</v>
      </c>
      <c r="R422" s="34">
        <v>414.84539999999998</v>
      </c>
      <c r="S422" s="34">
        <v>19938.228919999998</v>
      </c>
      <c r="T422" s="34">
        <v>19696.859591999997</v>
      </c>
      <c r="U422" s="35">
        <v>1.0828024337950026E-3</v>
      </c>
      <c r="V422" s="36">
        <v>1.0735447922482599E-3</v>
      </c>
      <c r="W422" s="36">
        <v>-9.2576415467427418E-6</v>
      </c>
      <c r="X422" s="37">
        <v>-19.433121551022797</v>
      </c>
      <c r="Y422" s="38">
        <v>-409290.68136105308</v>
      </c>
      <c r="Z422" s="39">
        <v>0</v>
      </c>
      <c r="AA422" s="40">
        <v>0</v>
      </c>
      <c r="AB422" s="40">
        <v>0</v>
      </c>
      <c r="AC422" s="41">
        <v>0</v>
      </c>
      <c r="AD422" s="42">
        <v>0</v>
      </c>
      <c r="AE422" s="39">
        <v>2.3261542596858292E-3</v>
      </c>
      <c r="AF422" s="40">
        <v>2.3054194013966637E-3</v>
      </c>
      <c r="AG422" s="40">
        <v>-2.0734858289165551E-5</v>
      </c>
      <c r="AH422" s="41">
        <v>-0.26658787748387225</v>
      </c>
      <c r="AI422" s="42">
        <v>-5614.7404693317658</v>
      </c>
      <c r="AJ422" s="41">
        <v>-19.699709428506669</v>
      </c>
      <c r="AK422" s="30">
        <v>-414905.42183038488</v>
      </c>
      <c r="AL422" s="43">
        <f>+$AL$6*W422/H422*10^6</f>
        <v>-97.489906768563003</v>
      </c>
      <c r="AM422" s="30">
        <v>3759725</v>
      </c>
      <c r="AN422" s="44">
        <v>-0.11035525785273786</v>
      </c>
      <c r="AP422" s="32"/>
      <c r="AR422" s="32"/>
    </row>
    <row r="423" spans="1:44">
      <c r="A423" s="5" t="s">
        <v>1280</v>
      </c>
      <c r="B423" s="5" t="s">
        <v>453</v>
      </c>
      <c r="C423" s="5" t="s">
        <v>2397</v>
      </c>
      <c r="D423" s="29" t="s">
        <v>2398</v>
      </c>
      <c r="E423" s="5" t="s">
        <v>794</v>
      </c>
      <c r="F423" s="30" t="s">
        <v>1164</v>
      </c>
      <c r="G423" s="5" t="s">
        <v>970</v>
      </c>
      <c r="H423" s="31">
        <v>48.86</v>
      </c>
      <c r="I423" s="32">
        <v>147.42599999999999</v>
      </c>
      <c r="J423" s="32">
        <v>144.94329999999999</v>
      </c>
      <c r="K423" s="33">
        <v>1</v>
      </c>
      <c r="L423" s="33">
        <v>1</v>
      </c>
      <c r="M423" s="6">
        <v>0</v>
      </c>
      <c r="N423" s="6">
        <v>0</v>
      </c>
      <c r="O423" s="6">
        <v>1</v>
      </c>
      <c r="P423" s="6">
        <v>1</v>
      </c>
      <c r="Q423" s="34">
        <v>147.42599999999999</v>
      </c>
      <c r="R423" s="34">
        <v>144.94329999999999</v>
      </c>
      <c r="S423" s="34">
        <v>7203.2343599999995</v>
      </c>
      <c r="T423" s="34">
        <v>7081.9296379999996</v>
      </c>
      <c r="U423" s="35">
        <v>3.9119220305369973E-4</v>
      </c>
      <c r="V423" s="36">
        <v>3.859888753551056E-4</v>
      </c>
      <c r="W423" s="36">
        <v>-5.2033276985941285E-6</v>
      </c>
      <c r="X423" s="37">
        <v>-10.922533468814303</v>
      </c>
      <c r="Y423" s="38">
        <v>-223547.55359832791</v>
      </c>
      <c r="Z423" s="39">
        <v>0</v>
      </c>
      <c r="AA423" s="40">
        <v>0</v>
      </c>
      <c r="AB423" s="40">
        <v>0</v>
      </c>
      <c r="AC423" s="41">
        <v>0</v>
      </c>
      <c r="AD423" s="42">
        <v>0</v>
      </c>
      <c r="AE423" s="39">
        <v>8.4038729604621917E-4</v>
      </c>
      <c r="AF423" s="40">
        <v>8.2890462362855504E-4</v>
      </c>
      <c r="AG423" s="40">
        <v>-1.1482672417664134E-5</v>
      </c>
      <c r="AH423" s="41">
        <v>-0.14763261098664962</v>
      </c>
      <c r="AI423" s="42">
        <v>-3021.5434094688831</v>
      </c>
      <c r="AJ423" s="41">
        <v>-11.070166079800952</v>
      </c>
      <c r="AK423" s="30">
        <v>-226569.09700779681</v>
      </c>
      <c r="AL423" s="43">
        <f>+$AL$6*W423/H423*10^6</f>
        <v>-53.247315785858866</v>
      </c>
      <c r="AM423" s="30">
        <v>1985529.875</v>
      </c>
      <c r="AN423" s="44">
        <v>-0.11411014251689203</v>
      </c>
      <c r="AP423" s="32"/>
      <c r="AR423" s="32"/>
    </row>
    <row r="424" spans="1:44">
      <c r="A424" s="5" t="s">
        <v>1491</v>
      </c>
      <c r="B424" s="5" t="s">
        <v>1498</v>
      </c>
      <c r="C424" s="5" t="s">
        <v>2538</v>
      </c>
      <c r="D424" s="29" t="s">
        <v>1507</v>
      </c>
      <c r="E424" s="5" t="s">
        <v>1518</v>
      </c>
      <c r="F424" s="30" t="s">
        <v>1153</v>
      </c>
      <c r="G424" s="5" t="s">
        <v>970</v>
      </c>
      <c r="H424" s="31">
        <v>46.53</v>
      </c>
      <c r="I424" s="32">
        <v>1626.623</v>
      </c>
      <c r="J424" s="32">
        <v>1611.307</v>
      </c>
      <c r="K424" s="33">
        <v>1</v>
      </c>
      <c r="L424" s="33">
        <v>1</v>
      </c>
      <c r="M424" s="6">
        <v>0</v>
      </c>
      <c r="N424" s="6">
        <v>0</v>
      </c>
      <c r="O424" s="6">
        <v>1</v>
      </c>
      <c r="P424" s="6">
        <v>1</v>
      </c>
      <c r="Q424" s="34">
        <v>1626.623</v>
      </c>
      <c r="R424" s="34">
        <v>1611.307</v>
      </c>
      <c r="S424" s="34">
        <v>75686.768190000003</v>
      </c>
      <c r="T424" s="34">
        <v>74974.114710000009</v>
      </c>
      <c r="U424" s="35">
        <v>4.1103859891989938E-3</v>
      </c>
      <c r="V424" s="36">
        <v>4.086340262740914E-3</v>
      </c>
      <c r="W424" s="36">
        <v>-2.4045726458079772E-5</v>
      </c>
      <c r="X424" s="37">
        <v>-50.475439417604214</v>
      </c>
      <c r="Y424" s="38">
        <v>-1084793.4540641352</v>
      </c>
      <c r="Z424" s="39">
        <v>0</v>
      </c>
      <c r="AA424" s="40">
        <v>0</v>
      </c>
      <c r="AB424" s="40">
        <v>0</v>
      </c>
      <c r="AC424" s="41">
        <v>0</v>
      </c>
      <c r="AD424" s="42">
        <v>0</v>
      </c>
      <c r="AE424" s="39">
        <v>8.8302275459591056E-3</v>
      </c>
      <c r="AF424" s="40">
        <v>8.7753470469564519E-3</v>
      </c>
      <c r="AG424" s="40">
        <v>-5.488049900265364E-5</v>
      </c>
      <c r="AH424" s="41">
        <v>-0.70559805812697385</v>
      </c>
      <c r="AI424" s="42">
        <v>-15164.368324241861</v>
      </c>
      <c r="AJ424" s="41">
        <v>-51.181037475731188</v>
      </c>
      <c r="AK424" s="30">
        <v>-1099957.822388377</v>
      </c>
      <c r="AL424" s="43">
        <f>+$AL$6*W424/H424*10^6</f>
        <v>-258.38949557360593</v>
      </c>
      <c r="AM424" s="30">
        <v>9575939</v>
      </c>
      <c r="AN424" s="44">
        <v>-0.11486683680716607</v>
      </c>
      <c r="AP424" s="32"/>
      <c r="AR424" s="32"/>
    </row>
    <row r="425" spans="1:44">
      <c r="A425" s="5" t="s">
        <v>1301</v>
      </c>
      <c r="B425" s="5" t="s">
        <v>473</v>
      </c>
      <c r="C425" s="5" t="s">
        <v>2423</v>
      </c>
      <c r="D425" s="29" t="s">
        <v>2424</v>
      </c>
      <c r="E425" s="5" t="s">
        <v>9</v>
      </c>
      <c r="F425" s="30" t="s">
        <v>1170</v>
      </c>
      <c r="G425" s="5" t="s">
        <v>970</v>
      </c>
      <c r="H425" s="31">
        <v>58.66</v>
      </c>
      <c r="I425" s="32">
        <v>209.05500000000001</v>
      </c>
      <c r="J425" s="32">
        <v>205.96679999999998</v>
      </c>
      <c r="K425" s="33">
        <v>1</v>
      </c>
      <c r="L425" s="33">
        <v>1</v>
      </c>
      <c r="M425" s="6">
        <v>0.57999999999999996</v>
      </c>
      <c r="N425" s="6">
        <v>0.57999999999999996</v>
      </c>
      <c r="O425" s="6">
        <v>0.42</v>
      </c>
      <c r="P425" s="6">
        <v>0.42</v>
      </c>
      <c r="Q425" s="34">
        <v>209.05500000000001</v>
      </c>
      <c r="R425" s="34">
        <v>205.96679999999998</v>
      </c>
      <c r="S425" s="34">
        <v>12263.166299999999</v>
      </c>
      <c r="T425" s="34">
        <v>12082.012487999998</v>
      </c>
      <c r="U425" s="35">
        <v>6.6598625028089294E-4</v>
      </c>
      <c r="V425" s="36">
        <v>6.5851013080475641E-4</v>
      </c>
      <c r="W425" s="36">
        <v>-7.476119476136525E-6</v>
      </c>
      <c r="X425" s="37">
        <v>-15.693450408095309</v>
      </c>
      <c r="Y425" s="38">
        <v>-267532.39700128383</v>
      </c>
      <c r="Z425" s="39">
        <v>7.2266618186402889E-4</v>
      </c>
      <c r="AA425" s="40">
        <v>7.1478247199311805E-4</v>
      </c>
      <c r="AB425" s="40">
        <v>-7.8837098709108383E-6</v>
      </c>
      <c r="AC425" s="41">
        <v>-0.15518634641506024</v>
      </c>
      <c r="AD425" s="42">
        <v>-2645.5224414432364</v>
      </c>
      <c r="AE425" s="39">
        <v>6.0090226614330092E-4</v>
      </c>
      <c r="AF425" s="40">
        <v>5.9393856489728641E-4</v>
      </c>
      <c r="AG425" s="40">
        <v>-6.9637012460145109E-6</v>
      </c>
      <c r="AH425" s="41">
        <v>-8.9532241248874961E-2</v>
      </c>
      <c r="AI425" s="42">
        <v>-1526.2911907411349</v>
      </c>
      <c r="AJ425" s="41">
        <v>-15.938168995759245</v>
      </c>
      <c r="AK425" s="30">
        <v>-271704.21063346817</v>
      </c>
      <c r="AL425" s="43">
        <f>+$AL$6*W425/H425*10^6</f>
        <v>-63.724168736247236</v>
      </c>
      <c r="AM425" s="30">
        <v>2357819.75</v>
      </c>
      <c r="AN425" s="44">
        <v>-0.11523536124144697</v>
      </c>
      <c r="AP425" s="32"/>
      <c r="AR425" s="32"/>
    </row>
    <row r="426" spans="1:44">
      <c r="A426" s="5" t="s">
        <v>1176</v>
      </c>
      <c r="B426" s="5" t="s">
        <v>344</v>
      </c>
      <c r="C426" s="5" t="s">
        <v>2440</v>
      </c>
      <c r="D426" s="29" t="s">
        <v>2441</v>
      </c>
      <c r="E426" s="5" t="s">
        <v>702</v>
      </c>
      <c r="F426" s="30" t="s">
        <v>1151</v>
      </c>
      <c r="G426" s="5" t="s">
        <v>970</v>
      </c>
      <c r="H426" s="31">
        <v>81.55</v>
      </c>
      <c r="I426" s="32">
        <v>469.524</v>
      </c>
      <c r="J426" s="32">
        <v>465.81009999999998</v>
      </c>
      <c r="K426" s="33">
        <v>1</v>
      </c>
      <c r="L426" s="33">
        <v>1</v>
      </c>
      <c r="M426" s="6">
        <v>1</v>
      </c>
      <c r="N426" s="6">
        <v>1</v>
      </c>
      <c r="O426" s="6">
        <v>0</v>
      </c>
      <c r="P426" s="6">
        <v>0</v>
      </c>
      <c r="Q426" s="34">
        <v>469.524</v>
      </c>
      <c r="R426" s="34">
        <v>465.81009999999998</v>
      </c>
      <c r="S426" s="34">
        <v>38289.682199999996</v>
      </c>
      <c r="T426" s="34">
        <v>37986.813654999998</v>
      </c>
      <c r="U426" s="35">
        <v>2.0794304871185713E-3</v>
      </c>
      <c r="V426" s="36">
        <v>2.0704085228892837E-3</v>
      </c>
      <c r="W426" s="36">
        <v>-9.021964229287676E-6</v>
      </c>
      <c r="X426" s="37">
        <v>-18.938400953579194</v>
      </c>
      <c r="Y426" s="38">
        <v>-232230.54510826728</v>
      </c>
      <c r="Z426" s="39">
        <v>3.8903518574606279E-3</v>
      </c>
      <c r="AA426" s="40">
        <v>3.8747125251535524E-3</v>
      </c>
      <c r="AB426" s="40">
        <v>-1.5639332307075537E-5</v>
      </c>
      <c r="AC426" s="41">
        <v>-0.30785136450305023</v>
      </c>
      <c r="AD426" s="42">
        <v>-3775.0014040840006</v>
      </c>
      <c r="AE426" s="39">
        <v>0</v>
      </c>
      <c r="AF426" s="40">
        <v>0</v>
      </c>
      <c r="AG426" s="40">
        <v>0</v>
      </c>
      <c r="AH426" s="41">
        <v>0</v>
      </c>
      <c r="AI426" s="42">
        <v>0</v>
      </c>
      <c r="AJ426" s="41">
        <v>-19.246252318082245</v>
      </c>
      <c r="AK426" s="30">
        <v>-236005.54651235128</v>
      </c>
      <c r="AL426" s="43">
        <f>+$AL$6*W426/H426*10^6</f>
        <v>-55.315537886497097</v>
      </c>
      <c r="AM426" s="30">
        <v>2041676.125</v>
      </c>
      <c r="AN426" s="44">
        <v>-0.11559401788682389</v>
      </c>
      <c r="AP426" s="32"/>
      <c r="AR426" s="32"/>
    </row>
    <row r="427" spans="1:44">
      <c r="A427" s="5" t="s">
        <v>1607</v>
      </c>
      <c r="B427" s="5" t="s">
        <v>1587</v>
      </c>
      <c r="C427" s="5" t="s">
        <v>2366</v>
      </c>
      <c r="D427" s="29" t="s">
        <v>1618</v>
      </c>
      <c r="E427" s="5" t="s">
        <v>1693</v>
      </c>
      <c r="F427" s="30" t="s">
        <v>1168</v>
      </c>
      <c r="G427" s="5" t="s">
        <v>970</v>
      </c>
      <c r="H427" s="31">
        <v>27.49</v>
      </c>
      <c r="I427" s="32">
        <v>280.74799999999999</v>
      </c>
      <c r="J427" s="32">
        <v>274.28370000000001</v>
      </c>
      <c r="K427" s="33">
        <v>0.93</v>
      </c>
      <c r="L427" s="33">
        <v>0.94</v>
      </c>
      <c r="M427" s="6">
        <v>1</v>
      </c>
      <c r="N427" s="6">
        <v>1</v>
      </c>
      <c r="O427" s="6">
        <v>0</v>
      </c>
      <c r="P427" s="6">
        <v>0</v>
      </c>
      <c r="Q427" s="34">
        <v>261.09564</v>
      </c>
      <c r="R427" s="34">
        <v>257.82667800000002</v>
      </c>
      <c r="S427" s="34">
        <v>7177.5191435999996</v>
      </c>
      <c r="T427" s="34">
        <v>7087.6553782199999</v>
      </c>
      <c r="U427" s="35">
        <v>3.897956648247924E-4</v>
      </c>
      <c r="V427" s="36">
        <v>3.8630094736669899E-4</v>
      </c>
      <c r="W427" s="36">
        <v>-3.4947174580934144E-6</v>
      </c>
      <c r="X427" s="37">
        <v>-7.3359147474775259</v>
      </c>
      <c r="Y427" s="38">
        <v>-266857.57539023377</v>
      </c>
      <c r="Z427" s="39">
        <v>7.2925846671726823E-4</v>
      </c>
      <c r="AA427" s="40">
        <v>7.2295158307772976E-4</v>
      </c>
      <c r="AB427" s="40">
        <v>-6.30688363953847E-6</v>
      </c>
      <c r="AC427" s="41">
        <v>-0.1241474185771647</v>
      </c>
      <c r="AD427" s="42">
        <v>-4516.0938005516446</v>
      </c>
      <c r="AE427" s="39">
        <v>0</v>
      </c>
      <c r="AF427" s="40">
        <v>0</v>
      </c>
      <c r="AG427" s="40">
        <v>0</v>
      </c>
      <c r="AH427" s="41">
        <v>0</v>
      </c>
      <c r="AI427" s="42">
        <v>0</v>
      </c>
      <c r="AJ427" s="41">
        <v>-7.4600621660546906</v>
      </c>
      <c r="AK427" s="30">
        <v>-271373.66919078544</v>
      </c>
      <c r="AL427" s="43">
        <f>+$AL$6*W427/H427*10^6</f>
        <v>-63.563431394932977</v>
      </c>
      <c r="AM427" s="30">
        <v>2270480.75</v>
      </c>
      <c r="AN427" s="44">
        <v>-0.11952255890774914</v>
      </c>
      <c r="AP427" s="32"/>
      <c r="AR427" s="32"/>
    </row>
    <row r="428" spans="1:44">
      <c r="A428" s="5" t="s">
        <v>851</v>
      </c>
      <c r="B428" s="5" t="s">
        <v>1133</v>
      </c>
      <c r="C428" s="5" t="s">
        <v>2551</v>
      </c>
      <c r="D428" s="29" t="s">
        <v>1046</v>
      </c>
      <c r="E428" s="5" t="s">
        <v>1057</v>
      </c>
      <c r="F428" s="30" t="s">
        <v>1168</v>
      </c>
      <c r="G428" s="5" t="s">
        <v>970</v>
      </c>
      <c r="H428" s="31">
        <v>79.91</v>
      </c>
      <c r="I428" s="32">
        <v>824.60199999999998</v>
      </c>
      <c r="J428" s="32">
        <v>815.58139999999992</v>
      </c>
      <c r="K428" s="33">
        <v>1</v>
      </c>
      <c r="L428" s="33">
        <v>1</v>
      </c>
      <c r="M428" s="6">
        <v>1</v>
      </c>
      <c r="N428" s="6">
        <v>1</v>
      </c>
      <c r="O428" s="6">
        <v>0</v>
      </c>
      <c r="P428" s="6">
        <v>0</v>
      </c>
      <c r="Q428" s="34">
        <v>824.60199999999998</v>
      </c>
      <c r="R428" s="34">
        <v>815.58139999999992</v>
      </c>
      <c r="S428" s="34">
        <v>65893.945819999994</v>
      </c>
      <c r="T428" s="34">
        <v>65173.109673999992</v>
      </c>
      <c r="U428" s="35">
        <v>3.5785588174625108E-3</v>
      </c>
      <c r="V428" s="36">
        <v>3.5521526748134311E-3</v>
      </c>
      <c r="W428" s="36">
        <v>-2.64061426490797E-5</v>
      </c>
      <c r="X428" s="37">
        <v>-55.430292607706733</v>
      </c>
      <c r="Y428" s="38">
        <v>-693659.02399833233</v>
      </c>
      <c r="Z428" s="39">
        <v>6.6950316583261425E-3</v>
      </c>
      <c r="AA428" s="40">
        <v>6.6477558936774671E-3</v>
      </c>
      <c r="AB428" s="40">
        <v>-4.7275764648675375E-5</v>
      </c>
      <c r="AC428" s="41">
        <v>-0.93059654781012024</v>
      </c>
      <c r="AD428" s="42">
        <v>-11645.558100489554</v>
      </c>
      <c r="AE428" s="39">
        <v>0</v>
      </c>
      <c r="AF428" s="40">
        <v>0</v>
      </c>
      <c r="AG428" s="40">
        <v>0</v>
      </c>
      <c r="AH428" s="41">
        <v>0</v>
      </c>
      <c r="AI428" s="42">
        <v>0</v>
      </c>
      <c r="AJ428" s="41">
        <v>-56.360889155516851</v>
      </c>
      <c r="AK428" s="30">
        <v>-705304.58209882188</v>
      </c>
      <c r="AL428" s="43">
        <f>+$AL$6*W428/H428*10^6</f>
        <v>-165.22426885921476</v>
      </c>
      <c r="AM428" s="30">
        <v>5878918.5</v>
      </c>
      <c r="AN428" s="44">
        <v>-0.11997182510674742</v>
      </c>
      <c r="AP428" s="32"/>
      <c r="AR428" s="32"/>
    </row>
    <row r="429" spans="1:44">
      <c r="A429" s="5" t="s">
        <v>308</v>
      </c>
      <c r="B429" s="5" t="s">
        <v>608</v>
      </c>
      <c r="C429" s="5" t="s">
        <v>2495</v>
      </c>
      <c r="D429" s="29" t="s">
        <v>2496</v>
      </c>
      <c r="E429" s="5" t="s">
        <v>134</v>
      </c>
      <c r="F429" s="30" t="s">
        <v>1160</v>
      </c>
      <c r="G429" s="5" t="s">
        <v>970</v>
      </c>
      <c r="H429" s="31">
        <v>109.38</v>
      </c>
      <c r="I429" s="32">
        <v>125.93</v>
      </c>
      <c r="J429" s="32">
        <v>123.0967</v>
      </c>
      <c r="K429" s="33">
        <v>1</v>
      </c>
      <c r="L429" s="33">
        <v>1</v>
      </c>
      <c r="M429" s="6">
        <v>0</v>
      </c>
      <c r="N429" s="6">
        <v>0</v>
      </c>
      <c r="O429" s="6">
        <v>1</v>
      </c>
      <c r="P429" s="6">
        <v>1</v>
      </c>
      <c r="Q429" s="34">
        <v>125.93</v>
      </c>
      <c r="R429" s="34">
        <v>123.0967</v>
      </c>
      <c r="S429" s="34">
        <v>13774.223400000001</v>
      </c>
      <c r="T429" s="34">
        <v>13464.317046</v>
      </c>
      <c r="U429" s="35">
        <v>7.4804851930429528E-4</v>
      </c>
      <c r="V429" s="36">
        <v>7.3385035712919327E-4</v>
      </c>
      <c r="W429" s="36">
        <v>-1.4198162175102003E-5</v>
      </c>
      <c r="X429" s="37">
        <v>-29.803985168011902</v>
      </c>
      <c r="Y429" s="38">
        <v>-272481.12239908491</v>
      </c>
      <c r="Z429" s="39">
        <v>0</v>
      </c>
      <c r="AA429" s="40">
        <v>0</v>
      </c>
      <c r="AB429" s="40">
        <v>0</v>
      </c>
      <c r="AC429" s="41">
        <v>0</v>
      </c>
      <c r="AD429" s="42">
        <v>0</v>
      </c>
      <c r="AE429" s="39">
        <v>1.6070117644017016E-3</v>
      </c>
      <c r="AF429" s="40">
        <v>1.5759313102384946E-3</v>
      </c>
      <c r="AG429" s="40">
        <v>-3.1080454163206995E-5</v>
      </c>
      <c r="AH429" s="41">
        <v>-0.39960110607235694</v>
      </c>
      <c r="AI429" s="42">
        <v>-3653.3288176298861</v>
      </c>
      <c r="AJ429" s="41">
        <v>-30.203586274084259</v>
      </c>
      <c r="AK429" s="30">
        <v>-276134.45121671481</v>
      </c>
      <c r="AL429" s="43">
        <f>+$AL$6*W429/H429*10^6</f>
        <v>-64.902917238535395</v>
      </c>
      <c r="AM429" s="30">
        <v>2298157</v>
      </c>
      <c r="AN429" s="44">
        <v>-0.1201547375643678</v>
      </c>
      <c r="AP429" s="32"/>
      <c r="AR429" s="32"/>
    </row>
    <row r="430" spans="1:44">
      <c r="A430" s="5" t="s">
        <v>1038</v>
      </c>
      <c r="B430" s="5" t="s">
        <v>1122</v>
      </c>
      <c r="C430" s="5" t="s">
        <v>2454</v>
      </c>
      <c r="D430" s="29" t="s">
        <v>2455</v>
      </c>
      <c r="E430" s="5" t="s">
        <v>921</v>
      </c>
      <c r="F430" s="30" t="s">
        <v>1167</v>
      </c>
      <c r="G430" s="5" t="s">
        <v>970</v>
      </c>
      <c r="H430" s="31">
        <v>81.34</v>
      </c>
      <c r="I430" s="32">
        <v>304.84899999999999</v>
      </c>
      <c r="J430" s="32">
        <v>301.38679999999999</v>
      </c>
      <c r="K430" s="33">
        <v>1</v>
      </c>
      <c r="L430" s="33">
        <v>1</v>
      </c>
      <c r="M430" s="6">
        <v>0.67</v>
      </c>
      <c r="N430" s="6">
        <v>0.67</v>
      </c>
      <c r="O430" s="6">
        <v>0.33</v>
      </c>
      <c r="P430" s="6">
        <v>0.33</v>
      </c>
      <c r="Q430" s="34">
        <v>304.84899999999999</v>
      </c>
      <c r="R430" s="34">
        <v>301.38679999999999</v>
      </c>
      <c r="S430" s="34">
        <v>24796.417659999999</v>
      </c>
      <c r="T430" s="34">
        <v>24514.802312</v>
      </c>
      <c r="U430" s="35">
        <v>1.3466402406841953E-3</v>
      </c>
      <c r="V430" s="36">
        <v>1.3361388008133193E-3</v>
      </c>
      <c r="W430" s="36">
        <v>-1.0501439870876051E-5</v>
      </c>
      <c r="X430" s="37">
        <v>-22.044033185028056</v>
      </c>
      <c r="Y430" s="38">
        <v>-271010.98088305944</v>
      </c>
      <c r="Z430" s="39">
        <v>1.6879938733549179E-3</v>
      </c>
      <c r="AA430" s="40">
        <v>1.6753664661079792E-3</v>
      </c>
      <c r="AB430" s="40">
        <v>-1.2627407246938727E-5</v>
      </c>
      <c r="AC430" s="41">
        <v>-0.24856333216649362</v>
      </c>
      <c r="AD430" s="42">
        <v>-3055.8560630254933</v>
      </c>
      <c r="AE430" s="39">
        <v>9.5467338762855963E-4</v>
      </c>
      <c r="AF430" s="40">
        <v>9.4688075530407318E-4</v>
      </c>
      <c r="AG430" s="40">
        <v>-7.7926323244864549E-6</v>
      </c>
      <c r="AH430" s="41">
        <v>-0.10018980030756028</v>
      </c>
      <c r="AI430" s="42">
        <v>-1231.740844695848</v>
      </c>
      <c r="AJ430" s="41">
        <v>-22.392786317502111</v>
      </c>
      <c r="AK430" s="30">
        <v>-275298.57779078075</v>
      </c>
      <c r="AL430" s="43">
        <f>+$AL$6*W430/H430*10^6</f>
        <v>-64.552740784829425</v>
      </c>
      <c r="AM430" s="30">
        <v>2273312</v>
      </c>
      <c r="AN430" s="44">
        <v>-0.12110021756396867</v>
      </c>
      <c r="AP430" s="32"/>
      <c r="AR430" s="32"/>
    </row>
    <row r="431" spans="1:44">
      <c r="A431" s="5" t="s">
        <v>251</v>
      </c>
      <c r="B431" s="5" t="s">
        <v>551</v>
      </c>
      <c r="C431" s="5" t="s">
        <v>2420</v>
      </c>
      <c r="D431" s="29" t="s">
        <v>2421</v>
      </c>
      <c r="E431" s="5" t="s">
        <v>1378</v>
      </c>
      <c r="F431" s="30" t="s">
        <v>1166</v>
      </c>
      <c r="G431" s="5" t="s">
        <v>970</v>
      </c>
      <c r="H431" s="31">
        <v>20.86</v>
      </c>
      <c r="I431" s="32">
        <v>364.60599999999999</v>
      </c>
      <c r="J431" s="32">
        <v>352.78999999999996</v>
      </c>
      <c r="K431" s="33">
        <v>0.9</v>
      </c>
      <c r="L431" s="33">
        <v>0.91</v>
      </c>
      <c r="M431" s="6">
        <v>0.53</v>
      </c>
      <c r="N431" s="6">
        <v>0.53</v>
      </c>
      <c r="O431" s="6">
        <v>0.47</v>
      </c>
      <c r="P431" s="6">
        <v>0.47</v>
      </c>
      <c r="Q431" s="34">
        <v>328.1454</v>
      </c>
      <c r="R431" s="34">
        <v>321.03889999999996</v>
      </c>
      <c r="S431" s="34">
        <v>6845.1130439999997</v>
      </c>
      <c r="T431" s="34">
        <v>6696.8714539999992</v>
      </c>
      <c r="U431" s="35">
        <v>3.7174340275581102E-4</v>
      </c>
      <c r="V431" s="36">
        <v>3.6500191516406741E-4</v>
      </c>
      <c r="W431" s="36">
        <v>-6.7414875917436146E-6</v>
      </c>
      <c r="X431" s="37">
        <v>-14.151352387494439</v>
      </c>
      <c r="Y431" s="38">
        <v>-678396.56699398078</v>
      </c>
      <c r="Z431" s="39">
        <v>3.6860703090359654E-4</v>
      </c>
      <c r="AA431" s="40">
        <v>3.620382464043035E-4</v>
      </c>
      <c r="AB431" s="40">
        <v>-6.5687844992930373E-6</v>
      </c>
      <c r="AC431" s="41">
        <v>-0.12930278809402626</v>
      </c>
      <c r="AD431" s="42">
        <v>-6198.5996209983832</v>
      </c>
      <c r="AE431" s="39">
        <v>3.7534481105284988E-4</v>
      </c>
      <c r="AF431" s="40">
        <v>3.6840267526410314E-4</v>
      </c>
      <c r="AG431" s="40">
        <v>-6.9421357887467449E-6</v>
      </c>
      <c r="AH431" s="41">
        <v>-8.9254974368156187E-2</v>
      </c>
      <c r="AI431" s="42">
        <v>-4278.7619543699029</v>
      </c>
      <c r="AJ431" s="41">
        <v>-14.369910149956622</v>
      </c>
      <c r="AK431" s="30">
        <v>-688873.92856934911</v>
      </c>
      <c r="AL431" s="43">
        <f>+$AL$6*W431/H431*10^6</f>
        <v>-161.58886845023048</v>
      </c>
      <c r="AM431" s="30">
        <v>5679814.5</v>
      </c>
      <c r="AN431" s="44">
        <v>-0.12128458219354683</v>
      </c>
      <c r="AP431" s="32"/>
      <c r="AR431" s="32"/>
    </row>
    <row r="432" spans="1:44">
      <c r="A432" s="5" t="s">
        <v>1440</v>
      </c>
      <c r="B432" s="5" t="s">
        <v>1431</v>
      </c>
      <c r="C432" s="5" t="s">
        <v>2448</v>
      </c>
      <c r="D432" s="29" t="s">
        <v>1445</v>
      </c>
      <c r="E432" s="5" t="s">
        <v>1436</v>
      </c>
      <c r="F432" s="30" t="s">
        <v>1147</v>
      </c>
      <c r="G432" s="5" t="s">
        <v>970</v>
      </c>
      <c r="H432" s="31">
        <v>62.58</v>
      </c>
      <c r="I432" s="32">
        <v>406.59100000000001</v>
      </c>
      <c r="J432" s="32">
        <v>402.3845</v>
      </c>
      <c r="K432" s="33">
        <v>1</v>
      </c>
      <c r="L432" s="33">
        <v>1</v>
      </c>
      <c r="M432" s="6">
        <v>0.46</v>
      </c>
      <c r="N432" s="6">
        <v>0.46</v>
      </c>
      <c r="O432" s="6">
        <v>0.54</v>
      </c>
      <c r="P432" s="6">
        <v>0.54</v>
      </c>
      <c r="Q432" s="34">
        <v>406.59100000000001</v>
      </c>
      <c r="R432" s="34">
        <v>402.3845</v>
      </c>
      <c r="S432" s="34">
        <v>25444.464779999998</v>
      </c>
      <c r="T432" s="34">
        <v>25181.222009999998</v>
      </c>
      <c r="U432" s="35">
        <v>1.381834289341444E-3</v>
      </c>
      <c r="V432" s="36">
        <v>1.3724609055071116E-3</v>
      </c>
      <c r="W432" s="36">
        <v>-9.3733838343323939E-6</v>
      </c>
      <c r="X432" s="37">
        <v>-19.676081265110508</v>
      </c>
      <c r="Y432" s="38">
        <v>-314414.84923474764</v>
      </c>
      <c r="Z432" s="39">
        <v>1.1892092323692277E-3</v>
      </c>
      <c r="AA432" s="40">
        <v>1.1815204801119002E-3</v>
      </c>
      <c r="AB432" s="40">
        <v>-7.6887522573274459E-6</v>
      </c>
      <c r="AC432" s="41">
        <v>-0.15134871663755672</v>
      </c>
      <c r="AD432" s="42">
        <v>-2418.4838069280399</v>
      </c>
      <c r="AE432" s="39">
        <v>1.6030202682640507E-3</v>
      </c>
      <c r="AF432" s="40">
        <v>1.5915618350656809E-3</v>
      </c>
      <c r="AG432" s="40">
        <v>-1.1458433198369752E-5</v>
      </c>
      <c r="AH432" s="41">
        <v>-0.14732096757276952</v>
      </c>
      <c r="AI432" s="42">
        <v>-2354.1222047422425</v>
      </c>
      <c r="AJ432" s="41">
        <v>-19.974750949320836</v>
      </c>
      <c r="AK432" s="30">
        <v>-319187.4552464179</v>
      </c>
      <c r="AL432" s="43">
        <f>+$AL$6*W432/H432*10^6</f>
        <v>-74.891209925953945</v>
      </c>
      <c r="AM432" s="30">
        <v>2580101.75</v>
      </c>
      <c r="AN432" s="44">
        <v>-0.1237111890050142</v>
      </c>
      <c r="AP432" s="32"/>
      <c r="AR432" s="32"/>
    </row>
    <row r="433" spans="1:44">
      <c r="A433" s="5" t="s">
        <v>1215</v>
      </c>
      <c r="B433" s="5" t="s">
        <v>385</v>
      </c>
      <c r="C433" s="5" t="s">
        <v>2486</v>
      </c>
      <c r="D433" s="29" t="s">
        <v>2487</v>
      </c>
      <c r="E433" s="5" t="s">
        <v>737</v>
      </c>
      <c r="F433" s="30" t="s">
        <v>1155</v>
      </c>
      <c r="G433" s="5" t="s">
        <v>970</v>
      </c>
      <c r="H433" s="31">
        <v>124.89</v>
      </c>
      <c r="I433" s="32">
        <v>229.75299999999999</v>
      </c>
      <c r="J433" s="32">
        <v>226.97729999999999</v>
      </c>
      <c r="K433" s="33">
        <v>1</v>
      </c>
      <c r="L433" s="33">
        <v>1</v>
      </c>
      <c r="M433" s="6">
        <v>0</v>
      </c>
      <c r="N433" s="6">
        <v>0</v>
      </c>
      <c r="O433" s="6">
        <v>1</v>
      </c>
      <c r="P433" s="6">
        <v>1</v>
      </c>
      <c r="Q433" s="34">
        <v>229.75299999999999</v>
      </c>
      <c r="R433" s="34">
        <v>226.97729999999999</v>
      </c>
      <c r="S433" s="34">
        <v>28693.852169999998</v>
      </c>
      <c r="T433" s="34">
        <v>28347.194996999999</v>
      </c>
      <c r="U433" s="35">
        <v>1.5583015467067883E-3</v>
      </c>
      <c r="V433" s="36">
        <v>1.5450170328794653E-3</v>
      </c>
      <c r="W433" s="36">
        <v>-1.3284513827323046E-5</v>
      </c>
      <c r="X433" s="37">
        <v>-27.886105834746225</v>
      </c>
      <c r="Y433" s="38">
        <v>-223285.33777521198</v>
      </c>
      <c r="Z433" s="39">
        <v>0</v>
      </c>
      <c r="AA433" s="40">
        <v>0</v>
      </c>
      <c r="AB433" s="40">
        <v>0</v>
      </c>
      <c r="AC433" s="41">
        <v>0</v>
      </c>
      <c r="AD433" s="42">
        <v>0</v>
      </c>
      <c r="AE433" s="39">
        <v>3.3476557381226508E-3</v>
      </c>
      <c r="AF433" s="40">
        <v>3.3178981154844316E-3</v>
      </c>
      <c r="AG433" s="40">
        <v>-2.9757622638219242E-5</v>
      </c>
      <c r="AH433" s="41">
        <v>-0.38259347363054241</v>
      </c>
      <c r="AI433" s="42">
        <v>-3063.4436194294371</v>
      </c>
      <c r="AJ433" s="41">
        <v>-28.268699308376767</v>
      </c>
      <c r="AK433" s="30">
        <v>-226348.78139464141</v>
      </c>
      <c r="AL433" s="43">
        <f>+$AL$6*W433/H433*10^6</f>
        <v>-53.184857984318384</v>
      </c>
      <c r="AM433" s="30">
        <v>1811669</v>
      </c>
      <c r="AN433" s="44">
        <v>-0.12493936883318167</v>
      </c>
      <c r="AP433" s="32"/>
      <c r="AR433" s="32"/>
    </row>
    <row r="434" spans="1:44">
      <c r="A434" s="5" t="s">
        <v>1326</v>
      </c>
      <c r="B434" s="5" t="s">
        <v>498</v>
      </c>
      <c r="C434" s="5" t="s">
        <v>2400</v>
      </c>
      <c r="D434" s="29" t="s">
        <v>2401</v>
      </c>
      <c r="E434" s="5" t="s">
        <v>32</v>
      </c>
      <c r="F434" s="30" t="s">
        <v>1152</v>
      </c>
      <c r="G434" s="5" t="s">
        <v>970</v>
      </c>
      <c r="H434" s="31">
        <v>53.28</v>
      </c>
      <c r="I434" s="32">
        <v>159.92099999999999</v>
      </c>
      <c r="J434" s="32">
        <v>157.5309</v>
      </c>
      <c r="K434" s="33">
        <v>1</v>
      </c>
      <c r="L434" s="33">
        <v>1</v>
      </c>
      <c r="M434" s="6">
        <v>0.45</v>
      </c>
      <c r="N434" s="6">
        <v>0.45</v>
      </c>
      <c r="O434" s="6">
        <v>0.55000000000000004</v>
      </c>
      <c r="P434" s="6">
        <v>0.55000000000000004</v>
      </c>
      <c r="Q434" s="34">
        <v>159.92099999999999</v>
      </c>
      <c r="R434" s="34">
        <v>157.5309</v>
      </c>
      <c r="S434" s="34">
        <v>8520.5908799999997</v>
      </c>
      <c r="T434" s="34">
        <v>8393.2463520000001</v>
      </c>
      <c r="U434" s="35">
        <v>4.6273500917530356E-4</v>
      </c>
      <c r="V434" s="36">
        <v>4.5746002651640905E-4</v>
      </c>
      <c r="W434" s="36">
        <v>-5.2749826588945124E-6</v>
      </c>
      <c r="X434" s="37">
        <v>-11.072947539851759</v>
      </c>
      <c r="Y434" s="38">
        <v>-207825.59196418466</v>
      </c>
      <c r="Z434" s="39">
        <v>3.8957344625079022E-4</v>
      </c>
      <c r="AA434" s="40">
        <v>3.8525572789469578E-4</v>
      </c>
      <c r="AB434" s="40">
        <v>-4.3177183560944368E-6</v>
      </c>
      <c r="AC434" s="41">
        <v>-8.4991830940389729E-2</v>
      </c>
      <c r="AD434" s="42">
        <v>-1595.1920221544619</v>
      </c>
      <c r="AE434" s="39">
        <v>5.4674439076526199E-4</v>
      </c>
      <c r="AF434" s="40">
        <v>5.4031324585640658E-4</v>
      </c>
      <c r="AG434" s="40">
        <v>-6.431144908855416E-6</v>
      </c>
      <c r="AH434" s="41">
        <v>-8.2685169444289122E-2</v>
      </c>
      <c r="AI434" s="42">
        <v>-1551.8988259063274</v>
      </c>
      <c r="AJ434" s="41">
        <v>-11.240624540236437</v>
      </c>
      <c r="AK434" s="30">
        <v>-210972.68281224545</v>
      </c>
      <c r="AL434" s="43">
        <f>+$AL$6*W434/H434*10^6</f>
        <v>-49.502464892028087</v>
      </c>
      <c r="AM434" s="30">
        <v>1599945.375</v>
      </c>
      <c r="AN434" s="44">
        <v>-0.13186242862338063</v>
      </c>
      <c r="AP434" s="32"/>
      <c r="AR434" s="32"/>
    </row>
    <row r="435" spans="1:44">
      <c r="A435" s="5" t="s">
        <v>336</v>
      </c>
      <c r="B435" s="5" t="s">
        <v>657</v>
      </c>
      <c r="C435" s="5" t="s">
        <v>2552</v>
      </c>
      <c r="D435" s="29" t="s">
        <v>2553</v>
      </c>
      <c r="E435" s="5" t="s">
        <v>223</v>
      </c>
      <c r="F435" s="30" t="s">
        <v>1150</v>
      </c>
      <c r="G435" s="5" t="s">
        <v>970</v>
      </c>
      <c r="H435" s="31">
        <v>579.25</v>
      </c>
      <c r="I435" s="32">
        <v>103.277</v>
      </c>
      <c r="J435" s="32">
        <v>101.73649999999999</v>
      </c>
      <c r="K435" s="33">
        <v>0.73</v>
      </c>
      <c r="L435" s="33">
        <v>0.73</v>
      </c>
      <c r="M435" s="6">
        <v>1</v>
      </c>
      <c r="N435" s="6">
        <v>1</v>
      </c>
      <c r="O435" s="6">
        <v>0</v>
      </c>
      <c r="P435" s="6">
        <v>0</v>
      </c>
      <c r="Q435" s="34">
        <v>75.392210000000006</v>
      </c>
      <c r="R435" s="34">
        <v>74.267644999999987</v>
      </c>
      <c r="S435" s="34">
        <v>43670.937642500001</v>
      </c>
      <c r="T435" s="34">
        <v>43019.533366249991</v>
      </c>
      <c r="U435" s="35">
        <v>2.3716749243447243E-3</v>
      </c>
      <c r="V435" s="36">
        <v>2.3447085965442736E-3</v>
      </c>
      <c r="W435" s="36">
        <v>-2.6966327800450642E-5</v>
      </c>
      <c r="X435" s="37">
        <v>-56.606201837147552</v>
      </c>
      <c r="Y435" s="38">
        <v>-97723.266011476138</v>
      </c>
      <c r="Z435" s="39">
        <v>4.4371042958028821E-3</v>
      </c>
      <c r="AA435" s="40">
        <v>4.3880575579291767E-3</v>
      </c>
      <c r="AB435" s="40">
        <v>-4.9046737873705351E-5</v>
      </c>
      <c r="AC435" s="41">
        <v>-0.96545714883316958</v>
      </c>
      <c r="AD435" s="42">
        <v>-1666.7365538768572</v>
      </c>
      <c r="AE435" s="39">
        <v>0</v>
      </c>
      <c r="AF435" s="40">
        <v>0</v>
      </c>
      <c r="AG435" s="40">
        <v>0</v>
      </c>
      <c r="AH435" s="41">
        <v>0</v>
      </c>
      <c r="AI435" s="42">
        <v>0</v>
      </c>
      <c r="AJ435" s="41">
        <v>-57.571658985980719</v>
      </c>
      <c r="AK435" s="30">
        <v>-99390.002565353003</v>
      </c>
      <c r="AL435" s="43">
        <f>+$AL$6*W435/H435*10^6</f>
        <v>-23.276933794087736</v>
      </c>
      <c r="AM435" s="30">
        <v>750474.4375</v>
      </c>
      <c r="AN435" s="44">
        <v>-0.13243622647087563</v>
      </c>
      <c r="AP435" s="32"/>
      <c r="AR435" s="32"/>
    </row>
    <row r="436" spans="1:44">
      <c r="A436" s="5" t="s">
        <v>1172</v>
      </c>
      <c r="B436" s="5" t="s">
        <v>341</v>
      </c>
      <c r="C436" s="5" t="s">
        <v>2497</v>
      </c>
      <c r="D436" s="29" t="s">
        <v>2498</v>
      </c>
      <c r="E436" s="5" t="s">
        <v>698</v>
      </c>
      <c r="F436" s="30" t="s">
        <v>1149</v>
      </c>
      <c r="G436" s="5" t="s">
        <v>970</v>
      </c>
      <c r="H436" s="31">
        <v>104.38</v>
      </c>
      <c r="I436" s="32">
        <v>219.68600000000001</v>
      </c>
      <c r="J436" s="32">
        <v>216.2021</v>
      </c>
      <c r="K436" s="33">
        <v>0.95</v>
      </c>
      <c r="L436" s="33">
        <v>0.95</v>
      </c>
      <c r="M436" s="6">
        <v>1</v>
      </c>
      <c r="N436" s="6">
        <v>1</v>
      </c>
      <c r="O436" s="6">
        <v>0</v>
      </c>
      <c r="P436" s="6">
        <v>0</v>
      </c>
      <c r="Q436" s="34">
        <v>208.70169999999999</v>
      </c>
      <c r="R436" s="34">
        <v>205.39199499999998</v>
      </c>
      <c r="S436" s="34">
        <v>21784.283445999998</v>
      </c>
      <c r="T436" s="34">
        <v>21438.816438099999</v>
      </c>
      <c r="U436" s="35">
        <v>1.1830576942643001E-3</v>
      </c>
      <c r="V436" s="36">
        <v>1.1684872723790214E-3</v>
      </c>
      <c r="W436" s="36">
        <v>-1.4570421885278656E-5</v>
      </c>
      <c r="X436" s="37">
        <v>-30.585411858588049</v>
      </c>
      <c r="Y436" s="38">
        <v>-293019.8491913015</v>
      </c>
      <c r="Z436" s="39">
        <v>2.2133515531658006E-3</v>
      </c>
      <c r="AA436" s="40">
        <v>2.186791746515438E-3</v>
      </c>
      <c r="AB436" s="40">
        <v>-2.6559806650362609E-5</v>
      </c>
      <c r="AC436" s="41">
        <v>-0.52281469296180394</v>
      </c>
      <c r="AD436" s="42">
        <v>-5008.7631055930633</v>
      </c>
      <c r="AE436" s="39">
        <v>0</v>
      </c>
      <c r="AF436" s="40">
        <v>0</v>
      </c>
      <c r="AG436" s="40">
        <v>0</v>
      </c>
      <c r="AH436" s="41">
        <v>0</v>
      </c>
      <c r="AI436" s="42">
        <v>0</v>
      </c>
      <c r="AJ436" s="41">
        <v>-31.108226551549855</v>
      </c>
      <c r="AK436" s="30">
        <v>-298028.61229689454</v>
      </c>
      <c r="AL436" s="43">
        <f>+$AL$6*W436/H436*10^6</f>
        <v>-69.795084715839522</v>
      </c>
      <c r="AM436" s="30">
        <v>2222702.5</v>
      </c>
      <c r="AN436" s="44">
        <v>-0.13408389665143874</v>
      </c>
      <c r="AP436" s="32"/>
      <c r="AR436" s="32"/>
    </row>
    <row r="437" spans="1:44">
      <c r="A437" s="5" t="s">
        <v>1490</v>
      </c>
      <c r="B437" s="5" t="s">
        <v>1497</v>
      </c>
      <c r="C437" s="5" t="s">
        <v>2531</v>
      </c>
      <c r="D437" s="29" t="s">
        <v>1506</v>
      </c>
      <c r="E437" s="5" t="s">
        <v>1517</v>
      </c>
      <c r="F437" s="30" t="s">
        <v>1148</v>
      </c>
      <c r="G437" s="5" t="s">
        <v>970</v>
      </c>
      <c r="H437" s="31">
        <v>89.38</v>
      </c>
      <c r="I437" s="32">
        <v>473.30099999999999</v>
      </c>
      <c r="J437" s="32">
        <v>465.87469999999996</v>
      </c>
      <c r="K437" s="33">
        <v>0.83</v>
      </c>
      <c r="L437" s="33">
        <v>0.83</v>
      </c>
      <c r="M437" s="6">
        <v>0</v>
      </c>
      <c r="N437" s="6">
        <v>0</v>
      </c>
      <c r="O437" s="6">
        <v>1</v>
      </c>
      <c r="P437" s="6">
        <v>1</v>
      </c>
      <c r="Q437" s="34">
        <v>392.83982999999995</v>
      </c>
      <c r="R437" s="34">
        <v>386.67600099999993</v>
      </c>
      <c r="S437" s="34">
        <v>35112.024005399995</v>
      </c>
      <c r="T437" s="34">
        <v>34561.100969379993</v>
      </c>
      <c r="U437" s="35">
        <v>1.9068586884554474E-3</v>
      </c>
      <c r="V437" s="36">
        <v>1.8836957123415626E-3</v>
      </c>
      <c r="W437" s="36">
        <v>-2.3162976113884782E-5</v>
      </c>
      <c r="X437" s="37">
        <v>-48.622419439315664</v>
      </c>
      <c r="Y437" s="38">
        <v>-543996.63727137691</v>
      </c>
      <c r="Z437" s="39">
        <v>0</v>
      </c>
      <c r="AA437" s="40">
        <v>0</v>
      </c>
      <c r="AB437" s="40">
        <v>0</v>
      </c>
      <c r="AC437" s="41">
        <v>0</v>
      </c>
      <c r="AD437" s="42">
        <v>0</v>
      </c>
      <c r="AE437" s="39">
        <v>4.0964513214322299E-3</v>
      </c>
      <c r="AF437" s="40">
        <v>4.045204888438121E-3</v>
      </c>
      <c r="AG437" s="40">
        <v>-5.1246432994108901E-5</v>
      </c>
      <c r="AH437" s="41">
        <v>-0.65887490572614704</v>
      </c>
      <c r="AI437" s="42">
        <v>-7371.6145192005715</v>
      </c>
      <c r="AJ437" s="41">
        <v>-49.281294345041808</v>
      </c>
      <c r="AK437" s="30">
        <v>-551368.25179057743</v>
      </c>
      <c r="AL437" s="43">
        <f>+$AL$6*W437/H437*10^6</f>
        <v>-129.57583415688509</v>
      </c>
      <c r="AM437" s="30">
        <v>4094914.75</v>
      </c>
      <c r="AN437" s="44">
        <v>-0.13464706482365169</v>
      </c>
      <c r="AP437" s="32"/>
      <c r="AR437" s="32"/>
    </row>
    <row r="438" spans="1:44">
      <c r="A438" s="5" t="s">
        <v>1313</v>
      </c>
      <c r="B438" s="5" t="s">
        <v>486</v>
      </c>
      <c r="C438" s="5" t="s">
        <v>2446</v>
      </c>
      <c r="D438" s="29" t="s">
        <v>2447</v>
      </c>
      <c r="E438" s="5" t="s">
        <v>19</v>
      </c>
      <c r="F438" s="30" t="s">
        <v>1148</v>
      </c>
      <c r="G438" s="5" t="s">
        <v>970</v>
      </c>
      <c r="H438" s="31">
        <v>47.15</v>
      </c>
      <c r="I438" s="32">
        <v>422.86599999999999</v>
      </c>
      <c r="J438" s="32">
        <v>417.74119999999999</v>
      </c>
      <c r="K438" s="33">
        <v>1</v>
      </c>
      <c r="L438" s="33">
        <v>1</v>
      </c>
      <c r="M438" s="6">
        <v>0</v>
      </c>
      <c r="N438" s="6">
        <v>0</v>
      </c>
      <c r="O438" s="6">
        <v>1</v>
      </c>
      <c r="P438" s="6">
        <v>1</v>
      </c>
      <c r="Q438" s="34">
        <v>422.86599999999999</v>
      </c>
      <c r="R438" s="34">
        <v>417.74119999999999</v>
      </c>
      <c r="S438" s="34">
        <v>19938.1319</v>
      </c>
      <c r="T438" s="34">
        <v>19696.497579999999</v>
      </c>
      <c r="U438" s="35">
        <v>1.0827971648469659E-3</v>
      </c>
      <c r="V438" s="36">
        <v>1.0735250613822548E-3</v>
      </c>
      <c r="W438" s="36">
        <v>-9.2721034647110304E-6</v>
      </c>
      <c r="X438" s="37">
        <v>-19.463479197548608</v>
      </c>
      <c r="Y438" s="38">
        <v>-412799.13462457288</v>
      </c>
      <c r="Z438" s="39">
        <v>0</v>
      </c>
      <c r="AA438" s="40">
        <v>0</v>
      </c>
      <c r="AB438" s="40">
        <v>0</v>
      </c>
      <c r="AC438" s="41">
        <v>0</v>
      </c>
      <c r="AD438" s="42">
        <v>0</v>
      </c>
      <c r="AE438" s="39">
        <v>2.3261429405517591E-3</v>
      </c>
      <c r="AF438" s="40">
        <v>2.3053770296934777E-3</v>
      </c>
      <c r="AG438" s="40">
        <v>-2.0765910858281441E-5</v>
      </c>
      <c r="AH438" s="41">
        <v>-0.26698712007215419</v>
      </c>
      <c r="AI438" s="42">
        <v>-5662.5051977127077</v>
      </c>
      <c r="AJ438" s="41">
        <v>-19.730466317620763</v>
      </c>
      <c r="AK438" s="30">
        <v>-418461.63982228556</v>
      </c>
      <c r="AL438" s="43">
        <f>+$AL$6*W438/H438*10^6</f>
        <v>-98.325593475196513</v>
      </c>
      <c r="AM438" s="30">
        <v>3044293</v>
      </c>
      <c r="AN438" s="44">
        <v>-0.13745774136138852</v>
      </c>
      <c r="AP438" s="32"/>
      <c r="AR438" s="32"/>
    </row>
    <row r="439" spans="1:44">
      <c r="A439" s="5" t="s">
        <v>1277</v>
      </c>
      <c r="B439" s="5" t="s">
        <v>450</v>
      </c>
      <c r="C439" s="5" t="s">
        <v>2418</v>
      </c>
      <c r="D439" s="29" t="s">
        <v>2419</v>
      </c>
      <c r="E439" s="5" t="s">
        <v>791</v>
      </c>
      <c r="F439" s="30" t="s">
        <v>1151</v>
      </c>
      <c r="G439" s="5" t="s">
        <v>970</v>
      </c>
      <c r="H439" s="31">
        <v>88.53</v>
      </c>
      <c r="I439" s="32">
        <v>236.78899999999999</v>
      </c>
      <c r="J439" s="32">
        <v>234.57769999999999</v>
      </c>
      <c r="K439" s="33">
        <v>1</v>
      </c>
      <c r="L439" s="33">
        <v>1</v>
      </c>
      <c r="M439" s="6">
        <v>1</v>
      </c>
      <c r="N439" s="6">
        <v>1</v>
      </c>
      <c r="O439" s="6">
        <v>0</v>
      </c>
      <c r="P439" s="6">
        <v>0</v>
      </c>
      <c r="Q439" s="34">
        <v>236.78899999999999</v>
      </c>
      <c r="R439" s="34">
        <v>234.57769999999999</v>
      </c>
      <c r="S439" s="34">
        <v>20962.93017</v>
      </c>
      <c r="T439" s="34">
        <v>20767.163780999999</v>
      </c>
      <c r="U439" s="35">
        <v>1.1384517601150449E-3</v>
      </c>
      <c r="V439" s="36">
        <v>1.1318799538944915E-3</v>
      </c>
      <c r="W439" s="36">
        <v>-6.5718062205533459E-6</v>
      </c>
      <c r="X439" s="37">
        <v>-13.795166776436199</v>
      </c>
      <c r="Y439" s="38">
        <v>-155824.76873868969</v>
      </c>
      <c r="Z439" s="39">
        <v>2.1298994830695394E-3</v>
      </c>
      <c r="AA439" s="40">
        <v>2.1182821582500506E-3</v>
      </c>
      <c r="AB439" s="40">
        <v>-1.1617324819488805E-5</v>
      </c>
      <c r="AC439" s="41">
        <v>-0.2286804338786729</v>
      </c>
      <c r="AD439" s="42">
        <v>-2583.0840831206697</v>
      </c>
      <c r="AE439" s="39">
        <v>0</v>
      </c>
      <c r="AF439" s="40">
        <v>0</v>
      </c>
      <c r="AG439" s="40">
        <v>0</v>
      </c>
      <c r="AH439" s="41">
        <v>0</v>
      </c>
      <c r="AI439" s="42">
        <v>0</v>
      </c>
      <c r="AJ439" s="41">
        <v>-14.023847210314871</v>
      </c>
      <c r="AK439" s="30">
        <v>-158407.85282181035</v>
      </c>
      <c r="AL439" s="43">
        <f>+$AL$6*W439/H439*10^6</f>
        <v>-37.116266918295189</v>
      </c>
      <c r="AM439" s="30">
        <v>1145211.5</v>
      </c>
      <c r="AN439" s="44">
        <v>-0.13832191941995897</v>
      </c>
      <c r="AP439" s="32"/>
      <c r="AR439" s="32"/>
    </row>
    <row r="440" spans="1:44">
      <c r="A440" s="5" t="s">
        <v>273</v>
      </c>
      <c r="B440" s="5" t="s">
        <v>574</v>
      </c>
      <c r="C440" s="5" t="s">
        <v>2562</v>
      </c>
      <c r="D440" s="29" t="s">
        <v>2563</v>
      </c>
      <c r="E440" s="5" t="s">
        <v>102</v>
      </c>
      <c r="F440" s="30" t="s">
        <v>1161</v>
      </c>
      <c r="G440" s="5" t="s">
        <v>970</v>
      </c>
      <c r="H440" s="31">
        <v>56.38</v>
      </c>
      <c r="I440" s="32">
        <v>1500.5</v>
      </c>
      <c r="J440" s="32">
        <v>1484.2</v>
      </c>
      <c r="K440" s="33">
        <v>1</v>
      </c>
      <c r="L440" s="33">
        <v>1</v>
      </c>
      <c r="M440" s="6">
        <v>0.67</v>
      </c>
      <c r="N440" s="6">
        <v>0.67</v>
      </c>
      <c r="O440" s="6">
        <v>0.33</v>
      </c>
      <c r="P440" s="6">
        <v>0.33</v>
      </c>
      <c r="Q440" s="34">
        <v>1500.5</v>
      </c>
      <c r="R440" s="34">
        <v>1484.2</v>
      </c>
      <c r="S440" s="34">
        <v>84598.19</v>
      </c>
      <c r="T440" s="34">
        <v>83679.196000000011</v>
      </c>
      <c r="U440" s="35">
        <v>4.5943461876277857E-3</v>
      </c>
      <c r="V440" s="36">
        <v>4.5607963373921704E-3</v>
      </c>
      <c r="W440" s="36">
        <v>-3.3549850235615325E-5</v>
      </c>
      <c r="X440" s="37">
        <v>-70.425962633724893</v>
      </c>
      <c r="Y440" s="38">
        <v>-1249130.2347237477</v>
      </c>
      <c r="Z440" s="39">
        <v>5.7589458435067867E-3</v>
      </c>
      <c r="AA440" s="40">
        <v>5.7187211671151147E-3</v>
      </c>
      <c r="AB440" s="40">
        <v>-4.0224676391672001E-5</v>
      </c>
      <c r="AC440" s="41">
        <v>-0.79179988446613203</v>
      </c>
      <c r="AD440" s="42">
        <v>-14043.985180314508</v>
      </c>
      <c r="AE440" s="39">
        <v>3.2570688936582682E-3</v>
      </c>
      <c r="AF440" s="40">
        <v>3.2320970531723369E-3</v>
      </c>
      <c r="AG440" s="40">
        <v>-2.4971840485931221E-5</v>
      </c>
      <c r="AH440" s="41">
        <v>-0.32106271763085886</v>
      </c>
      <c r="AI440" s="42">
        <v>-5694.6207454923524</v>
      </c>
      <c r="AJ440" s="41">
        <v>-71.538825235821875</v>
      </c>
      <c r="AK440" s="30">
        <v>-1268868.8406495545</v>
      </c>
      <c r="AL440" s="43">
        <f>+$AL$6*W440/H440*10^6</f>
        <v>-297.53325856345623</v>
      </c>
      <c r="AM440" s="30">
        <v>8889682</v>
      </c>
      <c r="AN440" s="44">
        <v>-0.14273500904189312</v>
      </c>
      <c r="AP440" s="32"/>
      <c r="AR440" s="32"/>
    </row>
    <row r="441" spans="1:44">
      <c r="A441" s="5" t="s">
        <v>852</v>
      </c>
      <c r="B441" s="5" t="s">
        <v>1454</v>
      </c>
      <c r="C441" s="5" t="s">
        <v>2556</v>
      </c>
      <c r="D441" s="29" t="s">
        <v>2557</v>
      </c>
      <c r="E441" s="5" t="s">
        <v>1058</v>
      </c>
      <c r="F441" s="30" t="s">
        <v>1152</v>
      </c>
      <c r="G441" s="5" t="s">
        <v>970</v>
      </c>
      <c r="H441" s="31">
        <v>51.11</v>
      </c>
      <c r="I441" s="32">
        <v>1040.3630000000001</v>
      </c>
      <c r="J441" s="32">
        <v>1026.386</v>
      </c>
      <c r="K441" s="33">
        <v>1</v>
      </c>
      <c r="L441" s="33">
        <v>1</v>
      </c>
      <c r="M441" s="6">
        <v>0.64</v>
      </c>
      <c r="N441" s="6">
        <v>0.64</v>
      </c>
      <c r="O441" s="6">
        <v>0.36</v>
      </c>
      <c r="P441" s="6">
        <v>0.36</v>
      </c>
      <c r="Q441" s="34">
        <v>1040.3630000000001</v>
      </c>
      <c r="R441" s="34">
        <v>1026.386</v>
      </c>
      <c r="S441" s="34">
        <v>53172.952929999999</v>
      </c>
      <c r="T441" s="34">
        <v>52458.588459999999</v>
      </c>
      <c r="U441" s="35">
        <v>2.8877089873773562E-3</v>
      </c>
      <c r="V441" s="36">
        <v>2.8591687008217804E-3</v>
      </c>
      <c r="W441" s="36">
        <v>-2.8540286555575785E-5</v>
      </c>
      <c r="X441" s="37">
        <v>-59.910167717680629</v>
      </c>
      <c r="Y441" s="38">
        <v>-1172180.9375402196</v>
      </c>
      <c r="Z441" s="39">
        <v>3.4576248733307821E-3</v>
      </c>
      <c r="AA441" s="40">
        <v>3.4245475028910019E-3</v>
      </c>
      <c r="AB441" s="40">
        <v>-3.3077370439780259E-5</v>
      </c>
      <c r="AC441" s="41">
        <v>-0.65110923050418612</v>
      </c>
      <c r="AD441" s="42">
        <v>-12739.370583138059</v>
      </c>
      <c r="AE441" s="39">
        <v>2.2332904754786866E-3</v>
      </c>
      <c r="AF441" s="40">
        <v>2.2104060261305524E-3</v>
      </c>
      <c r="AG441" s="40">
        <v>-2.2884449348134148E-5</v>
      </c>
      <c r="AH441" s="41">
        <v>-0.29422514945732875</v>
      </c>
      <c r="AI441" s="42">
        <v>-5756.7041568641898</v>
      </c>
      <c r="AJ441" s="41">
        <v>-60.855502097642137</v>
      </c>
      <c r="AK441" s="30">
        <v>-1190677.0122802218</v>
      </c>
      <c r="AL441" s="43">
        <f>+$AL$6*W441/H441*10^6</f>
        <v>-279.2045250985696</v>
      </c>
      <c r="AM441" s="30">
        <v>8313168</v>
      </c>
      <c r="AN441" s="44">
        <v>-0.14322782990554525</v>
      </c>
      <c r="AP441" s="32"/>
      <c r="AR441" s="32"/>
    </row>
    <row r="442" spans="1:44">
      <c r="A442" s="5" t="s">
        <v>330</v>
      </c>
      <c r="B442" s="5" t="s">
        <v>629</v>
      </c>
      <c r="C442" s="5" t="s">
        <v>2422</v>
      </c>
      <c r="D442" s="29" t="s">
        <v>1400</v>
      </c>
      <c r="E442" s="5" t="s">
        <v>1383</v>
      </c>
      <c r="F442" s="30" t="s">
        <v>1155</v>
      </c>
      <c r="G442" s="5" t="s">
        <v>970</v>
      </c>
      <c r="H442" s="31">
        <v>39.61</v>
      </c>
      <c r="I442" s="32">
        <v>306.63600000000002</v>
      </c>
      <c r="J442" s="32">
        <v>302.31439999999998</v>
      </c>
      <c r="K442" s="33">
        <v>1</v>
      </c>
      <c r="L442" s="33">
        <v>1</v>
      </c>
      <c r="M442" s="6">
        <v>0</v>
      </c>
      <c r="N442" s="6">
        <v>0</v>
      </c>
      <c r="O442" s="6">
        <v>1</v>
      </c>
      <c r="P442" s="6">
        <v>1</v>
      </c>
      <c r="Q442" s="34">
        <v>306.63600000000002</v>
      </c>
      <c r="R442" s="34">
        <v>302.31439999999998</v>
      </c>
      <c r="S442" s="34">
        <v>12145.85196</v>
      </c>
      <c r="T442" s="34">
        <v>11974.673384</v>
      </c>
      <c r="U442" s="35">
        <v>6.596151601815295E-4</v>
      </c>
      <c r="V442" s="36">
        <v>6.5265979026871504E-4</v>
      </c>
      <c r="W442" s="36">
        <v>-6.9553699128144676E-6</v>
      </c>
      <c r="X442" s="37">
        <v>-14.600322151769571</v>
      </c>
      <c r="Y442" s="38">
        <v>-368601.92253899446</v>
      </c>
      <c r="Z442" s="39">
        <v>0</v>
      </c>
      <c r="AA442" s="40">
        <v>0</v>
      </c>
      <c r="AB442" s="40">
        <v>0</v>
      </c>
      <c r="AC442" s="41">
        <v>0</v>
      </c>
      <c r="AD442" s="42">
        <v>0</v>
      </c>
      <c r="AE442" s="39">
        <v>1.4170328461785703E-3</v>
      </c>
      <c r="AF442" s="40">
        <v>1.4015759322402062E-3</v>
      </c>
      <c r="AG442" s="40">
        <v>-1.5456913938364071E-5</v>
      </c>
      <c r="AH442" s="41">
        <v>-0.19872939673923315</v>
      </c>
      <c r="AI442" s="42">
        <v>-5017.152151962463</v>
      </c>
      <c r="AJ442" s="41">
        <v>-14.799051548508805</v>
      </c>
      <c r="AK442" s="30">
        <v>-373619.07469095691</v>
      </c>
      <c r="AL442" s="43">
        <f>+$AL$6*W442/H442*10^6</f>
        <v>-87.798155930503256</v>
      </c>
      <c r="AM442" s="30">
        <v>2604647</v>
      </c>
      <c r="AN442" s="44">
        <v>-0.14344326685764211</v>
      </c>
      <c r="AP442" s="32"/>
      <c r="AR442" s="32"/>
    </row>
    <row r="443" spans="1:44">
      <c r="A443" s="5" t="s">
        <v>1217</v>
      </c>
      <c r="B443" s="5" t="s">
        <v>387</v>
      </c>
      <c r="C443" s="5" t="s">
        <v>2521</v>
      </c>
      <c r="D443" s="29" t="s">
        <v>636</v>
      </c>
      <c r="E443" s="5" t="s">
        <v>738</v>
      </c>
      <c r="F443" s="30" t="s">
        <v>1168</v>
      </c>
      <c r="G443" s="5" t="s">
        <v>970</v>
      </c>
      <c r="H443" s="31">
        <v>50.17</v>
      </c>
      <c r="I443" s="32">
        <v>492.14299999999997</v>
      </c>
      <c r="J443" s="32">
        <v>444.40839999999997</v>
      </c>
      <c r="K443" s="33">
        <v>0.92</v>
      </c>
      <c r="L443" s="33">
        <v>1</v>
      </c>
      <c r="M443" s="6">
        <v>0.46</v>
      </c>
      <c r="N443" s="6">
        <v>0.46</v>
      </c>
      <c r="O443" s="6">
        <v>0.54</v>
      </c>
      <c r="P443" s="6">
        <v>0.54</v>
      </c>
      <c r="Q443" s="34">
        <v>452.77156000000002</v>
      </c>
      <c r="R443" s="34">
        <v>444.40839999999997</v>
      </c>
      <c r="S443" s="34">
        <v>22715.549165200002</v>
      </c>
      <c r="T443" s="34">
        <v>22295.969428</v>
      </c>
      <c r="U443" s="35">
        <v>1.2336327373789931E-3</v>
      </c>
      <c r="V443" s="36">
        <v>1.2152049800505994E-3</v>
      </c>
      <c r="W443" s="36">
        <v>-1.8427757328393687E-5</v>
      </c>
      <c r="X443" s="37">
        <v>-38.68251392833681</v>
      </c>
      <c r="Y443" s="38">
        <v>-771028.7807123143</v>
      </c>
      <c r="Z443" s="39">
        <v>1.0616666932930059E-3</v>
      </c>
      <c r="AA443" s="40">
        <v>1.0461424188496248E-3</v>
      </c>
      <c r="AB443" s="40">
        <v>-1.5524274443381048E-5</v>
      </c>
      <c r="AC443" s="41">
        <v>-0.30558651587398633</v>
      </c>
      <c r="AD443" s="42">
        <v>-6091.0208466012818</v>
      </c>
      <c r="AE443" s="39">
        <v>1.431096548165009E-3</v>
      </c>
      <c r="AF443" s="40">
        <v>1.409201428084149E-3</v>
      </c>
      <c r="AG443" s="40">
        <v>-2.1895120080860043E-5</v>
      </c>
      <c r="AH443" s="41">
        <v>-0.28150535239784796</v>
      </c>
      <c r="AI443" s="42">
        <v>-5611.0295474954746</v>
      </c>
      <c r="AJ443" s="41">
        <v>-39.269605796608644</v>
      </c>
      <c r="AK443" s="30">
        <v>-782730.83110641094</v>
      </c>
      <c r="AL443" s="43">
        <f>+$AL$6*W443/H443*10^6</f>
        <v>-183.65315256521515</v>
      </c>
      <c r="AM443" s="30">
        <v>5433313.5</v>
      </c>
      <c r="AN443" s="44">
        <v>-0.1440614150290446</v>
      </c>
      <c r="AP443" s="32"/>
      <c r="AR443" s="32"/>
    </row>
    <row r="444" spans="1:44">
      <c r="A444" s="5" t="s">
        <v>1538</v>
      </c>
      <c r="B444" s="5" t="s">
        <v>1535</v>
      </c>
      <c r="C444" s="5" t="s">
        <v>2492</v>
      </c>
      <c r="D444" s="29" t="s">
        <v>1540</v>
      </c>
      <c r="E444" s="5" t="s">
        <v>1543</v>
      </c>
      <c r="F444" s="30" t="s">
        <v>1170</v>
      </c>
      <c r="G444" s="5" t="s">
        <v>970</v>
      </c>
      <c r="H444" s="31">
        <v>76.33</v>
      </c>
      <c r="I444" s="32">
        <v>288.738</v>
      </c>
      <c r="J444" s="32">
        <v>284.34870000000001</v>
      </c>
      <c r="K444" s="33">
        <v>1</v>
      </c>
      <c r="L444" s="33">
        <v>1</v>
      </c>
      <c r="M444" s="6">
        <v>0</v>
      </c>
      <c r="N444" s="6">
        <v>0</v>
      </c>
      <c r="O444" s="6">
        <v>1</v>
      </c>
      <c r="P444" s="6">
        <v>1</v>
      </c>
      <c r="Q444" s="34">
        <v>288.738</v>
      </c>
      <c r="R444" s="34">
        <v>284.34870000000001</v>
      </c>
      <c r="S444" s="34">
        <v>22039.37154</v>
      </c>
      <c r="T444" s="34">
        <v>21704.336271</v>
      </c>
      <c r="U444" s="35">
        <v>1.1969109813402782E-3</v>
      </c>
      <c r="V444" s="36">
        <v>1.1829589922243615E-3</v>
      </c>
      <c r="W444" s="36">
        <v>-1.395198911591667E-5</v>
      </c>
      <c r="X444" s="37">
        <v>-29.287232498600229</v>
      </c>
      <c r="Y444" s="38">
        <v>-383692.2900379959</v>
      </c>
      <c r="Z444" s="39">
        <v>0</v>
      </c>
      <c r="AA444" s="40">
        <v>0</v>
      </c>
      <c r="AB444" s="40">
        <v>0</v>
      </c>
      <c r="AC444" s="41">
        <v>0</v>
      </c>
      <c r="AD444" s="42">
        <v>0</v>
      </c>
      <c r="AE444" s="39">
        <v>2.5712904688913385E-3</v>
      </c>
      <c r="AF444" s="40">
        <v>2.5403845572379369E-3</v>
      </c>
      <c r="AG444" s="40">
        <v>-3.0905911653401549E-5</v>
      </c>
      <c r="AH444" s="41">
        <v>-0.39735701466981022</v>
      </c>
      <c r="AI444" s="42">
        <v>-5205.777737060268</v>
      </c>
      <c r="AJ444" s="41">
        <v>-29.684589513270041</v>
      </c>
      <c r="AK444" s="30">
        <v>-388898.06777505617</v>
      </c>
      <c r="AL444" s="43">
        <f>+$AL$6*W444/H444*10^6</f>
        <v>-91.392565936831332</v>
      </c>
      <c r="AM444" s="30">
        <v>2681434.25</v>
      </c>
      <c r="AN444" s="44">
        <v>-0.14503360198932946</v>
      </c>
      <c r="AP444" s="32"/>
      <c r="AR444" s="32"/>
    </row>
    <row r="445" spans="1:44">
      <c r="A445" s="5" t="s">
        <v>1473</v>
      </c>
      <c r="B445" s="5" t="s">
        <v>1468</v>
      </c>
      <c r="C445" s="5" t="s">
        <v>2471</v>
      </c>
      <c r="D445" s="29" t="s">
        <v>2472</v>
      </c>
      <c r="E445" s="5" t="s">
        <v>1478</v>
      </c>
      <c r="F445" s="30" t="s">
        <v>1156</v>
      </c>
      <c r="G445" s="5" t="s">
        <v>970</v>
      </c>
      <c r="H445" s="31">
        <v>84.95</v>
      </c>
      <c r="I445" s="32">
        <v>337.48399999999998</v>
      </c>
      <c r="J445" s="32">
        <v>333.76139999999998</v>
      </c>
      <c r="K445" s="33">
        <v>1</v>
      </c>
      <c r="L445" s="33">
        <v>1</v>
      </c>
      <c r="M445" s="6">
        <v>1</v>
      </c>
      <c r="N445" s="6">
        <v>1</v>
      </c>
      <c r="O445" s="6">
        <v>0</v>
      </c>
      <c r="P445" s="6">
        <v>0</v>
      </c>
      <c r="Q445" s="34">
        <v>337.48399999999998</v>
      </c>
      <c r="R445" s="34">
        <v>333.76139999999998</v>
      </c>
      <c r="S445" s="34">
        <v>28669.265800000001</v>
      </c>
      <c r="T445" s="34">
        <v>28353.030930000001</v>
      </c>
      <c r="U445" s="35">
        <v>1.5569663137038471E-3</v>
      </c>
      <c r="V445" s="36">
        <v>1.5453351107664909E-3</v>
      </c>
      <c r="W445" s="36">
        <v>-1.1631202937356167E-5</v>
      </c>
      <c r="X445" s="37">
        <v>-24.415568406381386</v>
      </c>
      <c r="Y445" s="38">
        <v>-287411.04657305928</v>
      </c>
      <c r="Z445" s="39">
        <v>2.9128873641333713E-3</v>
      </c>
      <c r="AA445" s="40">
        <v>2.8920520965063047E-3</v>
      </c>
      <c r="AB445" s="40">
        <v>-2.0835267627066639E-5</v>
      </c>
      <c r="AC445" s="41">
        <v>-0.41013039705517362</v>
      </c>
      <c r="AD445" s="42">
        <v>-4827.9034379655513</v>
      </c>
      <c r="AE445" s="39">
        <v>0</v>
      </c>
      <c r="AF445" s="40">
        <v>0</v>
      </c>
      <c r="AG445" s="40">
        <v>0</v>
      </c>
      <c r="AH445" s="41">
        <v>0</v>
      </c>
      <c r="AI445" s="42">
        <v>0</v>
      </c>
      <c r="AJ445" s="41">
        <v>-24.825698803436559</v>
      </c>
      <c r="AK445" s="30">
        <v>-292238.95001102483</v>
      </c>
      <c r="AL445" s="43">
        <f>+$AL$6*W445/H445*10^6</f>
        <v>-68.459110873196977</v>
      </c>
      <c r="AM445" s="30">
        <v>1998396.625</v>
      </c>
      <c r="AN445" s="44">
        <v>-0.14623671114888159</v>
      </c>
      <c r="AP445" s="32"/>
      <c r="AR445" s="32"/>
    </row>
    <row r="446" spans="1:44">
      <c r="A446" s="5" t="s">
        <v>312</v>
      </c>
      <c r="B446" s="5" t="s">
        <v>612</v>
      </c>
      <c r="C446" s="5" t="s">
        <v>2374</v>
      </c>
      <c r="D446" s="29" t="s">
        <v>2375</v>
      </c>
      <c r="E446" s="5" t="s">
        <v>138</v>
      </c>
      <c r="F446" s="30" t="s">
        <v>1155</v>
      </c>
      <c r="G446" s="5" t="s">
        <v>970</v>
      </c>
      <c r="H446" s="31">
        <v>35.65</v>
      </c>
      <c r="I446" s="32">
        <v>249.511</v>
      </c>
      <c r="J446" s="32">
        <v>246.68129999999999</v>
      </c>
      <c r="K446" s="33">
        <v>1</v>
      </c>
      <c r="L446" s="33">
        <v>1</v>
      </c>
      <c r="M446" s="6">
        <v>0</v>
      </c>
      <c r="N446" s="6">
        <v>0</v>
      </c>
      <c r="O446" s="6">
        <v>1</v>
      </c>
      <c r="P446" s="6">
        <v>1</v>
      </c>
      <c r="Q446" s="34">
        <v>249.511</v>
      </c>
      <c r="R446" s="34">
        <v>246.68129999999999</v>
      </c>
      <c r="S446" s="34">
        <v>8895.0671499999989</v>
      </c>
      <c r="T446" s="34">
        <v>8794.1883449999987</v>
      </c>
      <c r="U446" s="35">
        <v>4.8307201193424642E-4</v>
      </c>
      <c r="V446" s="36">
        <v>4.793127074764545E-4</v>
      </c>
      <c r="W446" s="36">
        <v>-3.75930445779192E-6</v>
      </c>
      <c r="X446" s="37">
        <v>-7.8913209273344895</v>
      </c>
      <c r="Y446" s="38">
        <v>-221355.42573168274</v>
      </c>
      <c r="Z446" s="39">
        <v>0</v>
      </c>
      <c r="AA446" s="40">
        <v>0</v>
      </c>
      <c r="AB446" s="40">
        <v>0</v>
      </c>
      <c r="AC446" s="41">
        <v>0</v>
      </c>
      <c r="AD446" s="42">
        <v>0</v>
      </c>
      <c r="AE446" s="39">
        <v>1.037770126132346E-3</v>
      </c>
      <c r="AF446" s="40">
        <v>1.0293159848859331E-3</v>
      </c>
      <c r="AG446" s="40">
        <v>-8.4541412464129734E-6</v>
      </c>
      <c r="AH446" s="41">
        <v>-0.10869481427841449</v>
      </c>
      <c r="AI446" s="42">
        <v>-3048.942897010224</v>
      </c>
      <c r="AJ446" s="41">
        <v>-8.0000157416129039</v>
      </c>
      <c r="AK446" s="30">
        <v>-224404.36862869296</v>
      </c>
      <c r="AL446" s="43">
        <f>+$AL$6*W446/H446*10^6</f>
        <v>-52.725167710966623</v>
      </c>
      <c r="AM446" s="30">
        <v>1527419.25</v>
      </c>
      <c r="AN446" s="44">
        <v>-0.14691733695820119</v>
      </c>
      <c r="AP446" s="32"/>
      <c r="AR446" s="32"/>
    </row>
    <row r="447" spans="1:44">
      <c r="A447" s="5" t="s">
        <v>827</v>
      </c>
      <c r="B447" s="5" t="s">
        <v>185</v>
      </c>
      <c r="C447" s="5" t="s">
        <v>2590</v>
      </c>
      <c r="D447" s="29" t="s">
        <v>2591</v>
      </c>
      <c r="E447" s="5" t="s">
        <v>1646</v>
      </c>
      <c r="F447" s="30" t="s">
        <v>1159</v>
      </c>
      <c r="G447" s="5" t="s">
        <v>970</v>
      </c>
      <c r="H447" s="31">
        <v>1294.71</v>
      </c>
      <c r="I447" s="32">
        <v>51.837000000000003</v>
      </c>
      <c r="J447" s="32">
        <v>50.701589999999996</v>
      </c>
      <c r="K447" s="33">
        <v>1</v>
      </c>
      <c r="L447" s="33">
        <v>1</v>
      </c>
      <c r="M447" s="6">
        <v>1</v>
      </c>
      <c r="N447" s="6">
        <v>1</v>
      </c>
      <c r="O447" s="6">
        <v>0</v>
      </c>
      <c r="P447" s="6">
        <v>0</v>
      </c>
      <c r="Q447" s="34">
        <v>51.837000000000003</v>
      </c>
      <c r="R447" s="34">
        <v>50.701589999999996</v>
      </c>
      <c r="S447" s="34">
        <v>67113.882270000002</v>
      </c>
      <c r="T447" s="34">
        <v>65643.855588899998</v>
      </c>
      <c r="U447" s="35">
        <v>3.6448109486039186E-3</v>
      </c>
      <c r="V447" s="36">
        <v>3.5778099032184249E-3</v>
      </c>
      <c r="W447" s="36">
        <v>-6.7001045385493667E-5</v>
      </c>
      <c r="X447" s="37">
        <v>-140.64483404847425</v>
      </c>
      <c r="Y447" s="38">
        <v>-108630.37595173765</v>
      </c>
      <c r="Z447" s="39">
        <v>6.8189810295810824E-3</v>
      </c>
      <c r="AA447" s="40">
        <v>6.6957726899582425E-3</v>
      </c>
      <c r="AB447" s="40">
        <v>-1.2320833962283992E-4</v>
      </c>
      <c r="AC447" s="41">
        <v>-2.4252861136460599</v>
      </c>
      <c r="AD447" s="42">
        <v>-1873.2272969592109</v>
      </c>
      <c r="AE447" s="39">
        <v>0</v>
      </c>
      <c r="AF447" s="40">
        <v>0</v>
      </c>
      <c r="AG447" s="40">
        <v>0</v>
      </c>
      <c r="AH447" s="41">
        <v>0</v>
      </c>
      <c r="AI447" s="42">
        <v>0</v>
      </c>
      <c r="AJ447" s="41">
        <v>-143.0701201621203</v>
      </c>
      <c r="AK447" s="30">
        <v>-110503.60324869686</v>
      </c>
      <c r="AL447" s="43">
        <f>+$AL$6*W447/H447*10^6</f>
        <v>-25.874923876966143</v>
      </c>
      <c r="AM447" s="30">
        <v>729798.125</v>
      </c>
      <c r="AN447" s="44">
        <v>-0.15141667190320182</v>
      </c>
      <c r="AP447" s="32"/>
      <c r="AR447" s="32"/>
    </row>
    <row r="448" spans="1:44">
      <c r="A448" s="5" t="s">
        <v>1258</v>
      </c>
      <c r="B448" s="5" t="s">
        <v>431</v>
      </c>
      <c r="C448" s="5" t="s">
        <v>2442</v>
      </c>
      <c r="D448" s="29" t="s">
        <v>2443</v>
      </c>
      <c r="E448" s="5" t="s">
        <v>774</v>
      </c>
      <c r="F448" s="30" t="s">
        <v>1148</v>
      </c>
      <c r="G448" s="5" t="s">
        <v>970</v>
      </c>
      <c r="H448" s="31">
        <v>115.04</v>
      </c>
      <c r="I448" s="32">
        <v>297.76100000000002</v>
      </c>
      <c r="J448" s="32">
        <v>295.09219999999999</v>
      </c>
      <c r="K448" s="33">
        <v>0.9</v>
      </c>
      <c r="L448" s="33">
        <v>0.9</v>
      </c>
      <c r="M448" s="6">
        <v>1</v>
      </c>
      <c r="N448" s="6">
        <v>1</v>
      </c>
      <c r="O448" s="6">
        <v>0</v>
      </c>
      <c r="P448" s="6">
        <v>0</v>
      </c>
      <c r="Q448" s="34">
        <v>267.98490000000004</v>
      </c>
      <c r="R448" s="34">
        <v>265.58298000000002</v>
      </c>
      <c r="S448" s="34">
        <v>30828.982896000005</v>
      </c>
      <c r="T448" s="34">
        <v>30552.666019200005</v>
      </c>
      <c r="U448" s="35">
        <v>1.6742559153650903E-3</v>
      </c>
      <c r="V448" s="36">
        <v>1.6652225874389805E-3</v>
      </c>
      <c r="W448" s="36">
        <v>-9.0333279261097486E-6</v>
      </c>
      <c r="X448" s="37">
        <v>-18.962254988162119</v>
      </c>
      <c r="Y448" s="38">
        <v>-164831.84099584594</v>
      </c>
      <c r="Z448" s="39">
        <v>3.1323213978797547E-3</v>
      </c>
      <c r="AA448" s="40">
        <v>3.1164182070281513E-3</v>
      </c>
      <c r="AB448" s="40">
        <v>-1.5903190851603455E-5</v>
      </c>
      <c r="AC448" s="41">
        <v>-0.31304526993160608</v>
      </c>
      <c r="AD448" s="42">
        <v>-2721.1862824374657</v>
      </c>
      <c r="AE448" s="39">
        <v>0</v>
      </c>
      <c r="AF448" s="40">
        <v>0</v>
      </c>
      <c r="AG448" s="40">
        <v>0</v>
      </c>
      <c r="AH448" s="41">
        <v>0</v>
      </c>
      <c r="AI448" s="42">
        <v>0</v>
      </c>
      <c r="AJ448" s="41">
        <v>-19.275300258093726</v>
      </c>
      <c r="AK448" s="30">
        <v>-167553.02727828341</v>
      </c>
      <c r="AL448" s="43">
        <f>+$AL$6*W448/H448*10^6</f>
        <v>-39.261682571756559</v>
      </c>
      <c r="AM448" s="30">
        <v>1095142.5</v>
      </c>
      <c r="AN448" s="44">
        <v>-0.15299655275754837</v>
      </c>
      <c r="AP448" s="32"/>
      <c r="AR448" s="32"/>
    </row>
    <row r="449" spans="1:44">
      <c r="A449" s="5" t="s">
        <v>1185</v>
      </c>
      <c r="B449" s="5" t="s">
        <v>353</v>
      </c>
      <c r="C449" s="5" t="s">
        <v>2371</v>
      </c>
      <c r="D449" s="29" t="s">
        <v>2372</v>
      </c>
      <c r="E449" s="5" t="s">
        <v>710</v>
      </c>
      <c r="F449" s="30" t="s">
        <v>1155</v>
      </c>
      <c r="G449" s="5" t="s">
        <v>970</v>
      </c>
      <c r="H449" s="31">
        <v>78.849999999999994</v>
      </c>
      <c r="I449" s="32">
        <v>67.915999999999997</v>
      </c>
      <c r="J449" s="32">
        <v>66.818460000000002</v>
      </c>
      <c r="K449" s="33">
        <v>1</v>
      </c>
      <c r="L449" s="33">
        <v>1</v>
      </c>
      <c r="M449" s="6">
        <v>0</v>
      </c>
      <c r="N449" s="6">
        <v>0</v>
      </c>
      <c r="O449" s="6">
        <v>1</v>
      </c>
      <c r="P449" s="6">
        <v>1</v>
      </c>
      <c r="Q449" s="34">
        <v>67.915999999999997</v>
      </c>
      <c r="R449" s="34">
        <v>66.818460000000002</v>
      </c>
      <c r="S449" s="34">
        <v>5355.1765999999998</v>
      </c>
      <c r="T449" s="34">
        <v>5268.6355709999998</v>
      </c>
      <c r="U449" s="35">
        <v>2.9082815124393944E-4</v>
      </c>
      <c r="V449" s="36">
        <v>2.8715827785045763E-4</v>
      </c>
      <c r="W449" s="36">
        <v>-3.6698733934818133E-6</v>
      </c>
      <c r="X449" s="37">
        <v>-7.7035922564412935</v>
      </c>
      <c r="Y449" s="38">
        <v>-97699.33108993397</v>
      </c>
      <c r="Z449" s="39">
        <v>0</v>
      </c>
      <c r="AA449" s="40">
        <v>0</v>
      </c>
      <c r="AB449" s="40">
        <v>0</v>
      </c>
      <c r="AC449" s="41">
        <v>0</v>
      </c>
      <c r="AD449" s="42">
        <v>0</v>
      </c>
      <c r="AE449" s="39">
        <v>6.2477800357504758E-4</v>
      </c>
      <c r="AF449" s="40">
        <v>6.1666757624679073E-4</v>
      </c>
      <c r="AG449" s="40">
        <v>-8.1104273282568478E-6</v>
      </c>
      <c r="AH449" s="41">
        <v>-0.10427568767407276</v>
      </c>
      <c r="AI449" s="42">
        <v>-1322.4564067732756</v>
      </c>
      <c r="AJ449" s="41">
        <v>-7.8078679441153662</v>
      </c>
      <c r="AK449" s="30">
        <v>-99021.787496707242</v>
      </c>
      <c r="AL449" s="43">
        <f>+$AL$6*W449/H449*10^6</f>
        <v>-23.27123267902228</v>
      </c>
      <c r="AM449" s="30">
        <v>633529</v>
      </c>
      <c r="AN449" s="44">
        <v>-0.15630190172305805</v>
      </c>
      <c r="AP449" s="32"/>
      <c r="AR449" s="32"/>
    </row>
    <row r="450" spans="1:44">
      <c r="A450" s="5" t="s">
        <v>255</v>
      </c>
      <c r="B450" s="5" t="s">
        <v>555</v>
      </c>
      <c r="C450" s="5" t="s">
        <v>2478</v>
      </c>
      <c r="D450" s="29" t="s">
        <v>2479</v>
      </c>
      <c r="E450" s="5" t="s">
        <v>85</v>
      </c>
      <c r="F450" s="30" t="s">
        <v>1165</v>
      </c>
      <c r="G450" s="5" t="s">
        <v>970</v>
      </c>
      <c r="H450" s="31">
        <v>96.07</v>
      </c>
      <c r="I450" s="32">
        <v>517.91999999999996</v>
      </c>
      <c r="J450" s="32">
        <v>513.59979999999996</v>
      </c>
      <c r="K450" s="33">
        <v>1</v>
      </c>
      <c r="L450" s="33">
        <v>1</v>
      </c>
      <c r="M450" s="6">
        <v>0</v>
      </c>
      <c r="N450" s="6">
        <v>0</v>
      </c>
      <c r="O450" s="6">
        <v>1</v>
      </c>
      <c r="P450" s="6">
        <v>1</v>
      </c>
      <c r="Q450" s="34">
        <v>517.91999999999996</v>
      </c>
      <c r="R450" s="34">
        <v>513.59979999999996</v>
      </c>
      <c r="S450" s="34">
        <v>49756.57439999999</v>
      </c>
      <c r="T450" s="34">
        <v>49341.532785999996</v>
      </c>
      <c r="U450" s="35">
        <v>2.7021727994896608E-3</v>
      </c>
      <c r="V450" s="36">
        <v>2.6892787307815965E-3</v>
      </c>
      <c r="W450" s="36">
        <v>-1.2894068708064251E-5</v>
      </c>
      <c r="X450" s="37">
        <v>-27.066505354078508</v>
      </c>
      <c r="Y450" s="38">
        <v>-281737.33063472999</v>
      </c>
      <c r="Z450" s="39">
        <v>0</v>
      </c>
      <c r="AA450" s="40">
        <v>0</v>
      </c>
      <c r="AB450" s="40">
        <v>0</v>
      </c>
      <c r="AC450" s="41">
        <v>0</v>
      </c>
      <c r="AD450" s="42">
        <v>0</v>
      </c>
      <c r="AE450" s="39">
        <v>5.8050024378963182E-3</v>
      </c>
      <c r="AF450" s="40">
        <v>5.7751808834386699E-3</v>
      </c>
      <c r="AG450" s="40">
        <v>-2.9821554457648385E-5</v>
      </c>
      <c r="AH450" s="41">
        <v>-0.38341544443003434</v>
      </c>
      <c r="AI450" s="42">
        <v>-3991.0007747479376</v>
      </c>
      <c r="AJ450" s="41">
        <v>-27.449920798508543</v>
      </c>
      <c r="AK450" s="30">
        <v>-285728.33140947792</v>
      </c>
      <c r="AL450" s="43">
        <f>+$AL$6*W450/H450*10^6</f>
        <v>-67.107675174686449</v>
      </c>
      <c r="AM450" s="30">
        <v>1808959.5</v>
      </c>
      <c r="AN450" s="44">
        <v>-0.15795175702356959</v>
      </c>
      <c r="AP450" s="32"/>
      <c r="AR450" s="32"/>
    </row>
    <row r="451" spans="1:44">
      <c r="A451" s="5" t="s">
        <v>1028</v>
      </c>
      <c r="B451" s="5" t="s">
        <v>1113</v>
      </c>
      <c r="C451" s="5" t="s">
        <v>2544</v>
      </c>
      <c r="D451" s="29" t="s">
        <v>2545</v>
      </c>
      <c r="E451" s="5" t="s">
        <v>1699</v>
      </c>
      <c r="F451" s="30" t="s">
        <v>1149</v>
      </c>
      <c r="G451" s="5" t="s">
        <v>970</v>
      </c>
      <c r="H451" s="31">
        <v>77.39</v>
      </c>
      <c r="I451" s="32">
        <v>1425.067</v>
      </c>
      <c r="J451" s="32">
        <v>1414.1889999999999</v>
      </c>
      <c r="K451" s="33">
        <v>1</v>
      </c>
      <c r="L451" s="33">
        <v>1</v>
      </c>
      <c r="M451" s="6">
        <v>1</v>
      </c>
      <c r="N451" s="6">
        <v>1</v>
      </c>
      <c r="O451" s="6">
        <v>0</v>
      </c>
      <c r="P451" s="6">
        <v>0</v>
      </c>
      <c r="Q451" s="34">
        <v>1425.067</v>
      </c>
      <c r="R451" s="34">
        <v>1414.1889999999999</v>
      </c>
      <c r="S451" s="34">
        <v>110285.93513</v>
      </c>
      <c r="T451" s="34">
        <v>109444.08670999999</v>
      </c>
      <c r="U451" s="35">
        <v>5.9893925108028996E-3</v>
      </c>
      <c r="V451" s="36">
        <v>5.9650691411542601E-3</v>
      </c>
      <c r="W451" s="36">
        <v>-2.4323369648639528E-5</v>
      </c>
      <c r="X451" s="37">
        <v>-51.058252420540143</v>
      </c>
      <c r="Y451" s="38">
        <v>-659752.58328647295</v>
      </c>
      <c r="Z451" s="39">
        <v>1.1205397066073791E-2</v>
      </c>
      <c r="AA451" s="40">
        <v>1.1163462601275879E-2</v>
      </c>
      <c r="AB451" s="40">
        <v>-4.193446479791238E-5</v>
      </c>
      <c r="AC451" s="41">
        <v>-0.82545609711879497</v>
      </c>
      <c r="AD451" s="42">
        <v>-10666.185516459425</v>
      </c>
      <c r="AE451" s="39">
        <v>0</v>
      </c>
      <c r="AF451" s="40">
        <v>0</v>
      </c>
      <c r="AG451" s="40">
        <v>0</v>
      </c>
      <c r="AH451" s="41">
        <v>0</v>
      </c>
      <c r="AI451" s="42">
        <v>0</v>
      </c>
      <c r="AJ451" s="41">
        <v>-51.883708517658938</v>
      </c>
      <c r="AK451" s="30">
        <v>-670418.76880293235</v>
      </c>
      <c r="AL451" s="43">
        <f>+$AL$6*W451/H451*10^6</f>
        <v>-157.14801426954082</v>
      </c>
      <c r="AM451" s="30">
        <v>4166113.25</v>
      </c>
      <c r="AN451" s="44">
        <v>-0.1609218781565605</v>
      </c>
      <c r="AP451" s="32"/>
      <c r="AR451" s="32"/>
    </row>
    <row r="452" spans="1:44">
      <c r="A452" s="5" t="s">
        <v>318</v>
      </c>
      <c r="B452" s="5" t="s">
        <v>618</v>
      </c>
      <c r="C452" s="5" t="s">
        <v>2402</v>
      </c>
      <c r="D452" s="29" t="s">
        <v>2403</v>
      </c>
      <c r="E452" s="5" t="s">
        <v>144</v>
      </c>
      <c r="F452" s="30" t="s">
        <v>1156</v>
      </c>
      <c r="G452" s="5" t="s">
        <v>968</v>
      </c>
      <c r="H452" s="31">
        <v>96.9</v>
      </c>
      <c r="I452" s="32">
        <v>188.273</v>
      </c>
      <c r="J452" s="32">
        <v>188.4965</v>
      </c>
      <c r="K452" s="33">
        <v>0.93</v>
      </c>
      <c r="L452" s="33">
        <v>0.92</v>
      </c>
      <c r="M452" s="6">
        <v>0.61</v>
      </c>
      <c r="N452" s="6">
        <v>0.61</v>
      </c>
      <c r="O452" s="6">
        <v>0.39</v>
      </c>
      <c r="P452" s="6">
        <v>0.39</v>
      </c>
      <c r="Q452" s="34">
        <v>175.09389000000002</v>
      </c>
      <c r="R452" s="34">
        <v>173.41678000000002</v>
      </c>
      <c r="S452" s="34">
        <v>16966.597941000004</v>
      </c>
      <c r="T452" s="34">
        <v>16804.085982000004</v>
      </c>
      <c r="U452" s="35">
        <v>9.2141953116546343E-4</v>
      </c>
      <c r="V452" s="36">
        <v>9.1587894558557562E-4</v>
      </c>
      <c r="W452" s="36">
        <v>-5.5405855798878068E-6</v>
      </c>
      <c r="X452" s="37">
        <v>-11.630486284672296</v>
      </c>
      <c r="Y452" s="38">
        <v>-120025.65825255206</v>
      </c>
      <c r="Z452" s="39">
        <v>1.0515543491995813E-3</v>
      </c>
      <c r="AA452" s="40">
        <v>1.045565754525502E-3</v>
      </c>
      <c r="AB452" s="40">
        <v>-5.9885946740792506E-6</v>
      </c>
      <c r="AC452" s="41">
        <v>-0.11788208125975541</v>
      </c>
      <c r="AD452" s="42">
        <v>-1216.533346333905</v>
      </c>
      <c r="AE452" s="39">
        <v>7.7198935021582915E-4</v>
      </c>
      <c r="AF452" s="40">
        <v>7.6706551159740869E-4</v>
      </c>
      <c r="AG452" s="40">
        <v>-4.9238386184204683E-6</v>
      </c>
      <c r="AH452" s="41">
        <v>-6.3305746682807931E-2</v>
      </c>
      <c r="AI452" s="42">
        <v>-653.31007928594352</v>
      </c>
      <c r="AJ452" s="41">
        <v>-11.81167411261486</v>
      </c>
      <c r="AK452" s="30">
        <v>-121895.50167817192</v>
      </c>
      <c r="AL452" s="43">
        <f>+$AL$6*W452/H452*10^6</f>
        <v>-28.589192878678052</v>
      </c>
      <c r="AM452" s="30">
        <v>754942.9375</v>
      </c>
      <c r="AN452" s="44">
        <v>-0.16146319890325739</v>
      </c>
      <c r="AP452" s="32"/>
      <c r="AR452" s="32"/>
    </row>
    <row r="453" spans="1:44">
      <c r="A453" s="5" t="s">
        <v>1353</v>
      </c>
      <c r="B453" s="5" t="s">
        <v>523</v>
      </c>
      <c r="C453" s="5" t="s">
        <v>2429</v>
      </c>
      <c r="D453" s="29" t="s">
        <v>2430</v>
      </c>
      <c r="E453" s="5" t="s">
        <v>57</v>
      </c>
      <c r="F453" s="30" t="s">
        <v>1160</v>
      </c>
      <c r="G453" s="5" t="s">
        <v>970</v>
      </c>
      <c r="H453" s="31">
        <v>34.1</v>
      </c>
      <c r="I453" s="32">
        <v>177.96899999999999</v>
      </c>
      <c r="J453" s="32">
        <v>172.75190000000001</v>
      </c>
      <c r="K453" s="33">
        <v>0.94</v>
      </c>
      <c r="L453" s="33">
        <v>0.94</v>
      </c>
      <c r="M453" s="6">
        <v>0</v>
      </c>
      <c r="N453" s="6">
        <v>0</v>
      </c>
      <c r="O453" s="6">
        <v>1</v>
      </c>
      <c r="P453" s="6">
        <v>1</v>
      </c>
      <c r="Q453" s="34">
        <v>167.29085999999998</v>
      </c>
      <c r="R453" s="34">
        <v>162.386786</v>
      </c>
      <c r="S453" s="34">
        <v>5704.6183259999998</v>
      </c>
      <c r="T453" s="34">
        <v>5537.3894025999998</v>
      </c>
      <c r="U453" s="35">
        <v>3.0980558163158927E-4</v>
      </c>
      <c r="V453" s="36">
        <v>3.0180626145227655E-4</v>
      </c>
      <c r="W453" s="36">
        <v>-7.9993201793127121E-6</v>
      </c>
      <c r="X453" s="37">
        <v>-16.791723959632936</v>
      </c>
      <c r="Y453" s="38">
        <v>-492425.92256988084</v>
      </c>
      <c r="Z453" s="39">
        <v>0</v>
      </c>
      <c r="AA453" s="40">
        <v>0</v>
      </c>
      <c r="AB453" s="40">
        <v>0</v>
      </c>
      <c r="AC453" s="41">
        <v>0</v>
      </c>
      <c r="AD453" s="42">
        <v>0</v>
      </c>
      <c r="AE453" s="39">
        <v>6.6554668783022207E-4</v>
      </c>
      <c r="AF453" s="40">
        <v>6.4812387488548243E-4</v>
      </c>
      <c r="AG453" s="40">
        <v>-1.7422812944739639E-5</v>
      </c>
      <c r="AH453" s="41">
        <v>-0.22400494172480764</v>
      </c>
      <c r="AI453" s="42">
        <v>-6569.0598746277901</v>
      </c>
      <c r="AJ453" s="41">
        <v>-17.015728901357743</v>
      </c>
      <c r="AK453" s="30">
        <v>-498994.98244450864</v>
      </c>
      <c r="AL453" s="43">
        <f>+$AL$6*W453/H453*10^6</f>
        <v>-117.29208474065558</v>
      </c>
      <c r="AM453" s="30">
        <v>3025622.25</v>
      </c>
      <c r="AN453" s="44">
        <v>-0.16492309390060461</v>
      </c>
      <c r="AP453" s="32"/>
      <c r="AR453" s="32"/>
    </row>
    <row r="454" spans="1:44">
      <c r="A454" s="5" t="s">
        <v>1245</v>
      </c>
      <c r="B454" s="5" t="s">
        <v>418</v>
      </c>
      <c r="C454" s="5" t="s">
        <v>2512</v>
      </c>
      <c r="D454" s="29" t="s">
        <v>638</v>
      </c>
      <c r="E454" s="5" t="s">
        <v>763</v>
      </c>
      <c r="F454" s="30" t="s">
        <v>1157</v>
      </c>
      <c r="G454" s="5" t="s">
        <v>970</v>
      </c>
      <c r="H454" s="31">
        <v>55.5</v>
      </c>
      <c r="I454" s="32">
        <v>442.505</v>
      </c>
      <c r="J454" s="32">
        <v>435.30679999999995</v>
      </c>
      <c r="K454" s="33">
        <v>1</v>
      </c>
      <c r="L454" s="33">
        <v>1</v>
      </c>
      <c r="M454" s="6">
        <v>0.7</v>
      </c>
      <c r="N454" s="6">
        <v>0.7</v>
      </c>
      <c r="O454" s="6">
        <v>0.3</v>
      </c>
      <c r="P454" s="6">
        <v>0.3</v>
      </c>
      <c r="Q454" s="34">
        <v>442.505</v>
      </c>
      <c r="R454" s="34">
        <v>435.30679999999995</v>
      </c>
      <c r="S454" s="34">
        <v>24559.0275</v>
      </c>
      <c r="T454" s="34">
        <v>24159.527399999999</v>
      </c>
      <c r="U454" s="35">
        <v>1.3337480904316149E-3</v>
      </c>
      <c r="V454" s="36">
        <v>1.3167751286597658E-3</v>
      </c>
      <c r="W454" s="36">
        <v>-1.6972961771849092E-5</v>
      </c>
      <c r="X454" s="37">
        <v>-35.628688746245366</v>
      </c>
      <c r="Y454" s="38">
        <v>-641958.35578820482</v>
      </c>
      <c r="Z454" s="39">
        <v>1.746691978980075E-3</v>
      </c>
      <c r="AA454" s="40">
        <v>1.7250158696680846E-3</v>
      </c>
      <c r="AB454" s="40">
        <v>-2.1676109311990436E-5</v>
      </c>
      <c r="AC454" s="41">
        <v>-0.42668188755056541</v>
      </c>
      <c r="AD454" s="42">
        <v>-7687.9619378480247</v>
      </c>
      <c r="AE454" s="39">
        <v>8.5957614383032821E-4</v>
      </c>
      <c r="AF454" s="40">
        <v>8.4832573847187787E-4</v>
      </c>
      <c r="AG454" s="40">
        <v>-1.125040535845034E-5</v>
      </c>
      <c r="AH454" s="41">
        <v>-0.14464635559673067</v>
      </c>
      <c r="AI454" s="42">
        <v>-2606.2406413825342</v>
      </c>
      <c r="AJ454" s="41">
        <v>-36.200016989392665</v>
      </c>
      <c r="AK454" s="30">
        <v>-652252.55836743535</v>
      </c>
      <c r="AL454" s="43">
        <f>+$AL$6*W454/H454*10^6</f>
        <v>-152.90956551215399</v>
      </c>
      <c r="AM454" s="30">
        <v>3831547.75</v>
      </c>
      <c r="AN454" s="44">
        <v>-0.1702321361824175</v>
      </c>
      <c r="AP454" s="32"/>
      <c r="AR454" s="32"/>
    </row>
    <row r="455" spans="1:44">
      <c r="A455" s="5" t="s">
        <v>226</v>
      </c>
      <c r="B455" s="5" t="s">
        <v>526</v>
      </c>
      <c r="C455" s="5" t="s">
        <v>2387</v>
      </c>
      <c r="D455" s="29" t="s">
        <v>2388</v>
      </c>
      <c r="E455" s="5" t="s">
        <v>59</v>
      </c>
      <c r="F455" s="30" t="s">
        <v>1157</v>
      </c>
      <c r="G455" s="5" t="s">
        <v>968</v>
      </c>
      <c r="H455" s="31">
        <v>53.04</v>
      </c>
      <c r="I455" s="32">
        <v>169.18799999999999</v>
      </c>
      <c r="J455" s="32">
        <v>168.92999999999998</v>
      </c>
      <c r="K455" s="33">
        <v>0.7</v>
      </c>
      <c r="L455" s="33">
        <v>0.69</v>
      </c>
      <c r="M455" s="6">
        <v>0</v>
      </c>
      <c r="N455" s="6">
        <v>0</v>
      </c>
      <c r="O455" s="6">
        <v>1</v>
      </c>
      <c r="P455" s="6">
        <v>1</v>
      </c>
      <c r="Q455" s="34">
        <v>118.43159999999999</v>
      </c>
      <c r="R455" s="34">
        <v>116.56169999999997</v>
      </c>
      <c r="S455" s="34">
        <v>6281.612063999999</v>
      </c>
      <c r="T455" s="34">
        <v>6182.4325679999984</v>
      </c>
      <c r="U455" s="35">
        <v>3.41140873562367E-4</v>
      </c>
      <c r="V455" s="36">
        <v>3.3696327355139092E-4</v>
      </c>
      <c r="W455" s="36">
        <v>-4.1776000109760821E-6</v>
      </c>
      <c r="X455" s="37">
        <v>-8.7693834757964364</v>
      </c>
      <c r="Y455" s="38">
        <v>-165335.28423447278</v>
      </c>
      <c r="Z455" s="39">
        <v>0</v>
      </c>
      <c r="AA455" s="40">
        <v>0</v>
      </c>
      <c r="AB455" s="40">
        <v>0</v>
      </c>
      <c r="AC455" s="41">
        <v>0</v>
      </c>
      <c r="AD455" s="42">
        <v>0</v>
      </c>
      <c r="AE455" s="39">
        <v>7.3286342126959055E-4</v>
      </c>
      <c r="AF455" s="40">
        <v>7.2362296758630399E-4</v>
      </c>
      <c r="AG455" s="40">
        <v>-9.2404536832865628E-6</v>
      </c>
      <c r="AH455" s="41">
        <v>-0.11880442586398454</v>
      </c>
      <c r="AI455" s="42">
        <v>-2239.9024484159982</v>
      </c>
      <c r="AJ455" s="41">
        <v>-8.8881879016604213</v>
      </c>
      <c r="AK455" s="30">
        <v>-167575.18668288877</v>
      </c>
      <c r="AL455" s="43">
        <f>+$AL$6*W455/H455*10^6</f>
        <v>-39.381598896833353</v>
      </c>
      <c r="AM455" s="30">
        <v>978886.125</v>
      </c>
      <c r="AN455" s="44">
        <v>-0.17118966384663872</v>
      </c>
      <c r="AP455" s="32"/>
      <c r="AR455" s="32"/>
    </row>
    <row r="456" spans="1:44">
      <c r="A456" s="5" t="s">
        <v>248</v>
      </c>
      <c r="B456" s="5" t="s">
        <v>548</v>
      </c>
      <c r="C456" s="5" t="s">
        <v>2410</v>
      </c>
      <c r="D456" s="29" t="s">
        <v>2411</v>
      </c>
      <c r="E456" s="5" t="s">
        <v>80</v>
      </c>
      <c r="F456" s="30" t="s">
        <v>1155</v>
      </c>
      <c r="G456" s="5" t="s">
        <v>968</v>
      </c>
      <c r="H456" s="31">
        <v>55.98</v>
      </c>
      <c r="I456" s="32">
        <v>294.68200000000002</v>
      </c>
      <c r="J456" s="32">
        <v>294.74469999999997</v>
      </c>
      <c r="K456" s="33">
        <v>0.93</v>
      </c>
      <c r="L456" s="33">
        <v>0.92</v>
      </c>
      <c r="M456" s="6">
        <v>0</v>
      </c>
      <c r="N456" s="6">
        <v>0</v>
      </c>
      <c r="O456" s="6">
        <v>1</v>
      </c>
      <c r="P456" s="6">
        <v>1</v>
      </c>
      <c r="Q456" s="34">
        <v>274.05426000000006</v>
      </c>
      <c r="R456" s="34">
        <v>271.16512399999999</v>
      </c>
      <c r="S456" s="34">
        <v>15341.557474800002</v>
      </c>
      <c r="T456" s="34">
        <v>15179.823641519999</v>
      </c>
      <c r="U456" s="35">
        <v>8.3316707008294075E-4</v>
      </c>
      <c r="V456" s="36">
        <v>8.273512100487136E-4</v>
      </c>
      <c r="W456" s="36">
        <v>-5.8158600342271549E-6</v>
      </c>
      <c r="X456" s="37">
        <v>-12.208326969479346</v>
      </c>
      <c r="Y456" s="38">
        <v>-218083.72578562607</v>
      </c>
      <c r="Z456" s="39">
        <v>0</v>
      </c>
      <c r="AA456" s="40">
        <v>0</v>
      </c>
      <c r="AB456" s="40">
        <v>0</v>
      </c>
      <c r="AC456" s="41">
        <v>0</v>
      </c>
      <c r="AD456" s="42">
        <v>0</v>
      </c>
      <c r="AE456" s="39">
        <v>1.7898695723381735E-3</v>
      </c>
      <c r="AF456" s="40">
        <v>1.7767228206852705E-3</v>
      </c>
      <c r="AG456" s="40">
        <v>-1.3146751652903018E-5</v>
      </c>
      <c r="AH456" s="41">
        <v>-0.16902766202102892</v>
      </c>
      <c r="AI456" s="42">
        <v>-3019.4294751880839</v>
      </c>
      <c r="AJ456" s="41">
        <v>-12.377354631500374</v>
      </c>
      <c r="AK456" s="30">
        <v>-221103.15526081415</v>
      </c>
      <c r="AL456" s="43">
        <f>+$AL$6*W456/H456*10^6</f>
        <v>-51.945873831968164</v>
      </c>
      <c r="AM456" s="30">
        <v>1277359.125</v>
      </c>
      <c r="AN456" s="44">
        <v>-0.17309396467560692</v>
      </c>
      <c r="AP456" s="32"/>
      <c r="AR456" s="32"/>
    </row>
    <row r="457" spans="1:44">
      <c r="A457" s="5" t="s">
        <v>316</v>
      </c>
      <c r="B457" s="5" t="s">
        <v>616</v>
      </c>
      <c r="C457" s="5" t="s">
        <v>2568</v>
      </c>
      <c r="D457" s="29" t="s">
        <v>2569</v>
      </c>
      <c r="E457" s="5" t="s">
        <v>142</v>
      </c>
      <c r="F457" s="30" t="s">
        <v>1160</v>
      </c>
      <c r="G457" s="5" t="s">
        <v>970</v>
      </c>
      <c r="H457" s="31">
        <v>70.19</v>
      </c>
      <c r="I457" s="32">
        <v>508.62099999999998</v>
      </c>
      <c r="J457" s="32">
        <v>497.11179999999996</v>
      </c>
      <c r="K457" s="33">
        <v>1</v>
      </c>
      <c r="L457" s="33">
        <v>1</v>
      </c>
      <c r="M457" s="6">
        <v>0</v>
      </c>
      <c r="N457" s="6">
        <v>0</v>
      </c>
      <c r="O457" s="6">
        <v>1</v>
      </c>
      <c r="P457" s="6">
        <v>1</v>
      </c>
      <c r="Q457" s="34">
        <v>508.62099999999998</v>
      </c>
      <c r="R457" s="34">
        <v>497.11179999999996</v>
      </c>
      <c r="S457" s="34">
        <v>35700.107989999997</v>
      </c>
      <c r="T457" s="34">
        <v>34892.277241999996</v>
      </c>
      <c r="U457" s="35">
        <v>1.9387962678841797E-3</v>
      </c>
      <c r="V457" s="36">
        <v>1.9017459279673976E-3</v>
      </c>
      <c r="W457" s="36">
        <v>-3.7050339916782065E-5</v>
      </c>
      <c r="X457" s="37">
        <v>-77.773994107912685</v>
      </c>
      <c r="Y457" s="38">
        <v>-1108049.4957673841</v>
      </c>
      <c r="Z457" s="39">
        <v>0</v>
      </c>
      <c r="AA457" s="40">
        <v>0</v>
      </c>
      <c r="AB457" s="40">
        <v>0</v>
      </c>
      <c r="AC457" s="41">
        <v>0</v>
      </c>
      <c r="AD457" s="42">
        <v>0</v>
      </c>
      <c r="AE457" s="39">
        <v>4.1650619323003847E-3</v>
      </c>
      <c r="AF457" s="40">
        <v>4.0839674231769318E-3</v>
      </c>
      <c r="AG457" s="40">
        <v>-8.1094509123452903E-5</v>
      </c>
      <c r="AH457" s="41">
        <v>-1.0426313390390596</v>
      </c>
      <c r="AI457" s="42">
        <v>-14854.414290341354</v>
      </c>
      <c r="AJ457" s="41">
        <v>-78.816625446951747</v>
      </c>
      <c r="AK457" s="30">
        <v>-1122903.9100577254</v>
      </c>
      <c r="AL457" s="43">
        <f>+$AL$6*W457/H457*10^6</f>
        <v>-263.92890665894049</v>
      </c>
      <c r="AM457" s="30">
        <v>6343410</v>
      </c>
      <c r="AN457" s="44">
        <v>-0.17701897087808063</v>
      </c>
      <c r="AP457" s="32"/>
      <c r="AR457" s="32"/>
    </row>
    <row r="458" spans="1:44">
      <c r="A458" s="5" t="s">
        <v>325</v>
      </c>
      <c r="B458" s="5" t="s">
        <v>624</v>
      </c>
      <c r="C458" s="5" t="s">
        <v>2452</v>
      </c>
      <c r="D458" s="29" t="s">
        <v>2453</v>
      </c>
      <c r="E458" s="5" t="s">
        <v>151</v>
      </c>
      <c r="F458" s="30" t="s">
        <v>1163</v>
      </c>
      <c r="G458" s="5" t="s">
        <v>970</v>
      </c>
      <c r="H458" s="31">
        <v>51.85</v>
      </c>
      <c r="I458" s="32">
        <v>457.822</v>
      </c>
      <c r="J458" s="32">
        <v>452.25039999999996</v>
      </c>
      <c r="K458" s="33">
        <v>0.93</v>
      </c>
      <c r="L458" s="33">
        <v>0.93</v>
      </c>
      <c r="M458" s="6">
        <v>0.5</v>
      </c>
      <c r="N458" s="6">
        <v>0.5</v>
      </c>
      <c r="O458" s="6">
        <v>0.5</v>
      </c>
      <c r="P458" s="6">
        <v>0.5</v>
      </c>
      <c r="Q458" s="34">
        <v>425.77446000000003</v>
      </c>
      <c r="R458" s="34">
        <v>420.592872</v>
      </c>
      <c r="S458" s="34">
        <v>22076.405751000002</v>
      </c>
      <c r="T458" s="34">
        <v>21807.740413200001</v>
      </c>
      <c r="U458" s="35">
        <v>1.1989222298802254E-3</v>
      </c>
      <c r="V458" s="36">
        <v>1.1885948641681711E-3</v>
      </c>
      <c r="W458" s="36">
        <v>-1.0327365712054252E-5</v>
      </c>
      <c r="X458" s="37">
        <v>-21.678626480718325</v>
      </c>
      <c r="Y458" s="38">
        <v>-418102.72865416249</v>
      </c>
      <c r="Z458" s="39">
        <v>1.1215160479897813E-3</v>
      </c>
      <c r="AA458" s="40">
        <v>1.1122112753618812E-3</v>
      </c>
      <c r="AB458" s="40">
        <v>-9.3047726279001531E-6</v>
      </c>
      <c r="AC458" s="41">
        <v>-0.18315915882123338</v>
      </c>
      <c r="AD458" s="42">
        <v>-3532.4813658868538</v>
      </c>
      <c r="AE458" s="39">
        <v>1.2878055890091916E-3</v>
      </c>
      <c r="AF458" s="40">
        <v>1.2762437487657497E-3</v>
      </c>
      <c r="AG458" s="40">
        <v>-1.1561840243441875E-5</v>
      </c>
      <c r="AH458" s="41">
        <v>-0.14865047097608244</v>
      </c>
      <c r="AI458" s="42">
        <v>-2866.932902142381</v>
      </c>
      <c r="AJ458" s="41">
        <v>-22.010436110515641</v>
      </c>
      <c r="AK458" s="30">
        <v>-424502.14292219176</v>
      </c>
      <c r="AL458" s="43">
        <f>+$AL$6*W458/H458*10^6</f>
        <v>-99.588868968700595</v>
      </c>
      <c r="AM458" s="30">
        <v>2391335.75</v>
      </c>
      <c r="AN458" s="44">
        <v>-0.17751674683163657</v>
      </c>
      <c r="AP458" s="32"/>
      <c r="AR458" s="32"/>
    </row>
    <row r="459" spans="1:44">
      <c r="A459" s="5" t="s">
        <v>835</v>
      </c>
      <c r="B459" s="5" t="s">
        <v>191</v>
      </c>
      <c r="C459" s="5" t="s">
        <v>2380</v>
      </c>
      <c r="D459" s="29" t="s">
        <v>2381</v>
      </c>
      <c r="E459" s="5" t="s">
        <v>693</v>
      </c>
      <c r="F459" s="30" t="s">
        <v>1159</v>
      </c>
      <c r="G459" s="5" t="s">
        <v>968</v>
      </c>
      <c r="H459" s="31">
        <v>32.57</v>
      </c>
      <c r="I459" s="32">
        <v>128.131</v>
      </c>
      <c r="J459" s="32">
        <v>128.13129999999998</v>
      </c>
      <c r="K459" s="33">
        <v>0.76</v>
      </c>
      <c r="L459" s="33">
        <v>0.74</v>
      </c>
      <c r="M459" s="6">
        <v>0</v>
      </c>
      <c r="N459" s="6">
        <v>0</v>
      </c>
      <c r="O459" s="6">
        <v>1</v>
      </c>
      <c r="P459" s="6">
        <v>1</v>
      </c>
      <c r="Q459" s="34">
        <v>97.379559999999998</v>
      </c>
      <c r="R459" s="34">
        <v>94.817161999999982</v>
      </c>
      <c r="S459" s="34">
        <v>3171.6522691999999</v>
      </c>
      <c r="T459" s="34">
        <v>3088.1949663399996</v>
      </c>
      <c r="U459" s="35">
        <v>1.7224562974077855E-4</v>
      </c>
      <c r="V459" s="36">
        <v>1.6831696484794625E-4</v>
      </c>
      <c r="W459" s="36">
        <v>-3.9286648928323E-6</v>
      </c>
      <c r="X459" s="37">
        <v>-8.2468328472393804</v>
      </c>
      <c r="Y459" s="38">
        <v>-253203.3419477857</v>
      </c>
      <c r="Z459" s="39">
        <v>0</v>
      </c>
      <c r="AA459" s="40">
        <v>0</v>
      </c>
      <c r="AB459" s="40">
        <v>0</v>
      </c>
      <c r="AC459" s="41">
        <v>0</v>
      </c>
      <c r="AD459" s="42">
        <v>0</v>
      </c>
      <c r="AE459" s="39">
        <v>3.7003048093410128E-4</v>
      </c>
      <c r="AF459" s="40">
        <v>3.614578535954745E-4</v>
      </c>
      <c r="AG459" s="40">
        <v>-8.5726273386267779E-6</v>
      </c>
      <c r="AH459" s="41">
        <v>-0.11021818884862514</v>
      </c>
      <c r="AI459" s="42">
        <v>-3384.0401857115485</v>
      </c>
      <c r="AJ459" s="41">
        <v>-8.3570510360880057</v>
      </c>
      <c r="AK459" s="30">
        <v>-256587.38213349725</v>
      </c>
      <c r="AL459" s="43">
        <f>+$AL$6*W459/H459*10^6</f>
        <v>-60.311097525825907</v>
      </c>
      <c r="AM459" s="30">
        <v>1426373.875</v>
      </c>
      <c r="AN459" s="44">
        <v>-0.17988788678108483</v>
      </c>
      <c r="AP459" s="32"/>
      <c r="AR459" s="32"/>
    </row>
    <row r="460" spans="1:44">
      <c r="A460" s="5" t="s">
        <v>277</v>
      </c>
      <c r="B460" s="5" t="s">
        <v>577</v>
      </c>
      <c r="C460" s="5" t="s">
        <v>2456</v>
      </c>
      <c r="D460" s="29" t="s">
        <v>2457</v>
      </c>
      <c r="E460" s="5" t="s">
        <v>105</v>
      </c>
      <c r="F460" s="30" t="s">
        <v>1148</v>
      </c>
      <c r="G460" s="5" t="s">
        <v>970</v>
      </c>
      <c r="H460" s="31">
        <v>54.04</v>
      </c>
      <c r="I460" s="32">
        <v>210.166</v>
      </c>
      <c r="J460" s="32">
        <v>205.84219999999999</v>
      </c>
      <c r="K460" s="33">
        <v>1</v>
      </c>
      <c r="L460" s="33">
        <v>1</v>
      </c>
      <c r="M460" s="6">
        <v>0.64</v>
      </c>
      <c r="N460" s="6">
        <v>0.64</v>
      </c>
      <c r="O460" s="6">
        <v>0.36</v>
      </c>
      <c r="P460" s="6">
        <v>0.36</v>
      </c>
      <c r="Q460" s="34">
        <v>210.166</v>
      </c>
      <c r="R460" s="34">
        <v>205.84219999999999</v>
      </c>
      <c r="S460" s="34">
        <v>11357.370639999999</v>
      </c>
      <c r="T460" s="34">
        <v>11123.712487999999</v>
      </c>
      <c r="U460" s="35">
        <v>6.1679443143357717E-4</v>
      </c>
      <c r="V460" s="36">
        <v>6.0627957244562838E-4</v>
      </c>
      <c r="W460" s="36">
        <v>-1.0514858987948792E-5</v>
      </c>
      <c r="X460" s="37">
        <v>-22.072201842440993</v>
      </c>
      <c r="Y460" s="38">
        <v>-408441.9289866949</v>
      </c>
      <c r="Z460" s="39">
        <v>7.3852447638553113E-4</v>
      </c>
      <c r="AA460" s="40">
        <v>7.2616673345499041E-4</v>
      </c>
      <c r="AB460" s="40">
        <v>-1.2357742930540713E-5</v>
      </c>
      <c r="AC460" s="41">
        <v>-0.24325514341962798</v>
      </c>
      <c r="AD460" s="42">
        <v>-4501.3905147969645</v>
      </c>
      <c r="AE460" s="39">
        <v>4.7701521693151665E-4</v>
      </c>
      <c r="AF460" s="40">
        <v>4.6871106978349828E-4</v>
      </c>
      <c r="AG460" s="40">
        <v>-8.3041471480183732E-6</v>
      </c>
      <c r="AH460" s="41">
        <v>-0.10676634156987336</v>
      </c>
      <c r="AI460" s="42">
        <v>-1975.6909987023196</v>
      </c>
      <c r="AJ460" s="41">
        <v>-22.422223327430494</v>
      </c>
      <c r="AK460" s="30">
        <v>-414919.01050019416</v>
      </c>
      <c r="AL460" s="43">
        <f>+$AL$6*W460/H460*10^6</f>
        <v>-97.287740451043604</v>
      </c>
      <c r="AM460" s="30">
        <v>2257083.5</v>
      </c>
      <c r="AN460" s="44">
        <v>-0.18382971232574877</v>
      </c>
      <c r="AP460" s="32"/>
      <c r="AR460" s="32"/>
    </row>
    <row r="461" spans="1:44">
      <c r="A461" s="5" t="s">
        <v>1273</v>
      </c>
      <c r="B461" s="5" t="s">
        <v>446</v>
      </c>
      <c r="C461" s="5" t="s">
        <v>2432</v>
      </c>
      <c r="D461" s="29" t="s">
        <v>2433</v>
      </c>
      <c r="E461" s="5" t="s">
        <v>788</v>
      </c>
      <c r="F461" s="30" t="s">
        <v>1164</v>
      </c>
      <c r="G461" s="5" t="s">
        <v>970</v>
      </c>
      <c r="H461" s="31">
        <v>40.46</v>
      </c>
      <c r="I461" s="32">
        <v>295.49299999999999</v>
      </c>
      <c r="J461" s="32">
        <v>290.1651</v>
      </c>
      <c r="K461" s="33">
        <v>0.92</v>
      </c>
      <c r="L461" s="33">
        <v>0.92</v>
      </c>
      <c r="M461" s="6">
        <v>0.63</v>
      </c>
      <c r="N461" s="6">
        <v>0.63</v>
      </c>
      <c r="O461" s="6">
        <v>0.37</v>
      </c>
      <c r="P461" s="6">
        <v>0.37</v>
      </c>
      <c r="Q461" s="34">
        <v>271.85356000000002</v>
      </c>
      <c r="R461" s="34">
        <v>266.95189199999999</v>
      </c>
      <c r="S461" s="34">
        <v>10999.1950376</v>
      </c>
      <c r="T461" s="34">
        <v>10800.873550320001</v>
      </c>
      <c r="U461" s="35">
        <v>5.9734268295777979E-4</v>
      </c>
      <c r="V461" s="36">
        <v>5.8868376948716637E-4</v>
      </c>
      <c r="W461" s="36">
        <v>-8.6589134706134248E-6</v>
      </c>
      <c r="X461" s="37">
        <v>-18.176305177145714</v>
      </c>
      <c r="Y461" s="38">
        <v>-449241.35385926132</v>
      </c>
      <c r="Z461" s="39">
        <v>7.0405821943364934E-4</v>
      </c>
      <c r="AA461" s="40">
        <v>6.9407444007047272E-4</v>
      </c>
      <c r="AB461" s="40">
        <v>-9.983779363176618E-6</v>
      </c>
      <c r="AC461" s="41">
        <v>-0.19652502034634789</v>
      </c>
      <c r="AD461" s="42">
        <v>-4857.2669388617869</v>
      </c>
      <c r="AE461" s="39">
        <v>4.7480420965276678E-4</v>
      </c>
      <c r="AF461" s="40">
        <v>4.6774974598842771E-4</v>
      </c>
      <c r="AG461" s="40">
        <v>-7.0544636643390642E-6</v>
      </c>
      <c r="AH461" s="41">
        <v>-9.0699172805339429E-2</v>
      </c>
      <c r="AI461" s="42">
        <v>-2241.6997727468961</v>
      </c>
      <c r="AJ461" s="41">
        <v>-18.463529370297401</v>
      </c>
      <c r="AK461" s="30">
        <v>-456340.32057087001</v>
      </c>
      <c r="AL461" s="43">
        <f>+$AL$6*W461/H461*10^6</f>
        <v>-107.00585109507445</v>
      </c>
      <c r="AM461" s="30">
        <v>2312479.25</v>
      </c>
      <c r="AN461" s="44">
        <v>-0.1973381255511244</v>
      </c>
      <c r="AP461" s="32"/>
      <c r="AR461" s="32"/>
    </row>
    <row r="462" spans="1:44">
      <c r="A462" s="5" t="s">
        <v>1332</v>
      </c>
      <c r="B462" s="5" t="s">
        <v>504</v>
      </c>
      <c r="C462" s="5" t="s">
        <v>2466</v>
      </c>
      <c r="D462" s="29" t="s">
        <v>2467</v>
      </c>
      <c r="E462" s="5" t="s">
        <v>1373</v>
      </c>
      <c r="F462" s="30" t="s">
        <v>1166</v>
      </c>
      <c r="G462" s="5" t="s">
        <v>970</v>
      </c>
      <c r="H462" s="31">
        <v>51.73</v>
      </c>
      <c r="I462" s="32">
        <v>205.20400000000001</v>
      </c>
      <c r="J462" s="32">
        <v>173.9374</v>
      </c>
      <c r="K462" s="33">
        <v>0.87</v>
      </c>
      <c r="L462" s="33">
        <v>1</v>
      </c>
      <c r="M462" s="6">
        <v>1</v>
      </c>
      <c r="N462" s="6">
        <v>1</v>
      </c>
      <c r="O462" s="6">
        <v>0</v>
      </c>
      <c r="P462" s="6">
        <v>0</v>
      </c>
      <c r="Q462" s="34">
        <v>178.52748</v>
      </c>
      <c r="R462" s="34">
        <v>173.9374</v>
      </c>
      <c r="S462" s="34">
        <v>9235.2265403999991</v>
      </c>
      <c r="T462" s="34">
        <v>8997.7817019999984</v>
      </c>
      <c r="U462" s="35">
        <v>5.0154533859135379E-4</v>
      </c>
      <c r="V462" s="36">
        <v>4.9040922705729476E-4</v>
      </c>
      <c r="W462" s="36">
        <v>-1.113611153405903E-5</v>
      </c>
      <c r="X462" s="37">
        <v>-23.376300319519146</v>
      </c>
      <c r="Y462" s="38">
        <v>-451890.59191028704</v>
      </c>
      <c r="Z462" s="39">
        <v>9.3832799493736273E-4</v>
      </c>
      <c r="AA462" s="40">
        <v>9.1778736105569379E-4</v>
      </c>
      <c r="AB462" s="40">
        <v>-2.0540633881668932E-5</v>
      </c>
      <c r="AC462" s="41">
        <v>-0.40433069929516807</v>
      </c>
      <c r="AD462" s="42">
        <v>-7816.1743532798782</v>
      </c>
      <c r="AE462" s="39">
        <v>0</v>
      </c>
      <c r="AF462" s="40">
        <v>0</v>
      </c>
      <c r="AG462" s="40">
        <v>0</v>
      </c>
      <c r="AH462" s="41">
        <v>0</v>
      </c>
      <c r="AI462" s="42">
        <v>0</v>
      </c>
      <c r="AJ462" s="41">
        <v>-23.780631018814315</v>
      </c>
      <c r="AK462" s="30">
        <v>-459706.76626356691</v>
      </c>
      <c r="AL462" s="43">
        <f>+$AL$6*W462/H462*10^6</f>
        <v>-107.63687931624813</v>
      </c>
      <c r="AM462" s="30">
        <v>2311442</v>
      </c>
      <c r="AN462" s="44">
        <v>-0.19888310684999533</v>
      </c>
      <c r="AP462" s="32"/>
      <c r="AR462" s="32"/>
    </row>
    <row r="463" spans="1:44">
      <c r="A463" s="5" t="s">
        <v>1290</v>
      </c>
      <c r="B463" s="5" t="s">
        <v>464</v>
      </c>
      <c r="C463" s="5" t="s">
        <v>2493</v>
      </c>
      <c r="D463" s="29" t="s">
        <v>2494</v>
      </c>
      <c r="E463" s="5" t="s">
        <v>688</v>
      </c>
      <c r="F463" s="30" t="s">
        <v>1159</v>
      </c>
      <c r="G463" s="5" t="s">
        <v>968</v>
      </c>
      <c r="H463" s="31">
        <v>35.1</v>
      </c>
      <c r="I463" s="32">
        <v>417.35500000000002</v>
      </c>
      <c r="J463" s="32">
        <v>417.35519999999997</v>
      </c>
      <c r="K463" s="33">
        <v>0.63</v>
      </c>
      <c r="L463" s="33">
        <v>0.61</v>
      </c>
      <c r="M463" s="6">
        <v>0.44</v>
      </c>
      <c r="N463" s="6">
        <v>0.44</v>
      </c>
      <c r="O463" s="6">
        <v>0.56000000000000005</v>
      </c>
      <c r="P463" s="6">
        <v>0.56000000000000005</v>
      </c>
      <c r="Q463" s="34">
        <v>262.93365</v>
      </c>
      <c r="R463" s="34">
        <v>254.58667199999996</v>
      </c>
      <c r="S463" s="34">
        <v>9228.9711150000003</v>
      </c>
      <c r="T463" s="34">
        <v>8935.9921871999995</v>
      </c>
      <c r="U463" s="35">
        <v>5.0120561985932805E-4</v>
      </c>
      <c r="V463" s="36">
        <v>4.8704149163128675E-4</v>
      </c>
      <c r="W463" s="36">
        <v>-1.4164128228041299E-5</v>
      </c>
      <c r="X463" s="37">
        <v>-29.732543016492819</v>
      </c>
      <c r="Y463" s="38">
        <v>-847080.99762087793</v>
      </c>
      <c r="Z463" s="39">
        <v>4.1258466659887621E-4</v>
      </c>
      <c r="AA463" s="40">
        <v>4.0105328426404379E-4</v>
      </c>
      <c r="AB463" s="40">
        <v>-1.1531382334832422E-5</v>
      </c>
      <c r="AC463" s="41">
        <v>-0.22698870493201703</v>
      </c>
      <c r="AD463" s="42">
        <v>-6466.9146704278355</v>
      </c>
      <c r="AE463" s="39">
        <v>6.0296658807435595E-4</v>
      </c>
      <c r="AF463" s="40">
        <v>5.8571151463056737E-4</v>
      </c>
      <c r="AG463" s="40">
        <v>-1.7255073443788577E-5</v>
      </c>
      <c r="AH463" s="41">
        <v>-0.22184831654294598</v>
      </c>
      <c r="AI463" s="42">
        <v>-6320.46485877339</v>
      </c>
      <c r="AJ463" s="41">
        <v>-30.181380037967781</v>
      </c>
      <c r="AK463" s="30">
        <v>-859868.37715007912</v>
      </c>
      <c r="AL463" s="43">
        <f>+$AL$6*W463/H463*10^6</f>
        <v>-201.76820837665667</v>
      </c>
      <c r="AM463" s="30">
        <v>4309324</v>
      </c>
      <c r="AN463" s="44">
        <v>-0.19953672017933186</v>
      </c>
      <c r="AP463" s="32"/>
      <c r="AR463" s="32"/>
    </row>
    <row r="464" spans="1:44">
      <c r="A464" s="5" t="s">
        <v>1264</v>
      </c>
      <c r="B464" s="5" t="s">
        <v>437</v>
      </c>
      <c r="C464" s="5" t="s">
        <v>2532</v>
      </c>
      <c r="D464" s="29" t="s">
        <v>2533</v>
      </c>
      <c r="E464" s="5" t="s">
        <v>780</v>
      </c>
      <c r="F464" s="30" t="s">
        <v>1164</v>
      </c>
      <c r="G464" s="5" t="s">
        <v>970</v>
      </c>
      <c r="H464" s="31">
        <v>49.08</v>
      </c>
      <c r="I464" s="32">
        <v>668.30499999999995</v>
      </c>
      <c r="J464" s="32">
        <v>657.14019999999994</v>
      </c>
      <c r="K464" s="33">
        <v>1</v>
      </c>
      <c r="L464" s="33">
        <v>1</v>
      </c>
      <c r="M464" s="6">
        <v>0</v>
      </c>
      <c r="N464" s="6">
        <v>0</v>
      </c>
      <c r="O464" s="6">
        <v>1</v>
      </c>
      <c r="P464" s="6">
        <v>1</v>
      </c>
      <c r="Q464" s="34">
        <v>668.30499999999995</v>
      </c>
      <c r="R464" s="34">
        <v>657.14019999999994</v>
      </c>
      <c r="S464" s="34">
        <v>32800.409399999997</v>
      </c>
      <c r="T464" s="34">
        <v>32252.441015999997</v>
      </c>
      <c r="U464" s="35">
        <v>1.7813198589653107E-3</v>
      </c>
      <c r="V464" s="36">
        <v>1.7578660155593486E-3</v>
      </c>
      <c r="W464" s="36">
        <v>-2.3453843405962143E-5</v>
      </c>
      <c r="X464" s="37">
        <v>-49.23299173395641</v>
      </c>
      <c r="Y464" s="38">
        <v>-1003117.1909934069</v>
      </c>
      <c r="Z464" s="39">
        <v>0</v>
      </c>
      <c r="AA464" s="40">
        <v>0</v>
      </c>
      <c r="AB464" s="40">
        <v>0</v>
      </c>
      <c r="AC464" s="41">
        <v>0</v>
      </c>
      <c r="AD464" s="42">
        <v>0</v>
      </c>
      <c r="AE464" s="39">
        <v>3.8267597564151708E-3</v>
      </c>
      <c r="AF464" s="40">
        <v>3.7749877290534088E-3</v>
      </c>
      <c r="AG464" s="40">
        <v>-5.1772027361762004E-5</v>
      </c>
      <c r="AH464" s="41">
        <v>-0.66563246755444916</v>
      </c>
      <c r="AI464" s="42">
        <v>-13562.193715453324</v>
      </c>
      <c r="AJ464" s="41">
        <v>-49.898624201510863</v>
      </c>
      <c r="AK464" s="30">
        <v>-1016679.3847088603</v>
      </c>
      <c r="AL464" s="43">
        <f>+$AL$6*W464/H464*10^6</f>
        <v>-238.9348350240642</v>
      </c>
      <c r="AM464" s="30">
        <v>5031475.5</v>
      </c>
      <c r="AN464" s="44">
        <v>-0.20206386470705467</v>
      </c>
      <c r="AP464" s="32"/>
      <c r="AR464" s="32"/>
    </row>
    <row r="465" spans="1:44">
      <c r="A465" s="5" t="s">
        <v>1310</v>
      </c>
      <c r="B465" s="5" t="s">
        <v>482</v>
      </c>
      <c r="C465" s="5" t="s">
        <v>2463</v>
      </c>
      <c r="D465" s="29" t="s">
        <v>1622</v>
      </c>
      <c r="E465" s="5" t="s">
        <v>1639</v>
      </c>
      <c r="F465" s="30" t="s">
        <v>1157</v>
      </c>
      <c r="G465" s="5" t="s">
        <v>970</v>
      </c>
      <c r="H465" s="31">
        <v>236.18</v>
      </c>
      <c r="I465" s="32">
        <v>111.754</v>
      </c>
      <c r="J465" s="32">
        <v>110.48859999999999</v>
      </c>
      <c r="K465" s="33">
        <v>1</v>
      </c>
      <c r="L465" s="33">
        <v>1</v>
      </c>
      <c r="M465" s="6">
        <v>0.7</v>
      </c>
      <c r="N465" s="6">
        <v>0.7</v>
      </c>
      <c r="O465" s="6">
        <v>0.3</v>
      </c>
      <c r="P465" s="6">
        <v>0.3</v>
      </c>
      <c r="Q465" s="34">
        <v>111.754</v>
      </c>
      <c r="R465" s="34">
        <v>110.48859999999999</v>
      </c>
      <c r="S465" s="34">
        <v>26394.059720000001</v>
      </c>
      <c r="T465" s="34">
        <v>26095.197548</v>
      </c>
      <c r="U465" s="35">
        <v>1.4334047531111729E-3</v>
      </c>
      <c r="V465" s="36">
        <v>1.422275632290295E-3</v>
      </c>
      <c r="W465" s="36">
        <v>-1.1129120820877955E-5</v>
      </c>
      <c r="X465" s="37">
        <v>-23.36162580676228</v>
      </c>
      <c r="Y465" s="38">
        <v>-98914.496599044287</v>
      </c>
      <c r="Z465" s="39">
        <v>1.8772035010606624E-3</v>
      </c>
      <c r="AA465" s="40">
        <v>1.8632247703828713E-3</v>
      </c>
      <c r="AB465" s="40">
        <v>-1.3978730677791052E-5</v>
      </c>
      <c r="AC465" s="41">
        <v>-0.27516336558893212</v>
      </c>
      <c r="AD465" s="42">
        <v>-1165.0578609066481</v>
      </c>
      <c r="AE465" s="39">
        <v>9.2380303227173753E-4</v>
      </c>
      <c r="AF465" s="40">
        <v>9.1629390608347072E-4</v>
      </c>
      <c r="AG465" s="40">
        <v>-7.5091261882668115E-6</v>
      </c>
      <c r="AH465" s="41">
        <v>-9.6544764587786866E-2</v>
      </c>
      <c r="AI465" s="42">
        <v>-408.7762070784438</v>
      </c>
      <c r="AJ465" s="41">
        <v>-23.733333936938998</v>
      </c>
      <c r="AK465" s="30">
        <v>-100488.33066702937</v>
      </c>
      <c r="AL465" s="43">
        <f>+$AL$6*W465/H465*10^6</f>
        <v>-23.560675799978732</v>
      </c>
      <c r="AM465" s="30">
        <v>460453.5625</v>
      </c>
      <c r="AN465" s="44">
        <v>-0.21823770918707872</v>
      </c>
      <c r="AP465" s="32"/>
      <c r="AR465" s="32"/>
    </row>
    <row r="466" spans="1:44">
      <c r="A466" s="5" t="s">
        <v>1035</v>
      </c>
      <c r="B466" s="5" t="s">
        <v>521</v>
      </c>
      <c r="C466" s="5" t="s">
        <v>2615</v>
      </c>
      <c r="D466" s="29" t="s">
        <v>2616</v>
      </c>
      <c r="E466" s="5" t="s">
        <v>918</v>
      </c>
      <c r="F466" s="30" t="s">
        <v>1151</v>
      </c>
      <c r="G466" s="5" t="s">
        <v>970</v>
      </c>
      <c r="H466" s="31">
        <v>46.74</v>
      </c>
      <c r="I466" s="32">
        <v>8089.5749999999998</v>
      </c>
      <c r="J466" s="32">
        <v>7997.9809999999998</v>
      </c>
      <c r="K466" s="33">
        <v>1</v>
      </c>
      <c r="L466" s="33">
        <v>1</v>
      </c>
      <c r="M466" s="6">
        <v>1</v>
      </c>
      <c r="N466" s="6">
        <v>1</v>
      </c>
      <c r="O466" s="6">
        <v>0</v>
      </c>
      <c r="P466" s="6">
        <v>0</v>
      </c>
      <c r="Q466" s="34">
        <v>8089.5749999999998</v>
      </c>
      <c r="R466" s="34">
        <v>7997.9809999999998</v>
      </c>
      <c r="S466" s="34">
        <v>378106.73550000001</v>
      </c>
      <c r="T466" s="34">
        <v>373825.63193999999</v>
      </c>
      <c r="U466" s="35">
        <v>2.0534165550832855E-2</v>
      </c>
      <c r="V466" s="36">
        <v>2.0374748497526976E-2</v>
      </c>
      <c r="W466" s="36">
        <v>-1.5941705330587905E-4</v>
      </c>
      <c r="X466" s="37">
        <v>-334.63933103880379</v>
      </c>
      <c r="Y466" s="38">
        <v>-7159592.0205135597</v>
      </c>
      <c r="Z466" s="39">
        <v>3.8416830755800831E-2</v>
      </c>
      <c r="AA466" s="40">
        <v>3.8130780629733234E-2</v>
      </c>
      <c r="AB466" s="40">
        <v>-2.8605012606759683E-4</v>
      </c>
      <c r="AC466" s="41">
        <v>-5.6307340938294885</v>
      </c>
      <c r="AD466" s="42">
        <v>-120469.27885814053</v>
      </c>
      <c r="AE466" s="39">
        <v>0</v>
      </c>
      <c r="AF466" s="40">
        <v>0</v>
      </c>
      <c r="AG466" s="40">
        <v>0</v>
      </c>
      <c r="AH466" s="41">
        <v>0</v>
      </c>
      <c r="AI466" s="42">
        <v>0</v>
      </c>
      <c r="AJ466" s="41">
        <v>-340.27006513263325</v>
      </c>
      <c r="AK466" s="30">
        <v>-7280061.2993716998</v>
      </c>
      <c r="AL466" s="43">
        <f>+$AL$6*W466/H466*10^6</f>
        <v>-1705.3600054116287</v>
      </c>
      <c r="AM466" s="30">
        <v>32703208</v>
      </c>
      <c r="AN466" s="44">
        <v>-0.22261000509098985</v>
      </c>
      <c r="AP466" s="32"/>
      <c r="AR466" s="32"/>
    </row>
    <row r="467" spans="1:44">
      <c r="A467" s="5" t="s">
        <v>1670</v>
      </c>
      <c r="B467" s="5" t="s">
        <v>1653</v>
      </c>
      <c r="C467" s="5" t="s">
        <v>2575</v>
      </c>
      <c r="D467" s="29" t="s">
        <v>2576</v>
      </c>
      <c r="E467" s="5" t="s">
        <v>1685</v>
      </c>
      <c r="F467" s="30" t="s">
        <v>1167</v>
      </c>
      <c r="G467" s="5" t="s">
        <v>970</v>
      </c>
      <c r="H467" s="31">
        <v>42.52</v>
      </c>
      <c r="I467" s="32">
        <v>692.79899999999998</v>
      </c>
      <c r="J467" s="32">
        <v>671.82060000000001</v>
      </c>
      <c r="K467" s="33">
        <v>1</v>
      </c>
      <c r="L467" s="33">
        <v>1</v>
      </c>
      <c r="M467" s="6">
        <v>0.71</v>
      </c>
      <c r="N467" s="6">
        <v>0.71</v>
      </c>
      <c r="O467" s="6">
        <v>0.28999999999999998</v>
      </c>
      <c r="P467" s="6">
        <v>0.28999999999999998</v>
      </c>
      <c r="Q467" s="34">
        <v>692.79899999999998</v>
      </c>
      <c r="R467" s="34">
        <v>671.82060000000001</v>
      </c>
      <c r="S467" s="34">
        <v>29457.813480000001</v>
      </c>
      <c r="T467" s="34">
        <v>28565.811912000001</v>
      </c>
      <c r="U467" s="35">
        <v>1.5997906463210193E-3</v>
      </c>
      <c r="V467" s="36">
        <v>1.5569323866697191E-3</v>
      </c>
      <c r="W467" s="36">
        <v>-4.2858259651300246E-5</v>
      </c>
      <c r="X467" s="37">
        <v>-89.965653245891218</v>
      </c>
      <c r="Y467" s="38">
        <v>-2115843.2089814488</v>
      </c>
      <c r="Z467" s="39">
        <v>2.1250344607440796E-3</v>
      </c>
      <c r="AA467" s="40">
        <v>2.068766816043469E-3</v>
      </c>
      <c r="AB467" s="40">
        <v>-5.6267644700610641E-5</v>
      </c>
      <c r="AC467" s="41">
        <v>-1.1075965941729473</v>
      </c>
      <c r="AD467" s="42">
        <v>-26048.838056748526</v>
      </c>
      <c r="AE467" s="39">
        <v>9.9666782786564921E-4</v>
      </c>
      <c r="AF467" s="40">
        <v>9.6961097988143162E-4</v>
      </c>
      <c r="AG467" s="40">
        <v>-2.7056847984217587E-5</v>
      </c>
      <c r="AH467" s="41">
        <v>-0.34786963937367876</v>
      </c>
      <c r="AI467" s="42">
        <v>-8181.3179532850118</v>
      </c>
      <c r="AJ467" s="41">
        <v>-91.421119479437849</v>
      </c>
      <c r="AK467" s="30">
        <v>-2150073.3649914823</v>
      </c>
      <c r="AL467" s="43">
        <f>+$AL$6*W467/H467*10^6</f>
        <v>-503.9776534724864</v>
      </c>
      <c r="AM467" s="30">
        <v>9627718</v>
      </c>
      <c r="AN467" s="44">
        <v>-0.22332118213178681</v>
      </c>
      <c r="AP467" s="32"/>
      <c r="AR467" s="32"/>
    </row>
    <row r="468" spans="1:44">
      <c r="A468" s="5" t="s">
        <v>989</v>
      </c>
      <c r="B468" s="5" t="s">
        <v>1079</v>
      </c>
      <c r="C468" s="5" t="s">
        <v>2548</v>
      </c>
      <c r="D468" s="29" t="s">
        <v>1041</v>
      </c>
      <c r="E468" s="5" t="s">
        <v>876</v>
      </c>
      <c r="F468" s="30" t="s">
        <v>1157</v>
      </c>
      <c r="G468" s="5" t="s">
        <v>970</v>
      </c>
      <c r="H468" s="31">
        <v>43.9</v>
      </c>
      <c r="I468" s="32">
        <v>1121.5119999999999</v>
      </c>
      <c r="J468" s="32">
        <v>1106.518</v>
      </c>
      <c r="K468" s="33">
        <v>1</v>
      </c>
      <c r="L468" s="33">
        <v>1</v>
      </c>
      <c r="M468" s="6">
        <v>0</v>
      </c>
      <c r="N468" s="6">
        <v>0</v>
      </c>
      <c r="O468" s="6">
        <v>1</v>
      </c>
      <c r="P468" s="6">
        <v>1</v>
      </c>
      <c r="Q468" s="34">
        <v>1121.5119999999999</v>
      </c>
      <c r="R468" s="34">
        <v>1106.518</v>
      </c>
      <c r="S468" s="34">
        <v>49234.376799999998</v>
      </c>
      <c r="T468" s="34">
        <v>48576.140200000002</v>
      </c>
      <c r="U468" s="35">
        <v>2.6738133682447564E-3</v>
      </c>
      <c r="V468" s="36">
        <v>2.6475622723335984E-3</v>
      </c>
      <c r="W468" s="36">
        <v>-2.6251095911158061E-5</v>
      </c>
      <c r="X468" s="37">
        <v>-55.104827197439157</v>
      </c>
      <c r="Y468" s="38">
        <v>-1255235.2436774296</v>
      </c>
      <c r="Z468" s="39">
        <v>0</v>
      </c>
      <c r="AA468" s="40">
        <v>0</v>
      </c>
      <c r="AB468" s="40">
        <v>0</v>
      </c>
      <c r="AC468" s="41">
        <v>0</v>
      </c>
      <c r="AD468" s="42">
        <v>0</v>
      </c>
      <c r="AE468" s="39">
        <v>5.7440786629456139E-3</v>
      </c>
      <c r="AF468" s="40">
        <v>5.6855954899292273E-3</v>
      </c>
      <c r="AG468" s="40">
        <v>-5.8483173016386607E-5</v>
      </c>
      <c r="AH468" s="41">
        <v>-0.75191760394654772</v>
      </c>
      <c r="AI468" s="42">
        <v>-17127.963643429335</v>
      </c>
      <c r="AJ468" s="41">
        <v>-55.856744801385702</v>
      </c>
      <c r="AK468" s="30">
        <v>-1272363.207320859</v>
      </c>
      <c r="AL468" s="43">
        <f>+$AL$6*W468/H468*10^6</f>
        <v>-298.98742495624214</v>
      </c>
      <c r="AM468" s="30">
        <v>5564480.5</v>
      </c>
      <c r="AN468" s="44">
        <v>-0.22865804046233229</v>
      </c>
      <c r="AP468" s="32"/>
      <c r="AR468" s="32"/>
    </row>
    <row r="469" spans="1:44">
      <c r="A469" s="5" t="s">
        <v>1251</v>
      </c>
      <c r="B469" s="5" t="s">
        <v>424</v>
      </c>
      <c r="C469" s="5" t="s">
        <v>2473</v>
      </c>
      <c r="D469" s="29" t="s">
        <v>2474</v>
      </c>
      <c r="E469" s="5" t="s">
        <v>768</v>
      </c>
      <c r="F469" s="30" t="s">
        <v>1164</v>
      </c>
      <c r="G469" s="5" t="s">
        <v>970</v>
      </c>
      <c r="H469" s="31">
        <v>64.650000000000006</v>
      </c>
      <c r="I469" s="32">
        <v>160.38300000000001</v>
      </c>
      <c r="J469" s="32">
        <v>156.46539999999999</v>
      </c>
      <c r="K469" s="33">
        <v>1</v>
      </c>
      <c r="L469" s="33">
        <v>1</v>
      </c>
      <c r="M469" s="6">
        <v>0</v>
      </c>
      <c r="N469" s="6">
        <v>0</v>
      </c>
      <c r="O469" s="6">
        <v>1</v>
      </c>
      <c r="P469" s="6">
        <v>1</v>
      </c>
      <c r="Q469" s="34">
        <v>160.38300000000001</v>
      </c>
      <c r="R469" s="34">
        <v>156.46539999999999</v>
      </c>
      <c r="S469" s="34">
        <v>10368.760950000002</v>
      </c>
      <c r="T469" s="34">
        <v>10115.48811</v>
      </c>
      <c r="U469" s="35">
        <v>5.6310516030019504E-4</v>
      </c>
      <c r="V469" s="36">
        <v>5.5132796834020783E-4</v>
      </c>
      <c r="W469" s="36">
        <v>-1.1777191959987218E-5</v>
      </c>
      <c r="X469" s="37">
        <v>-24.722020369074023</v>
      </c>
      <c r="Y469" s="38">
        <v>-382397.8402022277</v>
      </c>
      <c r="Z469" s="39">
        <v>0</v>
      </c>
      <c r="AA469" s="40">
        <v>0</v>
      </c>
      <c r="AB469" s="40">
        <v>0</v>
      </c>
      <c r="AC469" s="41">
        <v>0</v>
      </c>
      <c r="AD469" s="42">
        <v>0</v>
      </c>
      <c r="AE469" s="39">
        <v>1.2097031059419992E-3</v>
      </c>
      <c r="AF469" s="40">
        <v>1.1839675474390353E-3</v>
      </c>
      <c r="AG469" s="40">
        <v>-2.5735558502963966E-5</v>
      </c>
      <c r="AH469" s="41">
        <v>-0.33088183297361173</v>
      </c>
      <c r="AI469" s="42">
        <v>-5118.0484605353704</v>
      </c>
      <c r="AJ469" s="41">
        <v>-25.052902202047637</v>
      </c>
      <c r="AK469" s="30">
        <v>-387515.88866276306</v>
      </c>
      <c r="AL469" s="43">
        <f>+$AL$6*W469/H469*10^6</f>
        <v>-91.084237896266174</v>
      </c>
      <c r="AM469" s="30">
        <v>1689258.375</v>
      </c>
      <c r="AN469" s="44">
        <v>-0.22940001032273294</v>
      </c>
      <c r="AP469" s="32"/>
      <c r="AR469" s="32"/>
    </row>
    <row r="470" spans="1:44">
      <c r="A470" s="5" t="s">
        <v>238</v>
      </c>
      <c r="B470" s="5" t="s">
        <v>538</v>
      </c>
      <c r="C470" s="5" t="s">
        <v>2510</v>
      </c>
      <c r="D470" s="29" t="s">
        <v>1407</v>
      </c>
      <c r="E470" s="5" t="s">
        <v>70</v>
      </c>
      <c r="F470" s="30" t="s">
        <v>1159</v>
      </c>
      <c r="G470" s="5" t="s">
        <v>970</v>
      </c>
      <c r="H470" s="31">
        <v>247.24</v>
      </c>
      <c r="I470" s="32">
        <v>100.99</v>
      </c>
      <c r="J470" s="32">
        <v>99.403189999999995</v>
      </c>
      <c r="K470" s="33">
        <v>1</v>
      </c>
      <c r="L470" s="33">
        <v>1</v>
      </c>
      <c r="M470" s="6">
        <v>1</v>
      </c>
      <c r="N470" s="6">
        <v>1</v>
      </c>
      <c r="O470" s="6">
        <v>0</v>
      </c>
      <c r="P470" s="6">
        <v>0</v>
      </c>
      <c r="Q470" s="34">
        <v>100.99</v>
      </c>
      <c r="R470" s="34">
        <v>99.403189999999995</v>
      </c>
      <c r="S470" s="34">
        <v>24968.767599999999</v>
      </c>
      <c r="T470" s="34">
        <v>24576.444695599999</v>
      </c>
      <c r="U470" s="35">
        <v>1.3560001961368696E-3</v>
      </c>
      <c r="V470" s="36">
        <v>1.3394985170963364E-3</v>
      </c>
      <c r="W470" s="36">
        <v>-1.650167904053315E-5</v>
      </c>
      <c r="X470" s="37">
        <v>-34.639398487347506</v>
      </c>
      <c r="Y470" s="38">
        <v>-140104.34592844002</v>
      </c>
      <c r="Z470" s="39">
        <v>2.536905135534469E-3</v>
      </c>
      <c r="AA470" s="40">
        <v>2.5068345808269897E-3</v>
      </c>
      <c r="AB470" s="40">
        <v>-3.0070554707479265E-5</v>
      </c>
      <c r="AC470" s="41">
        <v>-0.59192177238109756</v>
      </c>
      <c r="AD470" s="42">
        <v>-2394.1181539439312</v>
      </c>
      <c r="AE470" s="39">
        <v>0</v>
      </c>
      <c r="AF470" s="40">
        <v>0</v>
      </c>
      <c r="AG470" s="40">
        <v>0</v>
      </c>
      <c r="AH470" s="41">
        <v>0</v>
      </c>
      <c r="AI470" s="42">
        <v>0</v>
      </c>
      <c r="AJ470" s="41">
        <v>-35.231320259728605</v>
      </c>
      <c r="AK470" s="30">
        <v>-142498.46408238396</v>
      </c>
      <c r="AL470" s="43">
        <f>+$AL$6*W470/H470*10^6</f>
        <v>-33.371782560534605</v>
      </c>
      <c r="AM470" s="30">
        <v>601867.3125</v>
      </c>
      <c r="AN470" s="44">
        <v>-0.23676059676755407</v>
      </c>
      <c r="AP470" s="32"/>
      <c r="AR470" s="32"/>
    </row>
    <row r="471" spans="1:44">
      <c r="A471" s="5" t="s">
        <v>863</v>
      </c>
      <c r="B471" s="5" t="s">
        <v>1144</v>
      </c>
      <c r="C471" s="5" t="s">
        <v>2515</v>
      </c>
      <c r="D471" s="29" t="s">
        <v>2516</v>
      </c>
      <c r="E471" s="5" t="s">
        <v>1068</v>
      </c>
      <c r="F471" s="30" t="s">
        <v>1151</v>
      </c>
      <c r="G471" s="5" t="s">
        <v>970</v>
      </c>
      <c r="H471" s="31">
        <v>11.01</v>
      </c>
      <c r="I471" s="32">
        <v>1103.9459999999999</v>
      </c>
      <c r="J471" s="32">
        <v>1068.7949999999998</v>
      </c>
      <c r="K471" s="33">
        <v>0.94</v>
      </c>
      <c r="L471" s="33">
        <v>0.94</v>
      </c>
      <c r="M471" s="6">
        <v>0</v>
      </c>
      <c r="N471" s="6">
        <v>0</v>
      </c>
      <c r="O471" s="6">
        <v>1</v>
      </c>
      <c r="P471" s="6">
        <v>1</v>
      </c>
      <c r="Q471" s="34">
        <v>1037.7092399999999</v>
      </c>
      <c r="R471" s="34">
        <v>1004.6672999999998</v>
      </c>
      <c r="S471" s="34">
        <v>11425.178732399998</v>
      </c>
      <c r="T471" s="34">
        <v>11061.386972999999</v>
      </c>
      <c r="U471" s="35">
        <v>6.2047694344486543E-4</v>
      </c>
      <c r="V471" s="36">
        <v>6.0288262321420789E-4</v>
      </c>
      <c r="W471" s="36">
        <v>-1.7594320230657537E-5</v>
      </c>
      <c r="X471" s="37">
        <v>-36.933009549315258</v>
      </c>
      <c r="Y471" s="38">
        <v>-3354496.7801376255</v>
      </c>
      <c r="Z471" s="39">
        <v>0</v>
      </c>
      <c r="AA471" s="40">
        <v>0</v>
      </c>
      <c r="AB471" s="40">
        <v>0</v>
      </c>
      <c r="AC471" s="41">
        <v>0</v>
      </c>
      <c r="AD471" s="42">
        <v>0</v>
      </c>
      <c r="AE471" s="39">
        <v>1.3329533070705762E-3</v>
      </c>
      <c r="AF471" s="40">
        <v>1.2946803024512577E-3</v>
      </c>
      <c r="AG471" s="40">
        <v>-3.8273004619318509E-5</v>
      </c>
      <c r="AH471" s="41">
        <v>-0.49207565945728826</v>
      </c>
      <c r="AI471" s="42">
        <v>-44693.520386674689</v>
      </c>
      <c r="AJ471" s="41">
        <v>-37.425085208772543</v>
      </c>
      <c r="AK471" s="30">
        <v>-3399190.3005243004</v>
      </c>
      <c r="AL471" s="43">
        <f>+$AL$6*W471/H471*10^6</f>
        <v>-799.01545098353949</v>
      </c>
      <c r="AM471" s="30">
        <v>14234499</v>
      </c>
      <c r="AN471" s="44">
        <v>-0.23879943372255677</v>
      </c>
      <c r="AP471" s="32"/>
      <c r="AR471" s="32"/>
    </row>
    <row r="472" spans="1:44">
      <c r="A472" s="5" t="s">
        <v>1321</v>
      </c>
      <c r="B472" s="5" t="s">
        <v>212</v>
      </c>
      <c r="C472" s="5" t="s">
        <v>2539</v>
      </c>
      <c r="D472" s="29" t="s">
        <v>2540</v>
      </c>
      <c r="E472" s="5" t="s">
        <v>27</v>
      </c>
      <c r="F472" s="30" t="s">
        <v>1147</v>
      </c>
      <c r="G472" s="5" t="s">
        <v>968</v>
      </c>
      <c r="H472" s="31">
        <v>28.15</v>
      </c>
      <c r="I472" s="32">
        <v>394.83699999999999</v>
      </c>
      <c r="J472" s="32">
        <v>384.42679999999996</v>
      </c>
      <c r="K472" s="33">
        <v>0.89</v>
      </c>
      <c r="L472" s="33">
        <v>0.87</v>
      </c>
      <c r="M472" s="6">
        <v>0</v>
      </c>
      <c r="N472" s="6">
        <v>0</v>
      </c>
      <c r="O472" s="6">
        <v>1</v>
      </c>
      <c r="P472" s="6">
        <v>1</v>
      </c>
      <c r="Q472" s="34">
        <v>351.40492999999998</v>
      </c>
      <c r="R472" s="34">
        <v>334.45131599999996</v>
      </c>
      <c r="S472" s="34">
        <v>9892.048779499999</v>
      </c>
      <c r="T472" s="34">
        <v>9414.8045453999985</v>
      </c>
      <c r="U472" s="35">
        <v>5.3721594513929795E-4</v>
      </c>
      <c r="V472" s="36">
        <v>5.1313836820233625E-4</v>
      </c>
      <c r="W472" s="36">
        <v>-2.4077576936961699E-5</v>
      </c>
      <c r="X472" s="37">
        <v>-50.542298155269272</v>
      </c>
      <c r="Y472" s="38">
        <v>-1795463.5223896722</v>
      </c>
      <c r="Z472" s="39">
        <v>0</v>
      </c>
      <c r="AA472" s="40">
        <v>0</v>
      </c>
      <c r="AB472" s="40">
        <v>0</v>
      </c>
      <c r="AC472" s="41">
        <v>0</v>
      </c>
      <c r="AD472" s="42">
        <v>0</v>
      </c>
      <c r="AE472" s="39">
        <v>1.1540860272886231E-3</v>
      </c>
      <c r="AF472" s="40">
        <v>1.1019560228849022E-3</v>
      </c>
      <c r="AG472" s="40">
        <v>-5.2130004403720936E-5</v>
      </c>
      <c r="AH472" s="41">
        <v>-0.67023497500701534</v>
      </c>
      <c r="AI472" s="42">
        <v>-23809.412966501433</v>
      </c>
      <c r="AJ472" s="41">
        <v>-51.212533130276285</v>
      </c>
      <c r="AK472" s="30">
        <v>-1819272.9353561737</v>
      </c>
      <c r="AL472" s="43">
        <f>+$AL$6*W472/H472*10^6</f>
        <v>-427.66566495491475</v>
      </c>
      <c r="AM472" s="30">
        <v>7507436</v>
      </c>
      <c r="AN472" s="44">
        <v>-0.24232946312911274</v>
      </c>
      <c r="AP472" s="32"/>
      <c r="AR472" s="32"/>
    </row>
    <row r="473" spans="1:44">
      <c r="A473" s="5" t="s">
        <v>1024</v>
      </c>
      <c r="B473" s="5" t="s">
        <v>1109</v>
      </c>
      <c r="C473" s="5" t="s">
        <v>2560</v>
      </c>
      <c r="D473" s="29" t="s">
        <v>2561</v>
      </c>
      <c r="E473" s="5" t="s">
        <v>908</v>
      </c>
      <c r="F473" s="30" t="s">
        <v>1164</v>
      </c>
      <c r="G473" s="5" t="s">
        <v>970</v>
      </c>
      <c r="H473" s="31">
        <v>208.78</v>
      </c>
      <c r="I473" s="32">
        <v>314.76100000000002</v>
      </c>
      <c r="J473" s="32">
        <v>310.53449999999998</v>
      </c>
      <c r="K473" s="33">
        <v>0.85</v>
      </c>
      <c r="L473" s="33">
        <v>0.85</v>
      </c>
      <c r="M473" s="6">
        <v>0.66</v>
      </c>
      <c r="N473" s="6">
        <v>0.66</v>
      </c>
      <c r="O473" s="6">
        <v>0.34</v>
      </c>
      <c r="P473" s="6">
        <v>0.34</v>
      </c>
      <c r="Q473" s="34">
        <v>267.54685000000001</v>
      </c>
      <c r="R473" s="34">
        <v>263.95432499999998</v>
      </c>
      <c r="S473" s="34">
        <v>55858.431343000004</v>
      </c>
      <c r="T473" s="34">
        <v>55108.3839735</v>
      </c>
      <c r="U473" s="35">
        <v>3.0335515581075725E-3</v>
      </c>
      <c r="V473" s="36">
        <v>3.0035914277419698E-3</v>
      </c>
      <c r="W473" s="36">
        <v>-2.9960130365602744E-5</v>
      </c>
      <c r="X473" s="37">
        <v>-62.890624155144373</v>
      </c>
      <c r="Y473" s="38">
        <v>-301229.16062431451</v>
      </c>
      <c r="Z473" s="39">
        <v>3.7457586525973009E-3</v>
      </c>
      <c r="AA473" s="40">
        <v>3.7099514950417749E-3</v>
      </c>
      <c r="AB473" s="40">
        <v>-3.5807157555526031E-5</v>
      </c>
      <c r="AC473" s="41">
        <v>-0.70484353781889053</v>
      </c>
      <c r="AD473" s="42">
        <v>-3376.0108143447192</v>
      </c>
      <c r="AE473" s="39">
        <v>2.2157440211937286E-3</v>
      </c>
      <c r="AF473" s="40">
        <v>2.1930551202622457E-3</v>
      </c>
      <c r="AG473" s="40">
        <v>-2.2688900931482937E-5</v>
      </c>
      <c r="AH473" s="41">
        <v>-0.29171098530856204</v>
      </c>
      <c r="AI473" s="42">
        <v>-1397.2170960272156</v>
      </c>
      <c r="AJ473" s="41">
        <v>-63.887178678271823</v>
      </c>
      <c r="AK473" s="30">
        <v>-306002.38853468647</v>
      </c>
      <c r="AL473" s="43">
        <f>+$AL$6*W473/H473*10^6</f>
        <v>-71.750479848651068</v>
      </c>
      <c r="AM473" s="30">
        <v>1244421.75</v>
      </c>
      <c r="AN473" s="44">
        <v>-0.24589926086930453</v>
      </c>
      <c r="AP473" s="32"/>
      <c r="AR473" s="32"/>
    </row>
    <row r="474" spans="1:44">
      <c r="A474" s="5" t="s">
        <v>1008</v>
      </c>
      <c r="B474" s="5" t="s">
        <v>1096</v>
      </c>
      <c r="C474" s="5" t="s">
        <v>2577</v>
      </c>
      <c r="D474" s="29" t="s">
        <v>2578</v>
      </c>
      <c r="E474" s="5" t="s">
        <v>893</v>
      </c>
      <c r="F474" s="30" t="s">
        <v>1170</v>
      </c>
      <c r="G474" s="5" t="s">
        <v>970</v>
      </c>
      <c r="H474" s="31">
        <v>14.68</v>
      </c>
      <c r="I474" s="32">
        <v>3975.3560000000002</v>
      </c>
      <c r="J474" s="32">
        <v>3896.9859999999999</v>
      </c>
      <c r="K474" s="33">
        <v>1</v>
      </c>
      <c r="L474" s="33">
        <v>1</v>
      </c>
      <c r="M474" s="6">
        <v>0</v>
      </c>
      <c r="N474" s="6">
        <v>0</v>
      </c>
      <c r="O474" s="6">
        <v>1</v>
      </c>
      <c r="P474" s="6">
        <v>1</v>
      </c>
      <c r="Q474" s="34">
        <v>3975.3560000000002</v>
      </c>
      <c r="R474" s="34">
        <v>3896.9859999999999</v>
      </c>
      <c r="S474" s="34">
        <v>58358.22608</v>
      </c>
      <c r="T474" s="34">
        <v>57207.754479999996</v>
      </c>
      <c r="U474" s="35">
        <v>3.1693100467914078E-3</v>
      </c>
      <c r="V474" s="36">
        <v>3.118014148974549E-3</v>
      </c>
      <c r="W474" s="36">
        <v>-5.1295897816858865E-5</v>
      </c>
      <c r="X474" s="37">
        <v>-107.67746972171292</v>
      </c>
      <c r="Y474" s="38">
        <v>-7334977.5014790827</v>
      </c>
      <c r="Z474" s="39">
        <v>0</v>
      </c>
      <c r="AA474" s="40">
        <v>0</v>
      </c>
      <c r="AB474" s="40">
        <v>0</v>
      </c>
      <c r="AC474" s="41">
        <v>0</v>
      </c>
      <c r="AD474" s="42">
        <v>0</v>
      </c>
      <c r="AE474" s="39">
        <v>6.8085403537287035E-3</v>
      </c>
      <c r="AF474" s="40">
        <v>6.6958829894942229E-3</v>
      </c>
      <c r="AG474" s="40">
        <v>-1.1265736423448063E-4</v>
      </c>
      <c r="AH474" s="41">
        <v>-1.448434669548269</v>
      </c>
      <c r="AI474" s="42">
        <v>-98667.211822089186</v>
      </c>
      <c r="AJ474" s="41">
        <v>-109.12590439126119</v>
      </c>
      <c r="AK474" s="30">
        <v>-7433644.7133011715</v>
      </c>
      <c r="AL474" s="43">
        <f>+$AL$6*W474/H474*10^6</f>
        <v>-1747.1354842254384</v>
      </c>
      <c r="AM474" s="30">
        <v>29542526</v>
      </c>
      <c r="AN474" s="44">
        <v>-0.25162522369621243</v>
      </c>
      <c r="AP474" s="32"/>
      <c r="AR474" s="32"/>
    </row>
    <row r="475" spans="1:44">
      <c r="A475" s="5" t="s">
        <v>1189</v>
      </c>
      <c r="B475" s="5" t="s">
        <v>358</v>
      </c>
      <c r="C475" s="5" t="s">
        <v>2511</v>
      </c>
      <c r="D475" s="29" t="s">
        <v>635</v>
      </c>
      <c r="E475" s="5" t="s">
        <v>714</v>
      </c>
      <c r="F475" s="30" t="s">
        <v>1157</v>
      </c>
      <c r="G475" s="5" t="s">
        <v>970</v>
      </c>
      <c r="H475" s="31">
        <v>121.85</v>
      </c>
      <c r="I475" s="32">
        <v>181.38</v>
      </c>
      <c r="J475" s="32">
        <v>178.22109999999998</v>
      </c>
      <c r="K475" s="33">
        <v>1</v>
      </c>
      <c r="L475" s="33">
        <v>1</v>
      </c>
      <c r="M475" s="6">
        <v>1</v>
      </c>
      <c r="N475" s="6">
        <v>1</v>
      </c>
      <c r="O475" s="6">
        <v>0</v>
      </c>
      <c r="P475" s="6">
        <v>0</v>
      </c>
      <c r="Q475" s="34">
        <v>181.38</v>
      </c>
      <c r="R475" s="34">
        <v>178.22109999999998</v>
      </c>
      <c r="S475" s="34">
        <v>22101.152999999998</v>
      </c>
      <c r="T475" s="34">
        <v>21716.241034999995</v>
      </c>
      <c r="U475" s="35">
        <v>1.2002661998764795E-3</v>
      </c>
      <c r="V475" s="36">
        <v>1.1836078417191474E-3</v>
      </c>
      <c r="W475" s="36">
        <v>-1.6658358157332041E-5</v>
      </c>
      <c r="X475" s="37">
        <v>-34.968290495737158</v>
      </c>
      <c r="Y475" s="38">
        <v>-286978.17394942272</v>
      </c>
      <c r="Z475" s="39">
        <v>2.2455464941302525E-3</v>
      </c>
      <c r="AA475" s="40">
        <v>2.215089475568388E-3</v>
      </c>
      <c r="AB475" s="40">
        <v>-3.0457018561864512E-5</v>
      </c>
      <c r="AC475" s="41">
        <v>-0.59952909362522644</v>
      </c>
      <c r="AD475" s="42">
        <v>-4920.2223522792483</v>
      </c>
      <c r="AE475" s="39">
        <v>0</v>
      </c>
      <c r="AF475" s="40">
        <v>0</v>
      </c>
      <c r="AG475" s="40">
        <v>0</v>
      </c>
      <c r="AH475" s="41">
        <v>0</v>
      </c>
      <c r="AI475" s="42">
        <v>0</v>
      </c>
      <c r="AJ475" s="41">
        <v>-35.567819589362387</v>
      </c>
      <c r="AK475" s="30">
        <v>-291898.39630170196</v>
      </c>
      <c r="AL475" s="43">
        <f>+$AL$6*W475/H475*10^6</f>
        <v>-68.356003928321883</v>
      </c>
      <c r="AM475" s="30">
        <v>1158088</v>
      </c>
      <c r="AN475" s="44">
        <v>-0.2520519997631458</v>
      </c>
      <c r="AP475" s="32"/>
      <c r="AR475" s="32"/>
    </row>
    <row r="476" spans="1:44">
      <c r="A476" s="5" t="s">
        <v>1334</v>
      </c>
      <c r="B476" s="5" t="s">
        <v>506</v>
      </c>
      <c r="C476" s="5" t="s">
        <v>2460</v>
      </c>
      <c r="D476" s="29" t="s">
        <v>2461</v>
      </c>
      <c r="E476" s="5" t="s">
        <v>39</v>
      </c>
      <c r="F476" s="30" t="s">
        <v>1164</v>
      </c>
      <c r="G476" s="5" t="s">
        <v>970</v>
      </c>
      <c r="H476" s="31">
        <v>115.54</v>
      </c>
      <c r="I476" s="32">
        <v>82.36</v>
      </c>
      <c r="J476" s="32">
        <v>80.332129999999992</v>
      </c>
      <c r="K476" s="33">
        <v>1</v>
      </c>
      <c r="L476" s="33">
        <v>1</v>
      </c>
      <c r="M476" s="6">
        <v>0</v>
      </c>
      <c r="N476" s="6">
        <v>0</v>
      </c>
      <c r="O476" s="6">
        <v>1</v>
      </c>
      <c r="P476" s="6">
        <v>1</v>
      </c>
      <c r="Q476" s="34">
        <v>82.36</v>
      </c>
      <c r="R476" s="34">
        <v>80.332129999999992</v>
      </c>
      <c r="S476" s="34">
        <v>9515.8744000000006</v>
      </c>
      <c r="T476" s="34">
        <v>9281.5743001999999</v>
      </c>
      <c r="U476" s="35">
        <v>5.1678672169682164E-4</v>
      </c>
      <c r="V476" s="36">
        <v>5.0587687378814508E-4</v>
      </c>
      <c r="W476" s="36">
        <v>-1.0909847908676567E-5</v>
      </c>
      <c r="X476" s="37">
        <v>-22.901340416132136</v>
      </c>
      <c r="Y476" s="38">
        <v>-198211.3589763903</v>
      </c>
      <c r="Z476" s="39">
        <v>0</v>
      </c>
      <c r="AA476" s="40">
        <v>0</v>
      </c>
      <c r="AB476" s="40">
        <v>0</v>
      </c>
      <c r="AC476" s="41">
        <v>0</v>
      </c>
      <c r="AD476" s="42">
        <v>0</v>
      </c>
      <c r="AE476" s="39">
        <v>1.1101984965169785E-3</v>
      </c>
      <c r="AF476" s="40">
        <v>1.0863620856533212E-3</v>
      </c>
      <c r="AG476" s="40">
        <v>-2.3836410863657285E-5</v>
      </c>
      <c r="AH476" s="41">
        <v>-0.3064645096849436</v>
      </c>
      <c r="AI476" s="42">
        <v>-2652.4537795131005</v>
      </c>
      <c r="AJ476" s="41">
        <v>-23.207804925817079</v>
      </c>
      <c r="AK476" s="30">
        <v>-200863.8127559034</v>
      </c>
      <c r="AL476" s="43">
        <f>+$AL$6*W476/H476*10^6</f>
        <v>-47.212428200954498</v>
      </c>
      <c r="AM476" s="30">
        <v>773569.1875</v>
      </c>
      <c r="AN476" s="44">
        <v>-0.2596584972638965</v>
      </c>
      <c r="AP476" s="32"/>
      <c r="AR476" s="32"/>
    </row>
    <row r="477" spans="1:44">
      <c r="A477" s="5" t="s">
        <v>1342</v>
      </c>
      <c r="B477" s="5" t="s">
        <v>1595</v>
      </c>
      <c r="C477" s="5" t="s">
        <v>2536</v>
      </c>
      <c r="D477" s="29" t="s">
        <v>2537</v>
      </c>
      <c r="E477" s="5" t="s">
        <v>46</v>
      </c>
      <c r="F477" s="30" t="s">
        <v>1161</v>
      </c>
      <c r="G477" s="5" t="s">
        <v>970</v>
      </c>
      <c r="H477" s="31">
        <v>72.27</v>
      </c>
      <c r="I477" s="32">
        <v>274.95</v>
      </c>
      <c r="J477" s="32">
        <v>265.88759999999996</v>
      </c>
      <c r="K477" s="33">
        <v>0.75</v>
      </c>
      <c r="L477" s="33">
        <v>0.75</v>
      </c>
      <c r="M477" s="6">
        <v>1</v>
      </c>
      <c r="N477" s="6">
        <v>1</v>
      </c>
      <c r="O477" s="6">
        <v>0</v>
      </c>
      <c r="P477" s="6">
        <v>0</v>
      </c>
      <c r="Q477" s="34">
        <v>206.21249999999998</v>
      </c>
      <c r="R477" s="34">
        <v>199.41569999999996</v>
      </c>
      <c r="S477" s="34">
        <v>14902.977374999997</v>
      </c>
      <c r="T477" s="34">
        <v>14411.772638999997</v>
      </c>
      <c r="U477" s="35">
        <v>8.093487258667635E-4</v>
      </c>
      <c r="V477" s="36">
        <v>7.8548985900007777E-4</v>
      </c>
      <c r="W477" s="36">
        <v>-2.3858866866685721E-5</v>
      </c>
      <c r="X477" s="37">
        <v>-50.083194250819517</v>
      </c>
      <c r="Y477" s="38">
        <v>-693001.16577860143</v>
      </c>
      <c r="Z477" s="39">
        <v>1.5141892640865261E-3</v>
      </c>
      <c r="AA477" s="40">
        <v>1.4700226363062816E-3</v>
      </c>
      <c r="AB477" s="40">
        <v>-4.4166627780244452E-5</v>
      </c>
      <c r="AC477" s="41">
        <v>-0.86939495629843111</v>
      </c>
      <c r="AD477" s="42">
        <v>-12029.818130599573</v>
      </c>
      <c r="AE477" s="39">
        <v>0</v>
      </c>
      <c r="AF477" s="40">
        <v>0</v>
      </c>
      <c r="AG477" s="40">
        <v>0</v>
      </c>
      <c r="AH477" s="41">
        <v>0</v>
      </c>
      <c r="AI477" s="42">
        <v>0</v>
      </c>
      <c r="AJ477" s="41">
        <v>-50.952589207117946</v>
      </c>
      <c r="AK477" s="30">
        <v>-705030.98390920099</v>
      </c>
      <c r="AL477" s="43">
        <f>+$AL$6*W477/H477*10^6</f>
        <v>-165.0675720678409</v>
      </c>
      <c r="AM477" s="30">
        <v>2714716</v>
      </c>
      <c r="AN477" s="44">
        <v>-0.2597070868220473</v>
      </c>
      <c r="AP477" s="32"/>
      <c r="AR477" s="32"/>
    </row>
    <row r="478" spans="1:44">
      <c r="A478" s="5" t="s">
        <v>981</v>
      </c>
      <c r="B478" s="5" t="s">
        <v>1073</v>
      </c>
      <c r="C478" s="5" t="s">
        <v>2546</v>
      </c>
      <c r="D478" s="29" t="s">
        <v>2547</v>
      </c>
      <c r="E478" s="5" t="s">
        <v>868</v>
      </c>
      <c r="F478" s="30" t="s">
        <v>1155</v>
      </c>
      <c r="G478" s="5" t="s">
        <v>970</v>
      </c>
      <c r="H478" s="31">
        <v>63.61</v>
      </c>
      <c r="I478" s="32">
        <v>409.01299999999998</v>
      </c>
      <c r="J478" s="32">
        <v>400.38989999999995</v>
      </c>
      <c r="K478" s="33">
        <v>1</v>
      </c>
      <c r="L478" s="33">
        <v>1</v>
      </c>
      <c r="M478" s="6">
        <v>0.41</v>
      </c>
      <c r="N478" s="6">
        <v>0.41</v>
      </c>
      <c r="O478" s="6">
        <v>0.59</v>
      </c>
      <c r="P478" s="6">
        <v>0.59</v>
      </c>
      <c r="Q478" s="34">
        <v>409.01299999999998</v>
      </c>
      <c r="R478" s="34">
        <v>400.38989999999995</v>
      </c>
      <c r="S478" s="34">
        <v>26017.316929999997</v>
      </c>
      <c r="T478" s="34">
        <v>25468.801538999996</v>
      </c>
      <c r="U478" s="35">
        <v>1.4129446605140054E-3</v>
      </c>
      <c r="V478" s="36">
        <v>1.3881349526450905E-3</v>
      </c>
      <c r="W478" s="36">
        <v>-2.4809707868914945E-5</v>
      </c>
      <c r="X478" s="37">
        <v>-52.079146316874422</v>
      </c>
      <c r="Y478" s="38">
        <v>-818725.77137045155</v>
      </c>
      <c r="Z478" s="39">
        <v>1.0838108254226935E-3</v>
      </c>
      <c r="AA478" s="40">
        <v>1.0651210954472322E-3</v>
      </c>
      <c r="AB478" s="40">
        <v>-1.8689729975461273E-5</v>
      </c>
      <c r="AC478" s="41">
        <v>-0.36789670825884591</v>
      </c>
      <c r="AD478" s="42">
        <v>-5783.6300622362196</v>
      </c>
      <c r="AE478" s="39">
        <v>1.7908798609262977E-3</v>
      </c>
      <c r="AF478" s="40">
        <v>1.7587879258217423E-3</v>
      </c>
      <c r="AG478" s="40">
        <v>-3.2091935104555354E-5</v>
      </c>
      <c r="AH478" s="41">
        <v>-0.41260570699650917</v>
      </c>
      <c r="AI478" s="42">
        <v>-6486.4912277394933</v>
      </c>
      <c r="AJ478" s="41">
        <v>-52.859648732129777</v>
      </c>
      <c r="AK478" s="30">
        <v>-830995.89266042726</v>
      </c>
      <c r="AL478" s="43">
        <f>+$AL$6*W478/H478*10^6</f>
        <v>-195.0142105715685</v>
      </c>
      <c r="AM478" s="30">
        <v>3195540</v>
      </c>
      <c r="AN478" s="44">
        <v>-0.26004865927524839</v>
      </c>
      <c r="AP478" s="32"/>
      <c r="AR478" s="32"/>
    </row>
    <row r="479" spans="1:44">
      <c r="A479" s="5" t="s">
        <v>1223</v>
      </c>
      <c r="B479" s="5" t="s">
        <v>393</v>
      </c>
      <c r="C479" s="5" t="s">
        <v>2484</v>
      </c>
      <c r="D479" s="29" t="s">
        <v>2485</v>
      </c>
      <c r="E479" s="5" t="s">
        <v>744</v>
      </c>
      <c r="F479" s="30" t="s">
        <v>1167</v>
      </c>
      <c r="G479" s="5" t="s">
        <v>970</v>
      </c>
      <c r="H479" s="31">
        <v>69.099999999999994</v>
      </c>
      <c r="I479" s="32">
        <v>145.83699999999999</v>
      </c>
      <c r="J479" s="32">
        <v>141.80099999999999</v>
      </c>
      <c r="K479" s="33">
        <v>1</v>
      </c>
      <c r="L479" s="33">
        <v>1</v>
      </c>
      <c r="M479" s="6">
        <v>1</v>
      </c>
      <c r="N479" s="6">
        <v>1</v>
      </c>
      <c r="O479" s="6">
        <v>0</v>
      </c>
      <c r="P479" s="6">
        <v>0</v>
      </c>
      <c r="Q479" s="34">
        <v>145.83699999999999</v>
      </c>
      <c r="R479" s="34">
        <v>141.80099999999999</v>
      </c>
      <c r="S479" s="34">
        <v>10077.336699999998</v>
      </c>
      <c r="T479" s="34">
        <v>9798.449099999998</v>
      </c>
      <c r="U479" s="35">
        <v>5.4727853455359453E-4</v>
      </c>
      <c r="V479" s="36">
        <v>5.3404828085828636E-4</v>
      </c>
      <c r="W479" s="36">
        <v>-1.3230253695308176E-5</v>
      </c>
      <c r="X479" s="37">
        <v>-27.772206010963295</v>
      </c>
      <c r="Y479" s="38">
        <v>-401913.25630916492</v>
      </c>
      <c r="Z479" s="39">
        <v>1.0238890295386455E-3</v>
      </c>
      <c r="AA479" s="40">
        <v>9.9945664829016951E-4</v>
      </c>
      <c r="AB479" s="40">
        <v>-2.4432381248475944E-5</v>
      </c>
      <c r="AC479" s="41">
        <v>-0.48093753350321522</v>
      </c>
      <c r="AD479" s="42">
        <v>-6960.0221925212054</v>
      </c>
      <c r="AE479" s="39">
        <v>0</v>
      </c>
      <c r="AF479" s="40">
        <v>0</v>
      </c>
      <c r="AG479" s="40">
        <v>0</v>
      </c>
      <c r="AH479" s="41">
        <v>0</v>
      </c>
      <c r="AI479" s="42">
        <v>0</v>
      </c>
      <c r="AJ479" s="41">
        <v>-28.253143544466511</v>
      </c>
      <c r="AK479" s="30">
        <v>-408873.27850168612</v>
      </c>
      <c r="AL479" s="43">
        <f>+$AL$6*W479/H479*10^6</f>
        <v>-95.732660602808807</v>
      </c>
      <c r="AM479" s="30">
        <v>1538744.875</v>
      </c>
      <c r="AN479" s="44">
        <v>-0.26571869394638026</v>
      </c>
      <c r="AP479" s="32"/>
      <c r="AR479" s="32"/>
    </row>
    <row r="480" spans="1:44">
      <c r="A480" s="5" t="s">
        <v>999</v>
      </c>
      <c r="B480" s="5" t="s">
        <v>1087</v>
      </c>
      <c r="C480" s="5" t="s">
        <v>2583</v>
      </c>
      <c r="D480" s="29" t="s">
        <v>2584</v>
      </c>
      <c r="E480" s="5" t="s">
        <v>1691</v>
      </c>
      <c r="F480" s="30" t="s">
        <v>1169</v>
      </c>
      <c r="G480" s="5" t="s">
        <v>970</v>
      </c>
      <c r="H480" s="31">
        <v>108.32</v>
      </c>
      <c r="I480" s="32">
        <v>1128.3309999999999</v>
      </c>
      <c r="J480" s="32">
        <v>1114.4859999999999</v>
      </c>
      <c r="K480" s="33">
        <v>1</v>
      </c>
      <c r="L480" s="33">
        <v>1</v>
      </c>
      <c r="M480" s="6">
        <v>1</v>
      </c>
      <c r="N480" s="6">
        <v>1</v>
      </c>
      <c r="O480" s="6">
        <v>0</v>
      </c>
      <c r="P480" s="6">
        <v>0</v>
      </c>
      <c r="Q480" s="34">
        <v>1128.3309999999999</v>
      </c>
      <c r="R480" s="34">
        <v>1114.4859999999999</v>
      </c>
      <c r="S480" s="34">
        <v>122220.81391999999</v>
      </c>
      <c r="T480" s="34">
        <v>120721.12351999998</v>
      </c>
      <c r="U480" s="35">
        <v>6.6375501707792673E-3</v>
      </c>
      <c r="V480" s="36">
        <v>6.5797054024740341E-3</v>
      </c>
      <c r="W480" s="36">
        <v>-5.7844768305233274E-5</v>
      </c>
      <c r="X480" s="37">
        <v>-121.42449109642402</v>
      </c>
      <c r="Y480" s="38">
        <v>-1120979.4229728954</v>
      </c>
      <c r="Z480" s="39">
        <v>1.2418018200579939E-2</v>
      </c>
      <c r="AA480" s="40">
        <v>1.2313737435358291E-2</v>
      </c>
      <c r="AB480" s="40">
        <v>-1.042807652216482E-4</v>
      </c>
      <c r="AC480" s="41">
        <v>-2.0527075730964941</v>
      </c>
      <c r="AD480" s="42">
        <v>-18950.402262707667</v>
      </c>
      <c r="AE480" s="39">
        <v>0</v>
      </c>
      <c r="AF480" s="40">
        <v>0</v>
      </c>
      <c r="AG480" s="40">
        <v>0</v>
      </c>
      <c r="AH480" s="41">
        <v>0</v>
      </c>
      <c r="AI480" s="42">
        <v>0</v>
      </c>
      <c r="AJ480" s="41">
        <v>-123.47719866952052</v>
      </c>
      <c r="AK480" s="30">
        <v>-1139929.8252356031</v>
      </c>
      <c r="AL480" s="43">
        <f>+$AL$6*W480/H480*10^6</f>
        <v>-267.00871632770162</v>
      </c>
      <c r="AM480" s="30">
        <v>4100123</v>
      </c>
      <c r="AN480" s="44">
        <v>-0.27802332399189078</v>
      </c>
      <c r="AP480" s="32"/>
      <c r="AR480" s="32"/>
    </row>
    <row r="481" spans="1:44">
      <c r="A481" s="5" t="s">
        <v>1175</v>
      </c>
      <c r="B481" s="5" t="s">
        <v>343</v>
      </c>
      <c r="C481" s="5" t="s">
        <v>2534</v>
      </c>
      <c r="D481" s="29" t="s">
        <v>2535</v>
      </c>
      <c r="E481" s="5" t="s">
        <v>701</v>
      </c>
      <c r="F481" s="30" t="s">
        <v>1153</v>
      </c>
      <c r="G481" s="5" t="s">
        <v>970</v>
      </c>
      <c r="H481" s="31">
        <v>46.89</v>
      </c>
      <c r="I481" s="32">
        <v>620.37300000000005</v>
      </c>
      <c r="J481" s="32">
        <v>608.93949999999995</v>
      </c>
      <c r="K481" s="33">
        <v>1</v>
      </c>
      <c r="L481" s="33">
        <v>1</v>
      </c>
      <c r="M481" s="6">
        <v>0</v>
      </c>
      <c r="N481" s="6">
        <v>0</v>
      </c>
      <c r="O481" s="6">
        <v>1</v>
      </c>
      <c r="P481" s="6">
        <v>1</v>
      </c>
      <c r="Q481" s="34">
        <v>620.37300000000005</v>
      </c>
      <c r="R481" s="34">
        <v>608.93949999999995</v>
      </c>
      <c r="S481" s="34">
        <v>29089.289970000002</v>
      </c>
      <c r="T481" s="34">
        <v>28553.173154999997</v>
      </c>
      <c r="U481" s="35">
        <v>1.5797769251856178E-3</v>
      </c>
      <c r="V481" s="36">
        <v>1.5562435320990466E-3</v>
      </c>
      <c r="W481" s="36">
        <v>-2.3533393086571167E-5</v>
      </c>
      <c r="X481" s="37">
        <v>-49.399977958775636</v>
      </c>
      <c r="Y481" s="38">
        <v>-1053529.0671523914</v>
      </c>
      <c r="Z481" s="39">
        <v>0</v>
      </c>
      <c r="AA481" s="40">
        <v>0</v>
      </c>
      <c r="AB481" s="40">
        <v>0</v>
      </c>
      <c r="AC481" s="41">
        <v>0</v>
      </c>
      <c r="AD481" s="42">
        <v>0</v>
      </c>
      <c r="AE481" s="39">
        <v>3.3937906945724736E-3</v>
      </c>
      <c r="AF481" s="40">
        <v>3.3420068339072412E-3</v>
      </c>
      <c r="AG481" s="40">
        <v>-5.1783860665232349E-5</v>
      </c>
      <c r="AH481" s="41">
        <v>-0.6657846082255735</v>
      </c>
      <c r="AI481" s="42">
        <v>-14198.861339850149</v>
      </c>
      <c r="AJ481" s="41">
        <v>-50.065762567001208</v>
      </c>
      <c r="AK481" s="30">
        <v>-1067727.9284922415</v>
      </c>
      <c r="AL481" s="43">
        <f>+$AL$6*W481/H481*10^6</f>
        <v>-250.94255797154156</v>
      </c>
      <c r="AM481" s="30">
        <v>3739602.5</v>
      </c>
      <c r="AN481" s="44">
        <v>-0.28551909688054855</v>
      </c>
      <c r="AP481" s="32"/>
      <c r="AR481" s="32"/>
    </row>
    <row r="482" spans="1:44">
      <c r="A482" s="5" t="s">
        <v>1356</v>
      </c>
      <c r="B482" s="5" t="s">
        <v>1592</v>
      </c>
      <c r="C482" s="5" t="s">
        <v>2528</v>
      </c>
      <c r="D482" s="29" t="s">
        <v>1623</v>
      </c>
      <c r="E482" s="5" t="s">
        <v>1640</v>
      </c>
      <c r="F482" s="30" t="s">
        <v>1153</v>
      </c>
      <c r="G482" s="5" t="s">
        <v>968</v>
      </c>
      <c r="H482" s="31">
        <v>52.89</v>
      </c>
      <c r="I482" s="32">
        <v>153.96899999999999</v>
      </c>
      <c r="J482" s="32">
        <v>154.0582</v>
      </c>
      <c r="K482" s="33">
        <v>0.75</v>
      </c>
      <c r="L482" s="33">
        <v>0.7</v>
      </c>
      <c r="M482" s="6">
        <v>1</v>
      </c>
      <c r="N482" s="6">
        <v>1</v>
      </c>
      <c r="O482" s="6">
        <v>0</v>
      </c>
      <c r="P482" s="6">
        <v>0</v>
      </c>
      <c r="Q482" s="34">
        <v>115.47675</v>
      </c>
      <c r="R482" s="34">
        <v>107.84074</v>
      </c>
      <c r="S482" s="34">
        <v>6107.5653075</v>
      </c>
      <c r="T482" s="34">
        <v>5703.6967385999997</v>
      </c>
      <c r="U482" s="35">
        <v>3.31688767646215E-4</v>
      </c>
      <c r="V482" s="36">
        <v>3.1087056805615749E-4</v>
      </c>
      <c r="W482" s="36">
        <v>-2.0818199590057511E-5</v>
      </c>
      <c r="X482" s="37">
        <v>-43.700396160767752</v>
      </c>
      <c r="Y482" s="38">
        <v>-826250.63642971742</v>
      </c>
      <c r="Z482" s="39">
        <v>6.2054779965227077E-4</v>
      </c>
      <c r="AA482" s="40">
        <v>5.8178570578324774E-4</v>
      </c>
      <c r="AB482" s="40">
        <v>-3.8762093869023034E-5</v>
      </c>
      <c r="AC482" s="41">
        <v>-0.76300977907959366</v>
      </c>
      <c r="AD482" s="42">
        <v>-14426.352412168531</v>
      </c>
      <c r="AE482" s="39">
        <v>0</v>
      </c>
      <c r="AF482" s="40">
        <v>0</v>
      </c>
      <c r="AG482" s="40">
        <v>0</v>
      </c>
      <c r="AH482" s="41">
        <v>0</v>
      </c>
      <c r="AI482" s="42">
        <v>0</v>
      </c>
      <c r="AJ482" s="41">
        <v>-44.463405939847348</v>
      </c>
      <c r="AK482" s="30">
        <v>-840676.98884188593</v>
      </c>
      <c r="AL482" s="43">
        <f>+$AL$6*W482/H482*10^6</f>
        <v>-196.80657581827862</v>
      </c>
      <c r="AM482" s="30">
        <v>2931684</v>
      </c>
      <c r="AN482" s="44">
        <v>-0.28675566290292059</v>
      </c>
      <c r="AP482" s="32"/>
      <c r="AR482" s="32"/>
    </row>
    <row r="483" spans="1:44">
      <c r="A483" s="5" t="s">
        <v>1027</v>
      </c>
      <c r="B483" s="5" t="s">
        <v>1112</v>
      </c>
      <c r="C483" s="5" t="s">
        <v>2594</v>
      </c>
      <c r="D483" s="29" t="s">
        <v>2595</v>
      </c>
      <c r="E483" s="5" t="s">
        <v>911</v>
      </c>
      <c r="F483" s="30" t="s">
        <v>1161</v>
      </c>
      <c r="G483" s="5" t="s">
        <v>970</v>
      </c>
      <c r="H483" s="31">
        <v>98.28</v>
      </c>
      <c r="I483" s="32">
        <v>958.51499999999999</v>
      </c>
      <c r="J483" s="32">
        <v>941.81020000000001</v>
      </c>
      <c r="K483" s="33">
        <v>1</v>
      </c>
      <c r="L483" s="33">
        <v>1</v>
      </c>
      <c r="M483" s="6">
        <v>0.52</v>
      </c>
      <c r="N483" s="6">
        <v>0.52</v>
      </c>
      <c r="O483" s="6">
        <v>0.48</v>
      </c>
      <c r="P483" s="6">
        <v>0.48</v>
      </c>
      <c r="Q483" s="34">
        <v>958.51499999999999</v>
      </c>
      <c r="R483" s="34">
        <v>941.81020000000001</v>
      </c>
      <c r="S483" s="34">
        <v>94202.854200000002</v>
      </c>
      <c r="T483" s="34">
        <v>92561.106456000009</v>
      </c>
      <c r="U483" s="35">
        <v>5.1159548928579454E-3</v>
      </c>
      <c r="V483" s="36">
        <v>5.044890193609073E-3</v>
      </c>
      <c r="W483" s="36">
        <v>-7.1064699248872369E-5</v>
      </c>
      <c r="X483" s="37">
        <v>-149.17502816644665</v>
      </c>
      <c r="Y483" s="38">
        <v>-1517857.4294510242</v>
      </c>
      <c r="Z483" s="39">
        <v>4.9770789004833426E-3</v>
      </c>
      <c r="AA483" s="40">
        <v>4.9095139836652871E-3</v>
      </c>
      <c r="AB483" s="40">
        <v>-6.7564916818055494E-5</v>
      </c>
      <c r="AC483" s="41">
        <v>-1.3299769725823376</v>
      </c>
      <c r="AD483" s="42">
        <v>-13532.529228554513</v>
      </c>
      <c r="AE483" s="39">
        <v>5.2754223204349044E-3</v>
      </c>
      <c r="AF483" s="40">
        <v>5.2002321196438842E-3</v>
      </c>
      <c r="AG483" s="40">
        <v>-7.5190200791020248E-5</v>
      </c>
      <c r="AH483" s="41">
        <v>-0.96671970248950934</v>
      </c>
      <c r="AI483" s="42">
        <v>-9836.3828092135664</v>
      </c>
      <c r="AJ483" s="41">
        <v>-151.47172484151849</v>
      </c>
      <c r="AK483" s="30">
        <v>-1541226.3414887923</v>
      </c>
      <c r="AL483" s="43">
        <f>+$AL$6*W483/H483*10^6</f>
        <v>-361.54201897065718</v>
      </c>
      <c r="AM483" s="30">
        <v>5356794</v>
      </c>
      <c r="AN483" s="44">
        <v>-0.28771431970107353</v>
      </c>
      <c r="AP483" s="32"/>
      <c r="AR483" s="32"/>
    </row>
    <row r="484" spans="1:44">
      <c r="A484" s="5" t="s">
        <v>1286</v>
      </c>
      <c r="B484" s="5" t="s">
        <v>459</v>
      </c>
      <c r="C484" s="5" t="s">
        <v>2554</v>
      </c>
      <c r="D484" s="29" t="s">
        <v>2555</v>
      </c>
      <c r="E484" s="5" t="s">
        <v>684</v>
      </c>
      <c r="F484" s="30" t="s">
        <v>1147</v>
      </c>
      <c r="G484" s="5" t="s">
        <v>970</v>
      </c>
      <c r="H484" s="31">
        <v>17.940000000000001</v>
      </c>
      <c r="I484" s="32">
        <v>1258.5530000000001</v>
      </c>
      <c r="J484" s="32">
        <v>1225.9349999999999</v>
      </c>
      <c r="K484" s="33">
        <v>1</v>
      </c>
      <c r="L484" s="33">
        <v>1</v>
      </c>
      <c r="M484" s="6">
        <v>0.43</v>
      </c>
      <c r="N484" s="6">
        <v>0.43</v>
      </c>
      <c r="O484" s="6">
        <v>0.56999999999999995</v>
      </c>
      <c r="P484" s="6">
        <v>0.56999999999999995</v>
      </c>
      <c r="Q484" s="34">
        <v>1258.5530000000001</v>
      </c>
      <c r="R484" s="34">
        <v>1225.9349999999999</v>
      </c>
      <c r="S484" s="34">
        <v>22578.440820000003</v>
      </c>
      <c r="T484" s="34">
        <v>21993.2739</v>
      </c>
      <c r="U484" s="35">
        <v>1.2261866773266258E-3</v>
      </c>
      <c r="V484" s="36">
        <v>1.1987070603592177E-3</v>
      </c>
      <c r="W484" s="36">
        <v>-2.747961696740811E-5</v>
      </c>
      <c r="X484" s="37">
        <v>-57.683669648138498</v>
      </c>
      <c r="Y484" s="38">
        <v>-3215366.201122547</v>
      </c>
      <c r="Z484" s="39">
        <v>9.8643738674175554E-4</v>
      </c>
      <c r="AA484" s="40">
        <v>9.6463931637092619E-4</v>
      </c>
      <c r="AB484" s="40">
        <v>-2.1798070370829346E-5</v>
      </c>
      <c r="AC484" s="41">
        <v>-0.42908262165113875</v>
      </c>
      <c r="AD484" s="42">
        <v>-23917.648921468153</v>
      </c>
      <c r="AE484" s="39">
        <v>1.5014840989993623E-3</v>
      </c>
      <c r="AF484" s="40">
        <v>1.4672958632874738E-3</v>
      </c>
      <c r="AG484" s="40">
        <v>-3.4188235711888476E-5</v>
      </c>
      <c r="AH484" s="41">
        <v>-0.4395578241358436</v>
      </c>
      <c r="AI484" s="42">
        <v>-24501.550955175229</v>
      </c>
      <c r="AJ484" s="41">
        <v>-58.552310093925485</v>
      </c>
      <c r="AK484" s="30">
        <v>-3263785.4009991908</v>
      </c>
      <c r="AL484" s="43">
        <f>+$AL$6*W484/H484*10^6</f>
        <v>-765.87561224660271</v>
      </c>
      <c r="AM484" s="30">
        <v>10932304</v>
      </c>
      <c r="AN484" s="44">
        <v>-0.29854506433403155</v>
      </c>
      <c r="AP484" s="32"/>
      <c r="AR484" s="32"/>
    </row>
    <row r="485" spans="1:44">
      <c r="A485" s="5" t="s">
        <v>1191</v>
      </c>
      <c r="B485" s="5" t="s">
        <v>361</v>
      </c>
      <c r="C485" s="5" t="s">
        <v>2427</v>
      </c>
      <c r="D485" s="29" t="s">
        <v>2428</v>
      </c>
      <c r="E485" s="5" t="s">
        <v>716</v>
      </c>
      <c r="F485" s="30" t="s">
        <v>1159</v>
      </c>
      <c r="G485" s="5" t="s">
        <v>968</v>
      </c>
      <c r="H485" s="31">
        <v>60.44</v>
      </c>
      <c r="I485" s="32">
        <v>114.02500000000001</v>
      </c>
      <c r="J485" s="32">
        <v>113.44109999999999</v>
      </c>
      <c r="K485" s="33">
        <v>0.66</v>
      </c>
      <c r="L485" s="33">
        <v>0.64</v>
      </c>
      <c r="M485" s="6">
        <v>0.42</v>
      </c>
      <c r="N485" s="6">
        <v>0.42</v>
      </c>
      <c r="O485" s="6">
        <v>0.57999999999999996</v>
      </c>
      <c r="P485" s="6">
        <v>0.57999999999999996</v>
      </c>
      <c r="Q485" s="34">
        <v>75.256500000000003</v>
      </c>
      <c r="R485" s="34">
        <v>72.60230399999999</v>
      </c>
      <c r="S485" s="34">
        <v>4548.5028599999996</v>
      </c>
      <c r="T485" s="34">
        <v>4388.083253759999</v>
      </c>
      <c r="U485" s="35">
        <v>2.4701943119888353E-4</v>
      </c>
      <c r="V485" s="36">
        <v>2.3916522849861652E-4</v>
      </c>
      <c r="W485" s="36">
        <v>-7.8542027002670087E-6</v>
      </c>
      <c r="X485" s="37">
        <v>-16.48710149231939</v>
      </c>
      <c r="Y485" s="38">
        <v>-272784.60443943396</v>
      </c>
      <c r="Z485" s="39">
        <v>1.9409970843340432E-4</v>
      </c>
      <c r="AA485" s="40">
        <v>1.879882778707194E-4</v>
      </c>
      <c r="AB485" s="40">
        <v>-6.1114305626849212E-6</v>
      </c>
      <c r="AC485" s="41">
        <v>-0.12030003588689074</v>
      </c>
      <c r="AD485" s="42">
        <v>-1990.4042999154656</v>
      </c>
      <c r="AE485" s="39">
        <v>3.0778567245629067E-4</v>
      </c>
      <c r="AF485" s="40">
        <v>2.9788991936141634E-4</v>
      </c>
      <c r="AG485" s="40">
        <v>-9.8957530948743299E-6</v>
      </c>
      <c r="AH485" s="41">
        <v>-0.12722960421897217</v>
      </c>
      <c r="AI485" s="42">
        <v>-2105.0563239406383</v>
      </c>
      <c r="AJ485" s="41">
        <v>-16.734631132425253</v>
      </c>
      <c r="AK485" s="30">
        <v>-276880.06506329007</v>
      </c>
      <c r="AL485" s="43">
        <f>+$AL$6*W485/H485*10^6</f>
        <v>-64.975204337086438</v>
      </c>
      <c r="AM485" s="30">
        <v>913350.3125</v>
      </c>
      <c r="AN485" s="44">
        <v>-0.30314772029301745</v>
      </c>
      <c r="AP485" s="32"/>
      <c r="AR485" s="32"/>
    </row>
    <row r="486" spans="1:44">
      <c r="A486" s="5" t="s">
        <v>1492</v>
      </c>
      <c r="B486" s="5" t="s">
        <v>1499</v>
      </c>
      <c r="C486" s="5" t="s">
        <v>2572</v>
      </c>
      <c r="D486" s="29" t="s">
        <v>1508</v>
      </c>
      <c r="E486" s="5" t="s">
        <v>1519</v>
      </c>
      <c r="F486" s="30" t="s">
        <v>1147</v>
      </c>
      <c r="G486" s="5" t="s">
        <v>970</v>
      </c>
      <c r="H486" s="31">
        <v>51.62</v>
      </c>
      <c r="I486" s="32">
        <v>317.38200000000001</v>
      </c>
      <c r="J486" s="32">
        <v>302.03389999999996</v>
      </c>
      <c r="K486" s="33">
        <v>1</v>
      </c>
      <c r="L486" s="33">
        <v>1</v>
      </c>
      <c r="M486" s="6">
        <v>1</v>
      </c>
      <c r="N486" s="6">
        <v>1</v>
      </c>
      <c r="O486" s="6">
        <v>0</v>
      </c>
      <c r="P486" s="6">
        <v>0</v>
      </c>
      <c r="Q486" s="34">
        <v>317.38200000000001</v>
      </c>
      <c r="R486" s="34">
        <v>302.03389999999996</v>
      </c>
      <c r="S486" s="34">
        <v>16383.258839999999</v>
      </c>
      <c r="T486" s="34">
        <v>15590.989917999997</v>
      </c>
      <c r="U486" s="35">
        <v>8.8973963618457091E-4</v>
      </c>
      <c r="V486" s="36">
        <v>8.4976114868900781E-4</v>
      </c>
      <c r="W486" s="36">
        <v>-3.9978487495563098E-5</v>
      </c>
      <c r="X486" s="37">
        <v>-83.920597163396721</v>
      </c>
      <c r="Y486" s="38">
        <v>-1625738.0310615406</v>
      </c>
      <c r="Z486" s="39">
        <v>1.6645905057799683E-3</v>
      </c>
      <c r="AA486" s="40">
        <v>1.5903045847296493E-3</v>
      </c>
      <c r="AB486" s="40">
        <v>-7.4285921050319019E-5</v>
      </c>
      <c r="AC486" s="41">
        <v>-1.4622761195732239</v>
      </c>
      <c r="AD486" s="42">
        <v>-28327.704757327083</v>
      </c>
      <c r="AE486" s="39">
        <v>0</v>
      </c>
      <c r="AF486" s="40">
        <v>0</v>
      </c>
      <c r="AG486" s="40">
        <v>0</v>
      </c>
      <c r="AH486" s="41">
        <v>0</v>
      </c>
      <c r="AI486" s="42">
        <v>0</v>
      </c>
      <c r="AJ486" s="41">
        <v>-85.382873282969939</v>
      </c>
      <c r="AK486" s="30">
        <v>-1654065.7358188676</v>
      </c>
      <c r="AL486" s="43">
        <f>+$AL$6*W486/H486*10^6</f>
        <v>-387.23835233982084</v>
      </c>
      <c r="AM486" s="30">
        <v>5377582</v>
      </c>
      <c r="AN486" s="44">
        <v>-0.30758540470770462</v>
      </c>
      <c r="AP486" s="32"/>
      <c r="AR486" s="32"/>
    </row>
    <row r="487" spans="1:44">
      <c r="A487" s="5" t="s">
        <v>985</v>
      </c>
      <c r="B487" s="5" t="s">
        <v>1075</v>
      </c>
      <c r="C487" s="5" t="s">
        <v>2592</v>
      </c>
      <c r="D487" s="29" t="s">
        <v>2593</v>
      </c>
      <c r="E487" s="5" t="s">
        <v>872</v>
      </c>
      <c r="F487" s="30" t="s">
        <v>1164</v>
      </c>
      <c r="G487" s="5" t="s">
        <v>970</v>
      </c>
      <c r="H487" s="31">
        <v>142.43</v>
      </c>
      <c r="I487" s="32">
        <v>691.51700000000005</v>
      </c>
      <c r="J487" s="32">
        <v>679.49509999999998</v>
      </c>
      <c r="K487" s="33">
        <v>0.93</v>
      </c>
      <c r="L487" s="33">
        <v>0.93</v>
      </c>
      <c r="M487" s="6">
        <v>0.5</v>
      </c>
      <c r="N487" s="6">
        <v>0.5</v>
      </c>
      <c r="O487" s="6">
        <v>0.5</v>
      </c>
      <c r="P487" s="6">
        <v>0.5</v>
      </c>
      <c r="Q487" s="34">
        <v>643.11081000000013</v>
      </c>
      <c r="R487" s="34">
        <v>631.93044299999997</v>
      </c>
      <c r="S487" s="34">
        <v>91598.272668300022</v>
      </c>
      <c r="T487" s="34">
        <v>90005.852996489994</v>
      </c>
      <c r="U487" s="35">
        <v>4.9745056581812748E-3</v>
      </c>
      <c r="V487" s="36">
        <v>4.9056203251552468E-3</v>
      </c>
      <c r="W487" s="36">
        <v>-6.8885333026028062E-5</v>
      </c>
      <c r="X487" s="37">
        <v>-144.60022490809104</v>
      </c>
      <c r="Y487" s="38">
        <v>-1015237.1333854598</v>
      </c>
      <c r="Z487" s="39">
        <v>4.653335960768383E-3</v>
      </c>
      <c r="AA487" s="40">
        <v>4.5903666613101874E-3</v>
      </c>
      <c r="AB487" s="40">
        <v>-6.2969299458195613E-5</v>
      </c>
      <c r="AC487" s="41">
        <v>-1.2395148577562014</v>
      </c>
      <c r="AD487" s="42">
        <v>-8702.6248526026902</v>
      </c>
      <c r="AE487" s="39">
        <v>5.3432958614869335E-3</v>
      </c>
      <c r="AF487" s="40">
        <v>5.2673686068626397E-3</v>
      </c>
      <c r="AG487" s="40">
        <v>-7.5927254624293811E-5</v>
      </c>
      <c r="AH487" s="41">
        <v>-0.97619599667312684</v>
      </c>
      <c r="AI487" s="42">
        <v>-6853.8650331610388</v>
      </c>
      <c r="AJ487" s="41">
        <v>-146.81593576252038</v>
      </c>
      <c r="AK487" s="30">
        <v>-1030793.6232712235</v>
      </c>
      <c r="AL487" s="43">
        <f>+$AL$6*W487/H487*10^6</f>
        <v>-241.82171251150763</v>
      </c>
      <c r="AM487" s="30">
        <v>3335283.5</v>
      </c>
      <c r="AN487" s="44">
        <v>-0.3090572730237845</v>
      </c>
      <c r="AP487" s="32"/>
      <c r="AR487" s="32"/>
    </row>
    <row r="488" spans="1:44">
      <c r="A488" s="5" t="s">
        <v>1606</v>
      </c>
      <c r="B488" s="5" t="s">
        <v>1586</v>
      </c>
      <c r="C488" s="5" t="s">
        <v>2585</v>
      </c>
      <c r="D488" s="29" t="s">
        <v>1617</v>
      </c>
      <c r="E488" s="5" t="s">
        <v>1633</v>
      </c>
      <c r="F488" s="30" t="s">
        <v>1167</v>
      </c>
      <c r="G488" s="5" t="s">
        <v>970</v>
      </c>
      <c r="H488" s="31">
        <v>46.6</v>
      </c>
      <c r="I488" s="32">
        <v>821.31200000000001</v>
      </c>
      <c r="J488" s="32">
        <v>795.39829999999995</v>
      </c>
      <c r="K488" s="33">
        <v>1</v>
      </c>
      <c r="L488" s="33">
        <v>1</v>
      </c>
      <c r="M488" s="6">
        <v>1</v>
      </c>
      <c r="N488" s="6">
        <v>1</v>
      </c>
      <c r="O488" s="6">
        <v>0</v>
      </c>
      <c r="P488" s="6">
        <v>0</v>
      </c>
      <c r="Q488" s="34">
        <v>821.31200000000001</v>
      </c>
      <c r="R488" s="34">
        <v>795.39829999999995</v>
      </c>
      <c r="S488" s="34">
        <v>38273.139200000005</v>
      </c>
      <c r="T488" s="34">
        <v>37065.56078</v>
      </c>
      <c r="U488" s="35">
        <v>2.0785320722827233E-3</v>
      </c>
      <c r="V488" s="36">
        <v>2.0201971568752984E-3</v>
      </c>
      <c r="W488" s="36">
        <v>-5.8334915407424939E-5</v>
      </c>
      <c r="X488" s="37">
        <v>-122.45338038390389</v>
      </c>
      <c r="Y488" s="38">
        <v>-2627754.9438605984</v>
      </c>
      <c r="Z488" s="39">
        <v>3.8886710367517546E-3</v>
      </c>
      <c r="AA488" s="40">
        <v>3.7807433366341997E-3</v>
      </c>
      <c r="AB488" s="40">
        <v>-1.0792770011755493E-4</v>
      </c>
      <c r="AC488" s="41">
        <v>-2.1244954130064331</v>
      </c>
      <c r="AD488" s="42">
        <v>-45590.030322026454</v>
      </c>
      <c r="AE488" s="39">
        <v>0</v>
      </c>
      <c r="AF488" s="40">
        <v>0</v>
      </c>
      <c r="AG488" s="40">
        <v>0</v>
      </c>
      <c r="AH488" s="41">
        <v>0</v>
      </c>
      <c r="AI488" s="42">
        <v>0</v>
      </c>
      <c r="AJ488" s="41">
        <v>-124.57787579691032</v>
      </c>
      <c r="AK488" s="30">
        <v>-2673344.9741826248</v>
      </c>
      <c r="AL488" s="43">
        <f>+$AL$6*W488/H488*10^6</f>
        <v>-625.91110952172676</v>
      </c>
      <c r="AM488" s="30">
        <v>8600583</v>
      </c>
      <c r="AN488" s="44">
        <v>-0.31083299517981805</v>
      </c>
      <c r="AP488" s="32"/>
      <c r="AR488" s="32"/>
    </row>
    <row r="489" spans="1:44">
      <c r="A489" s="5" t="s">
        <v>984</v>
      </c>
      <c r="B489" s="5" t="s">
        <v>1074</v>
      </c>
      <c r="C489" s="5" t="s">
        <v>2599</v>
      </c>
      <c r="D489" s="29" t="s">
        <v>2600</v>
      </c>
      <c r="E489" s="5" t="s">
        <v>871</v>
      </c>
      <c r="F489" s="30" t="s">
        <v>1157</v>
      </c>
      <c r="G489" s="5" t="s">
        <v>968</v>
      </c>
      <c r="H489" s="31">
        <v>81</v>
      </c>
      <c r="I489" s="32">
        <v>1015.796</v>
      </c>
      <c r="J489" s="32">
        <v>1001.2829999999999</v>
      </c>
      <c r="K489" s="33">
        <v>0.86</v>
      </c>
      <c r="L489" s="33">
        <v>0.85</v>
      </c>
      <c r="M489" s="6">
        <v>0.59</v>
      </c>
      <c r="N489" s="6">
        <v>0.59</v>
      </c>
      <c r="O489" s="6">
        <v>0.41</v>
      </c>
      <c r="P489" s="6">
        <v>0.41</v>
      </c>
      <c r="Q489" s="34">
        <v>873.58456000000001</v>
      </c>
      <c r="R489" s="34">
        <v>851.09054999999989</v>
      </c>
      <c r="S489" s="34">
        <v>70760.349360000007</v>
      </c>
      <c r="T489" s="34">
        <v>68938.334549999985</v>
      </c>
      <c r="U489" s="35">
        <v>3.8428427525142822E-3</v>
      </c>
      <c r="V489" s="36">
        <v>3.7573700364133041E-3</v>
      </c>
      <c r="W489" s="36">
        <v>-8.547271610097806E-5</v>
      </c>
      <c r="X489" s="37">
        <v>-179.41952849435887</v>
      </c>
      <c r="Y489" s="38">
        <v>-2215055.9073377638</v>
      </c>
      <c r="Z489" s="39">
        <v>4.2417893814399692E-3</v>
      </c>
      <c r="AA489" s="40">
        <v>4.1487705748197573E-3</v>
      </c>
      <c r="AB489" s="40">
        <v>-9.3018806620211864E-5</v>
      </c>
      <c r="AC489" s="41">
        <v>-1.8310223211717367</v>
      </c>
      <c r="AD489" s="42">
        <v>-22605.213841626377</v>
      </c>
      <c r="AE489" s="39">
        <v>3.3847434686317566E-3</v>
      </c>
      <c r="AF489" s="40">
        <v>3.3082444957265658E-3</v>
      </c>
      <c r="AG489" s="40">
        <v>-7.6498972905190803E-5</v>
      </c>
      <c r="AH489" s="41">
        <v>-0.98354657321903438</v>
      </c>
      <c r="AI489" s="42">
        <v>-12142.550286654745</v>
      </c>
      <c r="AJ489" s="41">
        <v>-182.23409738874963</v>
      </c>
      <c r="AK489" s="30">
        <v>-2249803.6714660451</v>
      </c>
      <c r="AL489" s="43">
        <f>+$AL$6*W489/H489*10^6</f>
        <v>-527.60935864801274</v>
      </c>
      <c r="AM489" s="30">
        <v>7113259</v>
      </c>
      <c r="AN489" s="44">
        <v>-0.31628310897523132</v>
      </c>
      <c r="AP489" s="32"/>
      <c r="AR489" s="32"/>
    </row>
    <row r="490" spans="1:44">
      <c r="A490" s="5" t="s">
        <v>1032</v>
      </c>
      <c r="B490" s="5" t="s">
        <v>1117</v>
      </c>
      <c r="C490" s="5" t="s">
        <v>2566</v>
      </c>
      <c r="D490" s="29" t="s">
        <v>2567</v>
      </c>
      <c r="E490" s="5" t="s">
        <v>915</v>
      </c>
      <c r="F490" s="30" t="s">
        <v>1148</v>
      </c>
      <c r="G490" s="5" t="s">
        <v>970</v>
      </c>
      <c r="H490" s="31">
        <v>103.25</v>
      </c>
      <c r="I490" s="32">
        <v>476.10300000000001</v>
      </c>
      <c r="J490" s="32">
        <v>467.83459999999997</v>
      </c>
      <c r="K490" s="33">
        <v>1</v>
      </c>
      <c r="L490" s="33">
        <v>1</v>
      </c>
      <c r="M490" s="6">
        <v>0.66</v>
      </c>
      <c r="N490" s="6">
        <v>0.66</v>
      </c>
      <c r="O490" s="6">
        <v>0.34</v>
      </c>
      <c r="P490" s="6">
        <v>0.34</v>
      </c>
      <c r="Q490" s="34">
        <v>476.10300000000001</v>
      </c>
      <c r="R490" s="34">
        <v>467.83459999999997</v>
      </c>
      <c r="S490" s="34">
        <v>49157.634749999997</v>
      </c>
      <c r="T490" s="34">
        <v>48303.922449999998</v>
      </c>
      <c r="U490" s="35">
        <v>2.6696456721646365E-3</v>
      </c>
      <c r="V490" s="36">
        <v>2.6327254935818861E-3</v>
      </c>
      <c r="W490" s="36">
        <v>-3.6920178582750332E-5</v>
      </c>
      <c r="X490" s="37">
        <v>-77.500766740800827</v>
      </c>
      <c r="Y490" s="38">
        <v>-750612.75293753832</v>
      </c>
      <c r="Z490" s="39">
        <v>3.2964161591892815E-3</v>
      </c>
      <c r="AA490" s="40">
        <v>3.2518683435887714E-3</v>
      </c>
      <c r="AB490" s="40">
        <v>-4.4547815600510122E-5</v>
      </c>
      <c r="AC490" s="41">
        <v>-0.87689842181067934</v>
      </c>
      <c r="AD490" s="42">
        <v>-8492.9629231058534</v>
      </c>
      <c r="AE490" s="39">
        <v>1.9499426080282715E-3</v>
      </c>
      <c r="AF490" s="40">
        <v>1.9222694773387491E-3</v>
      </c>
      <c r="AG490" s="40">
        <v>-2.7673130689522332E-5</v>
      </c>
      <c r="AH490" s="41">
        <v>-0.35579318030393231</v>
      </c>
      <c r="AI490" s="42">
        <v>-3445.9387922899014</v>
      </c>
      <c r="AJ490" s="41">
        <v>-78.733458342915441</v>
      </c>
      <c r="AK490" s="30">
        <v>-762551.65465293406</v>
      </c>
      <c r="AL490" s="43">
        <f>+$AL$6*W490/H490*10^6</f>
        <v>-178.79021105448103</v>
      </c>
      <c r="AM490" s="30">
        <v>2405591.25</v>
      </c>
      <c r="AN490" s="44">
        <v>-0.31699136528407895</v>
      </c>
      <c r="AP490" s="32"/>
      <c r="AR490" s="32"/>
    </row>
    <row r="491" spans="1:44">
      <c r="A491" s="5" t="s">
        <v>1204</v>
      </c>
      <c r="B491" s="5" t="s">
        <v>374</v>
      </c>
      <c r="C491" s="5" t="s">
        <v>2522</v>
      </c>
      <c r="D491" s="29" t="s">
        <v>2523</v>
      </c>
      <c r="E491" s="5" t="s">
        <v>727</v>
      </c>
      <c r="F491" s="30" t="s">
        <v>1157</v>
      </c>
      <c r="G491" s="5" t="s">
        <v>968</v>
      </c>
      <c r="H491" s="31">
        <v>43.98</v>
      </c>
      <c r="I491" s="32">
        <v>619.1</v>
      </c>
      <c r="J491" s="32">
        <v>613.81799999999998</v>
      </c>
      <c r="K491" s="33">
        <v>0.63</v>
      </c>
      <c r="L491" s="33">
        <v>0.62</v>
      </c>
      <c r="M491" s="6">
        <v>0.51</v>
      </c>
      <c r="N491" s="6">
        <v>0.51</v>
      </c>
      <c r="O491" s="6">
        <v>0.49</v>
      </c>
      <c r="P491" s="6">
        <v>0.49</v>
      </c>
      <c r="Q491" s="34">
        <v>390.03300000000002</v>
      </c>
      <c r="R491" s="34">
        <v>380.56716</v>
      </c>
      <c r="S491" s="34">
        <v>17153.65134</v>
      </c>
      <c r="T491" s="34">
        <v>16737.343696799999</v>
      </c>
      <c r="U491" s="35">
        <v>9.3157799992913857E-4</v>
      </c>
      <c r="V491" s="36">
        <v>9.1224126759104323E-4</v>
      </c>
      <c r="W491" s="36">
        <v>-1.9336732338095337E-5</v>
      </c>
      <c r="X491" s="37">
        <v>-40.590583252601085</v>
      </c>
      <c r="Y491" s="38">
        <v>-922932.77063667774</v>
      </c>
      <c r="Z491" s="39">
        <v>8.8886104857586177E-4</v>
      </c>
      <c r="AA491" s="40">
        <v>8.7068954724345174E-4</v>
      </c>
      <c r="AB491" s="40">
        <v>-1.8171501332410033E-5</v>
      </c>
      <c r="AC491" s="41">
        <v>-0.35769567206654562</v>
      </c>
      <c r="AD491" s="42">
        <v>-8133.1439760469675</v>
      </c>
      <c r="AE491" s="39">
        <v>9.8062868341849702E-4</v>
      </c>
      <c r="AF491" s="40">
        <v>9.5992116845054537E-4</v>
      </c>
      <c r="AG491" s="40">
        <v>-2.0707514967951654E-5</v>
      </c>
      <c r="AH491" s="41">
        <v>-0.26623632466088615</v>
      </c>
      <c r="AI491" s="42">
        <v>-6053.5771864685348</v>
      </c>
      <c r="AJ491" s="41">
        <v>-41.214515249328521</v>
      </c>
      <c r="AK491" s="30">
        <v>-937119.4917991932</v>
      </c>
      <c r="AL491" s="43">
        <f>+$AL$6*W491/H491*10^6</f>
        <v>-219.83551998744133</v>
      </c>
      <c r="AM491" s="30">
        <v>2835781.25</v>
      </c>
      <c r="AN491" s="44">
        <v>-0.33046254600886199</v>
      </c>
      <c r="AP491" s="32"/>
      <c r="AR491" s="32"/>
    </row>
    <row r="492" spans="1:44">
      <c r="A492" s="5" t="s">
        <v>1030</v>
      </c>
      <c r="B492" s="5" t="s">
        <v>1115</v>
      </c>
      <c r="C492" s="5" t="s">
        <v>2586</v>
      </c>
      <c r="D492" s="29" t="s">
        <v>2587</v>
      </c>
      <c r="E492" s="5" t="s">
        <v>913</v>
      </c>
      <c r="F492" s="30" t="s">
        <v>1164</v>
      </c>
      <c r="G492" s="5" t="s">
        <v>970</v>
      </c>
      <c r="H492" s="31">
        <v>148.52000000000001</v>
      </c>
      <c r="I492" s="32">
        <v>634.34100000000001</v>
      </c>
      <c r="J492" s="32">
        <v>624.74540000000002</v>
      </c>
      <c r="K492" s="33">
        <v>1</v>
      </c>
      <c r="L492" s="33">
        <v>1</v>
      </c>
      <c r="M492" s="6">
        <v>0.67</v>
      </c>
      <c r="N492" s="6">
        <v>0.67</v>
      </c>
      <c r="O492" s="6">
        <v>0.33</v>
      </c>
      <c r="P492" s="6">
        <v>0.33</v>
      </c>
      <c r="Q492" s="34">
        <v>634.34100000000001</v>
      </c>
      <c r="R492" s="34">
        <v>624.74540000000002</v>
      </c>
      <c r="S492" s="34">
        <v>94212.325320000004</v>
      </c>
      <c r="T492" s="34">
        <v>92787.186808000013</v>
      </c>
      <c r="U492" s="35">
        <v>5.1164692490642018E-3</v>
      </c>
      <c r="V492" s="36">
        <v>5.0572123297031859E-3</v>
      </c>
      <c r="W492" s="36">
        <v>-5.9256919361015854E-5</v>
      </c>
      <c r="X492" s="37">
        <v>-124.38879933593277</v>
      </c>
      <c r="Y492" s="38">
        <v>-837522.21475850232</v>
      </c>
      <c r="Z492" s="39">
        <v>6.4134194751533482E-3</v>
      </c>
      <c r="AA492" s="40">
        <v>6.3411705011598577E-3</v>
      </c>
      <c r="AB492" s="40">
        <v>-7.2248973993490478E-5</v>
      </c>
      <c r="AC492" s="41">
        <v>-1.4221799748943724</v>
      </c>
      <c r="AD492" s="42">
        <v>-9575.6798740531394</v>
      </c>
      <c r="AE492" s="39">
        <v>3.6272174877380386E-3</v>
      </c>
      <c r="AF492" s="40">
        <v>3.5838919037210625E-3</v>
      </c>
      <c r="AG492" s="40">
        <v>-4.3325584016976147E-5</v>
      </c>
      <c r="AH492" s="41">
        <v>-0.55703662512465957</v>
      </c>
      <c r="AI492" s="42">
        <v>-3750.5832556198461</v>
      </c>
      <c r="AJ492" s="41">
        <v>-126.3680159359518</v>
      </c>
      <c r="AK492" s="30">
        <v>-850848.47788817529</v>
      </c>
      <c r="AL492" s="43">
        <f>+$AL$6*W492/H492*10^6</f>
        <v>-199.49137948093136</v>
      </c>
      <c r="AM492" s="30">
        <v>2417008.25</v>
      </c>
      <c r="AN492" s="44">
        <v>-0.35202547524948469</v>
      </c>
      <c r="AP492" s="32"/>
      <c r="AR492" s="32"/>
    </row>
    <row r="493" spans="1:44">
      <c r="A493" s="5" t="s">
        <v>1023</v>
      </c>
      <c r="B493" s="5" t="s">
        <v>1108</v>
      </c>
      <c r="C493" s="5" t="s">
        <v>2597</v>
      </c>
      <c r="D493" s="29" t="s">
        <v>2598</v>
      </c>
      <c r="E493" s="5" t="s">
        <v>907</v>
      </c>
      <c r="F493" s="30" t="s">
        <v>1153</v>
      </c>
      <c r="G493" s="5" t="s">
        <v>968</v>
      </c>
      <c r="H493" s="31">
        <v>41.26</v>
      </c>
      <c r="I493" s="32">
        <v>4358.701</v>
      </c>
      <c r="J493" s="32">
        <v>4350.0039999999999</v>
      </c>
      <c r="K493" s="33">
        <v>0.9</v>
      </c>
      <c r="L493" s="33">
        <v>0.89</v>
      </c>
      <c r="M493" s="6">
        <v>0.56000000000000005</v>
      </c>
      <c r="N493" s="6">
        <v>0.56000000000000005</v>
      </c>
      <c r="O493" s="6">
        <v>0.44</v>
      </c>
      <c r="P493" s="6">
        <v>0.44</v>
      </c>
      <c r="Q493" s="34">
        <v>3922.8308999999999</v>
      </c>
      <c r="R493" s="34">
        <v>3871.5035600000001</v>
      </c>
      <c r="S493" s="34">
        <v>161856.00293399999</v>
      </c>
      <c r="T493" s="34">
        <v>159738.2368856</v>
      </c>
      <c r="U493" s="35">
        <v>8.7900522460881789E-3</v>
      </c>
      <c r="V493" s="36">
        <v>8.7062687090029792E-3</v>
      </c>
      <c r="W493" s="36">
        <v>-8.37835370851997E-5</v>
      </c>
      <c r="X493" s="37">
        <v>-175.87369870938437</v>
      </c>
      <c r="Y493" s="38">
        <v>-4262571.4665386416</v>
      </c>
      <c r="Z493" s="39">
        <v>9.2092435524849109E-3</v>
      </c>
      <c r="AA493" s="40">
        <v>9.1243835711938576E-3</v>
      </c>
      <c r="AB493" s="40">
        <v>-8.4859981291053252E-5</v>
      </c>
      <c r="AC493" s="41">
        <v>-1.6704204833818215</v>
      </c>
      <c r="AD493" s="42">
        <v>-40485.227420790638</v>
      </c>
      <c r="AE493" s="39">
        <v>8.3087065638668724E-3</v>
      </c>
      <c r="AF493" s="40">
        <v>8.2264889306838361E-3</v>
      </c>
      <c r="AG493" s="40">
        <v>-8.2217633183036265E-5</v>
      </c>
      <c r="AH493" s="41">
        <v>-1.0570713344815097</v>
      </c>
      <c r="AI493" s="42">
        <v>-25619.760893880506</v>
      </c>
      <c r="AJ493" s="41">
        <v>-178.60119052724772</v>
      </c>
      <c r="AK493" s="30">
        <v>-4328676.454853313</v>
      </c>
      <c r="AL493" s="43">
        <f>+$AL$6*W493/H493*10^6</f>
        <v>-1015.3118890596184</v>
      </c>
      <c r="AM493" s="30">
        <v>11948153</v>
      </c>
      <c r="AN493" s="44">
        <v>-0.36228833484583878</v>
      </c>
      <c r="AP493" s="32"/>
      <c r="AR493" s="32"/>
    </row>
    <row r="494" spans="1:44">
      <c r="A494" s="5" t="s">
        <v>1330</v>
      </c>
      <c r="B494" s="5" t="s">
        <v>502</v>
      </c>
      <c r="C494" s="5" t="s">
        <v>2475</v>
      </c>
      <c r="D494" s="29" t="s">
        <v>2476</v>
      </c>
      <c r="E494" s="5" t="s">
        <v>36</v>
      </c>
      <c r="F494" s="30" t="s">
        <v>1155</v>
      </c>
      <c r="G494" s="5" t="s">
        <v>970</v>
      </c>
      <c r="H494" s="31">
        <v>38.799999999999997</v>
      </c>
      <c r="I494" s="32">
        <v>371.37700000000001</v>
      </c>
      <c r="J494" s="32">
        <v>363.08150000000001</v>
      </c>
      <c r="K494" s="33">
        <v>0.8</v>
      </c>
      <c r="L494" s="33">
        <v>0.8</v>
      </c>
      <c r="M494" s="6">
        <v>0</v>
      </c>
      <c r="N494" s="6">
        <v>0</v>
      </c>
      <c r="O494" s="6">
        <v>1</v>
      </c>
      <c r="P494" s="6">
        <v>1</v>
      </c>
      <c r="Q494" s="34">
        <v>297.10160000000002</v>
      </c>
      <c r="R494" s="34">
        <v>290.46520000000004</v>
      </c>
      <c r="S494" s="34">
        <v>11527.542079999999</v>
      </c>
      <c r="T494" s="34">
        <v>11270.04976</v>
      </c>
      <c r="U494" s="35">
        <v>6.2603607722537405E-4</v>
      </c>
      <c r="V494" s="36">
        <v>6.1425544370234512E-4</v>
      </c>
      <c r="W494" s="36">
        <v>-1.178063352302893E-5</v>
      </c>
      <c r="X494" s="37">
        <v>-24.729244705053919</v>
      </c>
      <c r="Y494" s="38">
        <v>-637351.66765602888</v>
      </c>
      <c r="Z494" s="39">
        <v>0</v>
      </c>
      <c r="AA494" s="40">
        <v>0</v>
      </c>
      <c r="AB494" s="40">
        <v>0</v>
      </c>
      <c r="AC494" s="41">
        <v>0</v>
      </c>
      <c r="AD494" s="42">
        <v>0</v>
      </c>
      <c r="AE494" s="39">
        <v>1.3448958390783511E-3</v>
      </c>
      <c r="AF494" s="40">
        <v>1.3191032433394938E-3</v>
      </c>
      <c r="AG494" s="40">
        <v>-2.5792595738857293E-5</v>
      </c>
      <c r="AH494" s="41">
        <v>-0.33161516017760295</v>
      </c>
      <c r="AI494" s="42">
        <v>-8546.7824788041999</v>
      </c>
      <c r="AJ494" s="41">
        <v>-25.060859865231521</v>
      </c>
      <c r="AK494" s="30">
        <v>-645898.45013483311</v>
      </c>
      <c r="AL494" s="43">
        <f>+$AL$6*W494/H494*10^6</f>
        <v>-151.81228766789863</v>
      </c>
      <c r="AM494" s="30">
        <v>1741353.625</v>
      </c>
      <c r="AN494" s="44">
        <v>-0.37091745229796913</v>
      </c>
      <c r="AP494" s="32"/>
      <c r="AR494" s="32"/>
    </row>
    <row r="495" spans="1:44">
      <c r="A495" s="5" t="s">
        <v>306</v>
      </c>
      <c r="B495" s="5" t="s">
        <v>606</v>
      </c>
      <c r="C495" s="5" t="s">
        <v>2564</v>
      </c>
      <c r="D495" s="29" t="s">
        <v>2565</v>
      </c>
      <c r="E495" s="5" t="s">
        <v>132</v>
      </c>
      <c r="F495" s="30" t="s">
        <v>1155</v>
      </c>
      <c r="G495" s="5" t="s">
        <v>970</v>
      </c>
      <c r="H495" s="31">
        <v>105.43</v>
      </c>
      <c r="I495" s="32">
        <v>318.69799999999998</v>
      </c>
      <c r="J495" s="32">
        <v>311.2056</v>
      </c>
      <c r="K495" s="33">
        <v>1</v>
      </c>
      <c r="L495" s="33">
        <v>1</v>
      </c>
      <c r="M495" s="6">
        <v>0</v>
      </c>
      <c r="N495" s="6">
        <v>0</v>
      </c>
      <c r="O495" s="6">
        <v>1</v>
      </c>
      <c r="P495" s="6">
        <v>1</v>
      </c>
      <c r="Q495" s="34">
        <v>318.69799999999998</v>
      </c>
      <c r="R495" s="34">
        <v>311.2056</v>
      </c>
      <c r="S495" s="34">
        <v>33600.330139999998</v>
      </c>
      <c r="T495" s="34">
        <v>32810.406408000003</v>
      </c>
      <c r="U495" s="35">
        <v>1.8247618380693956E-3</v>
      </c>
      <c r="V495" s="36">
        <v>1.7882769974744378E-3</v>
      </c>
      <c r="W495" s="36">
        <v>-3.6484840594957829E-5</v>
      </c>
      <c r="X495" s="37">
        <v>-76.58692967011342</v>
      </c>
      <c r="Y495" s="38">
        <v>-726424.44911423139</v>
      </c>
      <c r="Z495" s="39">
        <v>0</v>
      </c>
      <c r="AA495" s="40">
        <v>0</v>
      </c>
      <c r="AB495" s="40">
        <v>0</v>
      </c>
      <c r="AC495" s="41">
        <v>0</v>
      </c>
      <c r="AD495" s="42">
        <v>0</v>
      </c>
      <c r="AE495" s="39">
        <v>3.9200849481474988E-3</v>
      </c>
      <c r="AF495" s="40">
        <v>3.840294801686813E-3</v>
      </c>
      <c r="AG495" s="40">
        <v>-7.9790146460685749E-5</v>
      </c>
      <c r="AH495" s="41">
        <v>-1.0258611605846448</v>
      </c>
      <c r="AI495" s="42">
        <v>-9730.2585657274485</v>
      </c>
      <c r="AJ495" s="41">
        <v>-77.61279083069806</v>
      </c>
      <c r="AK495" s="30">
        <v>-736154.7076799589</v>
      </c>
      <c r="AL495" s="43">
        <f>+$AL$6*W495/H495*10^6</f>
        <v>-173.02874226955245</v>
      </c>
      <c r="AM495" s="30">
        <v>1866896.75</v>
      </c>
      <c r="AN495" s="44">
        <v>-0.3943199899405036</v>
      </c>
      <c r="AP495" s="32"/>
      <c r="AR495" s="32"/>
    </row>
    <row r="496" spans="1:44">
      <c r="A496" s="5" t="s">
        <v>230</v>
      </c>
      <c r="B496" s="5" t="s">
        <v>530</v>
      </c>
      <c r="C496" s="5" t="s">
        <v>2517</v>
      </c>
      <c r="D496" s="29" t="s">
        <v>2518</v>
      </c>
      <c r="E496" s="5" t="s">
        <v>63</v>
      </c>
      <c r="F496" s="30" t="s">
        <v>1147</v>
      </c>
      <c r="G496" s="5" t="s">
        <v>970</v>
      </c>
      <c r="H496" s="31">
        <v>30.99</v>
      </c>
      <c r="I496" s="32">
        <v>311.78899999999999</v>
      </c>
      <c r="J496" s="32">
        <v>300.08260000000001</v>
      </c>
      <c r="K496" s="33">
        <v>1</v>
      </c>
      <c r="L496" s="33">
        <v>1</v>
      </c>
      <c r="M496" s="6">
        <v>0.52</v>
      </c>
      <c r="N496" s="6">
        <v>0.52</v>
      </c>
      <c r="O496" s="6">
        <v>0.48</v>
      </c>
      <c r="P496" s="6">
        <v>0.48</v>
      </c>
      <c r="Q496" s="34">
        <v>311.78899999999999</v>
      </c>
      <c r="R496" s="34">
        <v>300.08260000000001</v>
      </c>
      <c r="S496" s="34">
        <v>9662.3411099999994</v>
      </c>
      <c r="T496" s="34">
        <v>9299.5597739999994</v>
      </c>
      <c r="U496" s="35">
        <v>5.2474101446245739E-4</v>
      </c>
      <c r="V496" s="36">
        <v>5.0685714232506188E-4</v>
      </c>
      <c r="W496" s="36">
        <v>-1.788387213739551E-5</v>
      </c>
      <c r="X496" s="37">
        <v>-37.540820660877387</v>
      </c>
      <c r="Y496" s="38">
        <v>-1211384.9842167599</v>
      </c>
      <c r="Z496" s="39">
        <v>5.1049657121592605E-4</v>
      </c>
      <c r="AA496" s="40">
        <v>4.9325597435557296E-4</v>
      </c>
      <c r="AB496" s="40">
        <v>-1.7240596860353097E-5</v>
      </c>
      <c r="AC496" s="41">
        <v>-0.33937134681289877</v>
      </c>
      <c r="AD496" s="42">
        <v>-10950.99537957079</v>
      </c>
      <c r="AE496" s="39">
        <v>5.4109751124026728E-4</v>
      </c>
      <c r="AF496" s="40">
        <v>5.224642540146324E-4</v>
      </c>
      <c r="AG496" s="40">
        <v>-1.8633257225634885E-5</v>
      </c>
      <c r="AH496" s="41">
        <v>-0.23956761242919192</v>
      </c>
      <c r="AI496" s="42">
        <v>-7730.4812013292003</v>
      </c>
      <c r="AJ496" s="41">
        <v>-38.119759620119474</v>
      </c>
      <c r="AK496" s="30">
        <v>-1230066.4607976601</v>
      </c>
      <c r="AL496" s="43">
        <f>+$AL$6*W496/H496*10^6</f>
        <v>-288.54262887053096</v>
      </c>
      <c r="AM496" s="30">
        <v>3113197</v>
      </c>
      <c r="AN496" s="44">
        <v>-0.39511359570167259</v>
      </c>
      <c r="AP496" s="32"/>
      <c r="AR496" s="32"/>
    </row>
    <row r="497" spans="1:44">
      <c r="A497" s="5" t="s">
        <v>1414</v>
      </c>
      <c r="B497" s="5" t="s">
        <v>1412</v>
      </c>
      <c r="C497" s="5" t="s">
        <v>2570</v>
      </c>
      <c r="D497" s="29" t="s">
        <v>2571</v>
      </c>
      <c r="E497" s="5" t="s">
        <v>1415</v>
      </c>
      <c r="F497" s="30" t="s">
        <v>1157</v>
      </c>
      <c r="G497" s="5" t="s">
        <v>970</v>
      </c>
      <c r="H497" s="31">
        <v>327.13</v>
      </c>
      <c r="I497" s="32">
        <v>167.08500000000001</v>
      </c>
      <c r="J497" s="32">
        <v>163.63639999999998</v>
      </c>
      <c r="K497" s="33">
        <v>0.76</v>
      </c>
      <c r="L497" s="33">
        <v>0.76</v>
      </c>
      <c r="M497" s="6">
        <v>0.64</v>
      </c>
      <c r="N497" s="6">
        <v>0.64</v>
      </c>
      <c r="O497" s="6">
        <v>0.36</v>
      </c>
      <c r="P497" s="6">
        <v>0.36</v>
      </c>
      <c r="Q497" s="34">
        <v>126.98460000000001</v>
      </c>
      <c r="R497" s="34">
        <v>124.36366399999999</v>
      </c>
      <c r="S497" s="34">
        <v>41540.472198000003</v>
      </c>
      <c r="T497" s="34">
        <v>40683.085404319994</v>
      </c>
      <c r="U497" s="35">
        <v>2.2559739171150034E-3</v>
      </c>
      <c r="V497" s="36">
        <v>2.2173643602626807E-3</v>
      </c>
      <c r="W497" s="36">
        <v>-3.8609556852322712E-5</v>
      </c>
      <c r="X497" s="37">
        <v>-81.047014788156645</v>
      </c>
      <c r="Y497" s="38">
        <v>-247751.70356786795</v>
      </c>
      <c r="Z497" s="39">
        <v>2.7012110858465098E-3</v>
      </c>
      <c r="AA497" s="40">
        <v>2.6558312493958672E-3</v>
      </c>
      <c r="AB497" s="40">
        <v>-4.5379836450642596E-5</v>
      </c>
      <c r="AC497" s="41">
        <v>-0.89327627918841324</v>
      </c>
      <c r="AD497" s="42">
        <v>-2730.6461626521968</v>
      </c>
      <c r="AE497" s="39">
        <v>1.7447204978217219E-3</v>
      </c>
      <c r="AF497" s="40">
        <v>1.7142309730247903E-3</v>
      </c>
      <c r="AG497" s="40">
        <v>-3.0489524796931686E-5</v>
      </c>
      <c r="AH497" s="41">
        <v>-0.39200353278291039</v>
      </c>
      <c r="AI497" s="42">
        <v>-1198.3111692076861</v>
      </c>
      <c r="AJ497" s="41">
        <v>-82.332294600127966</v>
      </c>
      <c r="AK497" s="30">
        <v>-251680.66089972784</v>
      </c>
      <c r="AL497" s="43">
        <f>+$AL$6*W497/H497*10^6</f>
        <v>-59.012559001502026</v>
      </c>
      <c r="AM497" s="30">
        <v>627430.3125</v>
      </c>
      <c r="AN497" s="44">
        <v>-0.4011292662876052</v>
      </c>
      <c r="AP497" s="32"/>
      <c r="AR497" s="32"/>
    </row>
    <row r="498" spans="1:44">
      <c r="A498" s="5" t="s">
        <v>1605</v>
      </c>
      <c r="B498" s="5" t="s">
        <v>1584</v>
      </c>
      <c r="C498" s="5" t="s">
        <v>2596</v>
      </c>
      <c r="D498" s="29" t="s">
        <v>1616</v>
      </c>
      <c r="E498" s="5" t="s">
        <v>1632</v>
      </c>
      <c r="F498" s="30" t="s">
        <v>1152</v>
      </c>
      <c r="G498" s="5" t="s">
        <v>970</v>
      </c>
      <c r="H498" s="31">
        <v>125.73</v>
      </c>
      <c r="I498" s="32">
        <v>273.49</v>
      </c>
      <c r="J498" s="32">
        <v>259.72969999999998</v>
      </c>
      <c r="K498" s="33">
        <v>0.95</v>
      </c>
      <c r="L498" s="33">
        <v>0.95</v>
      </c>
      <c r="M498" s="6">
        <v>1</v>
      </c>
      <c r="N498" s="6">
        <v>1</v>
      </c>
      <c r="O498" s="6">
        <v>0</v>
      </c>
      <c r="P498" s="6">
        <v>0</v>
      </c>
      <c r="Q498" s="34">
        <v>259.81549999999999</v>
      </c>
      <c r="R498" s="34">
        <v>246.74321499999996</v>
      </c>
      <c r="S498" s="34">
        <v>32666.602814999998</v>
      </c>
      <c r="T498" s="34">
        <v>31023.024421949998</v>
      </c>
      <c r="U498" s="35">
        <v>1.7740531104252506E-3</v>
      </c>
      <c r="V498" s="36">
        <v>1.69085869513442E-3</v>
      </c>
      <c r="W498" s="36">
        <v>-8.3194415290830563E-5</v>
      </c>
      <c r="X498" s="37">
        <v>-174.63704730302695</v>
      </c>
      <c r="Y498" s="38">
        <v>-1388984.7077310663</v>
      </c>
      <c r="Z498" s="39">
        <v>3.3190293477615711E-3</v>
      </c>
      <c r="AA498" s="40">
        <v>3.1643954764827248E-3</v>
      </c>
      <c r="AB498" s="40">
        <v>-1.5463387127884632E-4</v>
      </c>
      <c r="AC498" s="41">
        <v>-3.0438798368677658</v>
      </c>
      <c r="AD498" s="42">
        <v>-24209.654313749827</v>
      </c>
      <c r="AE498" s="39">
        <v>0</v>
      </c>
      <c r="AF498" s="40">
        <v>0</v>
      </c>
      <c r="AG498" s="40">
        <v>0</v>
      </c>
      <c r="AH498" s="41">
        <v>0</v>
      </c>
      <c r="AI498" s="42">
        <v>0</v>
      </c>
      <c r="AJ498" s="41">
        <v>-177.68092713989472</v>
      </c>
      <c r="AK498" s="30">
        <v>-1413194.3620448161</v>
      </c>
      <c r="AL498" s="43">
        <f>+$AL$6*W498/H498*10^6</f>
        <v>-330.84552330720811</v>
      </c>
      <c r="AM498" s="30">
        <v>3403713.5</v>
      </c>
      <c r="AN498" s="44">
        <v>-0.41519192553803841</v>
      </c>
      <c r="AP498" s="32"/>
      <c r="AR498" s="32"/>
    </row>
    <row r="499" spans="1:44">
      <c r="A499" s="5" t="s">
        <v>845</v>
      </c>
      <c r="B499" s="5" t="s">
        <v>565</v>
      </c>
      <c r="C499" s="5" t="s">
        <v>2617</v>
      </c>
      <c r="D499" s="29" t="s">
        <v>2618</v>
      </c>
      <c r="E499" s="5" t="s">
        <v>1051</v>
      </c>
      <c r="F499" s="30" t="s">
        <v>1147</v>
      </c>
      <c r="G499" s="5" t="s">
        <v>970</v>
      </c>
      <c r="H499" s="31">
        <v>62.58</v>
      </c>
      <c r="I499" s="32">
        <v>1629.569</v>
      </c>
      <c r="J499" s="32">
        <v>1571.202</v>
      </c>
      <c r="K499" s="33">
        <v>1</v>
      </c>
      <c r="L499" s="33">
        <v>1</v>
      </c>
      <c r="M499" s="6">
        <v>1</v>
      </c>
      <c r="N499" s="6">
        <v>1</v>
      </c>
      <c r="O499" s="6">
        <v>0</v>
      </c>
      <c r="P499" s="6">
        <v>0</v>
      </c>
      <c r="Q499" s="34">
        <v>1629.569</v>
      </c>
      <c r="R499" s="34">
        <v>1571.202</v>
      </c>
      <c r="S499" s="34">
        <v>101978.42801999999</v>
      </c>
      <c r="T499" s="34">
        <v>98325.821159999992</v>
      </c>
      <c r="U499" s="35">
        <v>5.5382296239903182E-3</v>
      </c>
      <c r="V499" s="36">
        <v>5.3590864450658139E-3</v>
      </c>
      <c r="W499" s="36">
        <v>-1.7914317892450422E-4</v>
      </c>
      <c r="X499" s="37">
        <v>-376.04730681124704</v>
      </c>
      <c r="Y499" s="38">
        <v>-6009065.3053890551</v>
      </c>
      <c r="Z499" s="39">
        <v>1.0361328276277048E-2</v>
      </c>
      <c r="AA499" s="40">
        <v>1.0029382676178034E-2</v>
      </c>
      <c r="AB499" s="40">
        <v>-3.3194560009901404E-4</v>
      </c>
      <c r="AC499" s="41">
        <v>-6.5341604056224716</v>
      </c>
      <c r="AD499" s="42">
        <v>-104412.91795497718</v>
      </c>
      <c r="AE499" s="39">
        <v>0</v>
      </c>
      <c r="AF499" s="40">
        <v>0</v>
      </c>
      <c r="AG499" s="40">
        <v>0</v>
      </c>
      <c r="AH499" s="41">
        <v>0</v>
      </c>
      <c r="AI499" s="42">
        <v>0</v>
      </c>
      <c r="AJ499" s="41">
        <v>-382.5814672168695</v>
      </c>
      <c r="AK499" s="30">
        <v>-6113478.2233440327</v>
      </c>
      <c r="AL499" s="43">
        <f>+$AL$6*W499/H499*10^6</f>
        <v>-1431.3133503076399</v>
      </c>
      <c r="AM499" s="30">
        <v>14683989</v>
      </c>
      <c r="AN499" s="44">
        <v>-0.41633633907952616</v>
      </c>
      <c r="AP499" s="32"/>
      <c r="AR499" s="32"/>
    </row>
    <row r="500" spans="1:44">
      <c r="A500" s="5" t="s">
        <v>858</v>
      </c>
      <c r="B500" s="5" t="s">
        <v>1139</v>
      </c>
      <c r="C500" s="5" t="s">
        <v>2613</v>
      </c>
      <c r="D500" s="29" t="s">
        <v>2614</v>
      </c>
      <c r="E500" s="5" t="s">
        <v>1064</v>
      </c>
      <c r="F500" s="30" t="s">
        <v>1165</v>
      </c>
      <c r="G500" s="5" t="s">
        <v>968</v>
      </c>
      <c r="H500" s="31">
        <v>56.72</v>
      </c>
      <c r="I500" s="32">
        <v>5149.2049999999999</v>
      </c>
      <c r="J500" s="32">
        <v>5133.3589999999995</v>
      </c>
      <c r="K500" s="33">
        <v>0.91</v>
      </c>
      <c r="L500" s="33">
        <v>0.9</v>
      </c>
      <c r="M500" s="6">
        <v>0.4</v>
      </c>
      <c r="N500" s="6">
        <v>0.4</v>
      </c>
      <c r="O500" s="6">
        <v>0.6</v>
      </c>
      <c r="P500" s="6">
        <v>0.6</v>
      </c>
      <c r="Q500" s="34">
        <v>4685.7765500000005</v>
      </c>
      <c r="R500" s="34">
        <v>4620.0230999999994</v>
      </c>
      <c r="S500" s="34">
        <v>265777.24591600004</v>
      </c>
      <c r="T500" s="34">
        <v>262047.71023199995</v>
      </c>
      <c r="U500" s="35">
        <v>1.4433791982220745E-2</v>
      </c>
      <c r="V500" s="36">
        <v>1.4282477535373428E-2</v>
      </c>
      <c r="W500" s="36">
        <v>-1.5131444684731744E-4</v>
      </c>
      <c r="X500" s="37">
        <v>-317.63079431870028</v>
      </c>
      <c r="Y500" s="38">
        <v>-5599978.7432775088</v>
      </c>
      <c r="Z500" s="39">
        <v>1.0801520857961898E-2</v>
      </c>
      <c r="AA500" s="40">
        <v>1.0691705329594998E-2</v>
      </c>
      <c r="AB500" s="40">
        <v>-1.098155283668998E-4</v>
      </c>
      <c r="AC500" s="41">
        <v>-2.1616562387435581</v>
      </c>
      <c r="AD500" s="42">
        <v>-38111.005619597287</v>
      </c>
      <c r="AE500" s="39">
        <v>1.8604627578377862E-2</v>
      </c>
      <c r="AF500" s="40">
        <v>1.8402828301800806E-2</v>
      </c>
      <c r="AG500" s="40">
        <v>-2.0179927657705543E-4</v>
      </c>
      <c r="AH500" s="41">
        <v>-2.5945313958846019</v>
      </c>
      <c r="AI500" s="42">
        <v>-45742.796119263083</v>
      </c>
      <c r="AJ500" s="41">
        <v>-322.38698195332842</v>
      </c>
      <c r="AK500" s="30">
        <v>-5683832.5450163698</v>
      </c>
      <c r="AL500" s="43">
        <f>+$AL$6*W500/H500*10^6</f>
        <v>-1333.8720631815711</v>
      </c>
      <c r="AM500" s="30">
        <v>13591722</v>
      </c>
      <c r="AN500" s="44">
        <v>-0.41818340200133358</v>
      </c>
      <c r="AP500" s="32"/>
      <c r="AR500" s="32"/>
    </row>
    <row r="501" spans="1:44">
      <c r="A501" s="5" t="s">
        <v>1347</v>
      </c>
      <c r="B501" s="5" t="s">
        <v>517</v>
      </c>
      <c r="C501" s="5" t="s">
        <v>2519</v>
      </c>
      <c r="D501" s="29" t="s">
        <v>2520</v>
      </c>
      <c r="E501" s="5" t="s">
        <v>51</v>
      </c>
      <c r="F501" s="30" t="s">
        <v>1157</v>
      </c>
      <c r="G501" s="5" t="s">
        <v>968</v>
      </c>
      <c r="H501" s="31">
        <v>109.43</v>
      </c>
      <c r="I501" s="32">
        <v>202.167</v>
      </c>
      <c r="J501" s="32">
        <v>200.29999999999998</v>
      </c>
      <c r="K501" s="33">
        <v>0.88</v>
      </c>
      <c r="L501" s="33">
        <v>0.87</v>
      </c>
      <c r="M501" s="6">
        <v>1</v>
      </c>
      <c r="N501" s="6">
        <v>1</v>
      </c>
      <c r="O501" s="6">
        <v>0</v>
      </c>
      <c r="P501" s="6">
        <v>0</v>
      </c>
      <c r="Q501" s="34">
        <v>177.90696</v>
      </c>
      <c r="R501" s="34">
        <v>174.261</v>
      </c>
      <c r="S501" s="34">
        <v>19468.358632800002</v>
      </c>
      <c r="T501" s="34">
        <v>19069.381229999999</v>
      </c>
      <c r="U501" s="35">
        <v>1.0572847866363946E-3</v>
      </c>
      <c r="V501" s="36">
        <v>1.0393451207408708E-3</v>
      </c>
      <c r="W501" s="36">
        <v>-1.7939665895523853E-5</v>
      </c>
      <c r="X501" s="37">
        <v>-37.657939786523158</v>
      </c>
      <c r="Y501" s="38">
        <v>-344128.11648106697</v>
      </c>
      <c r="Z501" s="39">
        <v>1.978046325200974E-3</v>
      </c>
      <c r="AA501" s="40">
        <v>1.9451057666976372E-3</v>
      </c>
      <c r="AB501" s="40">
        <v>-3.294055850333686E-5</v>
      </c>
      <c r="AC501" s="41">
        <v>-0.64841616532164315</v>
      </c>
      <c r="AD501" s="42">
        <v>-5925.3967405797594</v>
      </c>
      <c r="AE501" s="39">
        <v>0</v>
      </c>
      <c r="AF501" s="40">
        <v>0</v>
      </c>
      <c r="AG501" s="40">
        <v>0</v>
      </c>
      <c r="AH501" s="41">
        <v>0</v>
      </c>
      <c r="AI501" s="42">
        <v>0</v>
      </c>
      <c r="AJ501" s="41">
        <v>-38.3063559518448</v>
      </c>
      <c r="AK501" s="30">
        <v>-350053.51322164672</v>
      </c>
      <c r="AL501" s="43">
        <f>+$AL$6*W501/H501*10^6</f>
        <v>-81.968682699094643</v>
      </c>
      <c r="AM501" s="30">
        <v>740957</v>
      </c>
      <c r="AN501" s="44">
        <v>-0.47243431565076882</v>
      </c>
      <c r="AP501" s="32"/>
      <c r="AR501" s="32"/>
    </row>
    <row r="502" spans="1:44">
      <c r="A502" s="5" t="s">
        <v>839</v>
      </c>
      <c r="B502" s="5" t="s">
        <v>1554</v>
      </c>
      <c r="C502" s="5" t="s">
        <v>2606</v>
      </c>
      <c r="D502" s="29" t="s">
        <v>2607</v>
      </c>
      <c r="E502" s="5" t="s">
        <v>922</v>
      </c>
      <c r="F502" s="30" t="s">
        <v>1151</v>
      </c>
      <c r="G502" s="5" t="s">
        <v>968</v>
      </c>
      <c r="H502" s="31">
        <v>39.28</v>
      </c>
      <c r="I502" s="32">
        <v>4367.07</v>
      </c>
      <c r="J502" s="32">
        <v>4336.0770000000002</v>
      </c>
      <c r="K502" s="33">
        <v>0.73</v>
      </c>
      <c r="L502" s="33">
        <v>0.72</v>
      </c>
      <c r="M502" s="6">
        <v>0.66</v>
      </c>
      <c r="N502" s="6">
        <v>0.66</v>
      </c>
      <c r="O502" s="6">
        <v>0.34</v>
      </c>
      <c r="P502" s="6">
        <v>0.34</v>
      </c>
      <c r="Q502" s="34">
        <v>3187.9610999999995</v>
      </c>
      <c r="R502" s="34">
        <v>3121.9754400000002</v>
      </c>
      <c r="S502" s="34">
        <v>125223.11200799998</v>
      </c>
      <c r="T502" s="34">
        <v>122631.19528320001</v>
      </c>
      <c r="U502" s="35">
        <v>6.8005985383001915E-3</v>
      </c>
      <c r="V502" s="36">
        <v>6.6838107084303553E-3</v>
      </c>
      <c r="W502" s="36">
        <v>-1.1678782986983618E-4</v>
      </c>
      <c r="X502" s="37">
        <v>-245.1544577613538</v>
      </c>
      <c r="Y502" s="38">
        <v>-6241203.0998307988</v>
      </c>
      <c r="Z502" s="39">
        <v>8.3972203306047089E-3</v>
      </c>
      <c r="AA502" s="40">
        <v>8.2556546477291475E-3</v>
      </c>
      <c r="AB502" s="40">
        <v>-1.415656828755614E-4</v>
      </c>
      <c r="AC502" s="41">
        <v>-2.7866399782509061</v>
      </c>
      <c r="AD502" s="42">
        <v>-70942.972969727751</v>
      </c>
      <c r="AE502" s="39">
        <v>4.9672422779514598E-3</v>
      </c>
      <c r="AF502" s="40">
        <v>4.88014620151128E-3</v>
      </c>
      <c r="AG502" s="40">
        <v>-8.7096076440179755E-5</v>
      </c>
      <c r="AH502" s="41">
        <v>-1.1197934334324799</v>
      </c>
      <c r="AI502" s="42">
        <v>-28507.979466203666</v>
      </c>
      <c r="AJ502" s="41">
        <v>-249.06089117303719</v>
      </c>
      <c r="AK502" s="30">
        <v>-6340654.05226673</v>
      </c>
      <c r="AL502" s="43">
        <f>+$AL$6*W502/H502*10^6</f>
        <v>-1486.6067956954707</v>
      </c>
      <c r="AM502" s="30">
        <v>13279284</v>
      </c>
      <c r="AN502" s="44">
        <v>-0.47748463337833047</v>
      </c>
      <c r="AP502" s="32"/>
      <c r="AR502" s="32"/>
    </row>
    <row r="503" spans="1:44">
      <c r="A503" s="5" t="s">
        <v>305</v>
      </c>
      <c r="B503" s="5" t="s">
        <v>605</v>
      </c>
      <c r="C503" s="5" t="s">
        <v>2529</v>
      </c>
      <c r="D503" s="29" t="s">
        <v>2530</v>
      </c>
      <c r="E503" s="5" t="s">
        <v>131</v>
      </c>
      <c r="F503" s="30" t="s">
        <v>1157</v>
      </c>
      <c r="G503" s="5" t="s">
        <v>970</v>
      </c>
      <c r="H503" s="31">
        <v>75.47</v>
      </c>
      <c r="I503" s="32">
        <v>262.74400000000003</v>
      </c>
      <c r="J503" s="32">
        <v>256.21280000000002</v>
      </c>
      <c r="K503" s="33">
        <v>1</v>
      </c>
      <c r="L503" s="33">
        <v>1</v>
      </c>
      <c r="M503" s="6">
        <v>0.67</v>
      </c>
      <c r="N503" s="6">
        <v>0.67</v>
      </c>
      <c r="O503" s="6">
        <v>0.33</v>
      </c>
      <c r="P503" s="6">
        <v>0.33</v>
      </c>
      <c r="Q503" s="34">
        <v>262.74400000000003</v>
      </c>
      <c r="R503" s="34">
        <v>256.21280000000002</v>
      </c>
      <c r="S503" s="34">
        <v>19829.289680000002</v>
      </c>
      <c r="T503" s="34">
        <v>19336.380015999999</v>
      </c>
      <c r="U503" s="35">
        <v>1.0768861774072826E-3</v>
      </c>
      <c r="V503" s="36">
        <v>1.0538974484816505E-3</v>
      </c>
      <c r="W503" s="36">
        <v>-2.2988728925632139E-5</v>
      </c>
      <c r="X503" s="37">
        <v>-48.256649521335959</v>
      </c>
      <c r="Y503" s="38">
        <v>-639414.99299504387</v>
      </c>
      <c r="Z503" s="39">
        <v>1.3498610949280124E-3</v>
      </c>
      <c r="AA503" s="40">
        <v>1.3214678316565195E-3</v>
      </c>
      <c r="AB503" s="40">
        <v>-2.8393263271492969E-5</v>
      </c>
      <c r="AC503" s="41">
        <v>-0.55890524411127807</v>
      </c>
      <c r="AD503" s="42">
        <v>-7405.6611118494511</v>
      </c>
      <c r="AE503" s="39">
        <v>7.6343669527760484E-4</v>
      </c>
      <c r="AF503" s="40">
        <v>7.4686493006856868E-4</v>
      </c>
      <c r="AG503" s="40">
        <v>-1.6571765209036165E-5</v>
      </c>
      <c r="AH503" s="41">
        <v>-0.21306302901266752</v>
      </c>
      <c r="AI503" s="42">
        <v>-2823.1486552625884</v>
      </c>
      <c r="AJ503" s="41">
        <v>-49.028617794459905</v>
      </c>
      <c r="AK503" s="30">
        <v>-649643.80276215589</v>
      </c>
      <c r="AL503" s="43">
        <f>+$AL$6*W503/H503*10^6</f>
        <v>-152.30375596682219</v>
      </c>
      <c r="AM503" s="30">
        <v>1354360</v>
      </c>
      <c r="AN503" s="44">
        <v>-0.47966848013981206</v>
      </c>
      <c r="AP503" s="32"/>
      <c r="AR503" s="32"/>
    </row>
    <row r="504" spans="1:44">
      <c r="A504" s="5" t="s">
        <v>1349</v>
      </c>
      <c r="B504" s="5" t="s">
        <v>519</v>
      </c>
      <c r="C504" s="5" t="s">
        <v>2526</v>
      </c>
      <c r="D504" s="29" t="s">
        <v>2527</v>
      </c>
      <c r="E504" s="5" t="s">
        <v>53</v>
      </c>
      <c r="F504" s="30" t="s">
        <v>1155</v>
      </c>
      <c r="G504" s="5" t="s">
        <v>970</v>
      </c>
      <c r="H504" s="31">
        <v>57.76</v>
      </c>
      <c r="I504" s="32">
        <v>538.40800000000002</v>
      </c>
      <c r="J504" s="32">
        <v>529.99259999999992</v>
      </c>
      <c r="K504" s="33">
        <v>1</v>
      </c>
      <c r="L504" s="33">
        <v>1</v>
      </c>
      <c r="M504" s="6">
        <v>0.6</v>
      </c>
      <c r="N504" s="6">
        <v>0.6</v>
      </c>
      <c r="O504" s="6">
        <v>0.4</v>
      </c>
      <c r="P504" s="6">
        <v>0.4</v>
      </c>
      <c r="Q504" s="34">
        <v>538.40800000000002</v>
      </c>
      <c r="R504" s="34">
        <v>529.99259999999992</v>
      </c>
      <c r="S504" s="34">
        <v>31098.446080000002</v>
      </c>
      <c r="T504" s="34">
        <v>30612.372575999994</v>
      </c>
      <c r="U504" s="35">
        <v>1.6888898827362175E-3</v>
      </c>
      <c r="V504" s="36">
        <v>1.6684767946803082E-3</v>
      </c>
      <c r="W504" s="36">
        <v>-2.0413088055909294E-5</v>
      </c>
      <c r="X504" s="37">
        <v>-42.850008765114744</v>
      </c>
      <c r="Y504" s="38">
        <v>-741863.03263702814</v>
      </c>
      <c r="Z504" s="39">
        <v>1.8958198217398712E-3</v>
      </c>
      <c r="AA504" s="40">
        <v>1.8735050197496374E-3</v>
      </c>
      <c r="AB504" s="40">
        <v>-2.2314801990233829E-5</v>
      </c>
      <c r="AC504" s="41">
        <v>-0.43925418978410641</v>
      </c>
      <c r="AD504" s="42">
        <v>-7604.8163051264964</v>
      </c>
      <c r="AE504" s="39">
        <v>1.4512780068652576E-3</v>
      </c>
      <c r="AF504" s="40">
        <v>1.4332103517285116E-3</v>
      </c>
      <c r="AG504" s="40">
        <v>-1.8067655136745934E-5</v>
      </c>
      <c r="AH504" s="41">
        <v>-0.23229567170625301</v>
      </c>
      <c r="AI504" s="42">
        <v>-4021.7394685985637</v>
      </c>
      <c r="AJ504" s="41">
        <v>-43.521558626605106</v>
      </c>
      <c r="AK504" s="30">
        <v>-753489.58841075329</v>
      </c>
      <c r="AL504" s="43">
        <f>+$AL$6*W504/H504*10^6</f>
        <v>-176.70609466680483</v>
      </c>
      <c r="AM504" s="30">
        <v>1554145</v>
      </c>
      <c r="AN504" s="44">
        <v>-0.4848257970850553</v>
      </c>
      <c r="AP504" s="32"/>
      <c r="AR504" s="32"/>
    </row>
    <row r="505" spans="1:44">
      <c r="A505" s="5" t="s">
        <v>319</v>
      </c>
      <c r="B505" s="5" t="s">
        <v>619</v>
      </c>
      <c r="C505" s="5" t="s">
        <v>2513</v>
      </c>
      <c r="D505" s="29" t="s">
        <v>2514</v>
      </c>
      <c r="E505" s="5" t="s">
        <v>145</v>
      </c>
      <c r="F505" s="30" t="s">
        <v>1151</v>
      </c>
      <c r="G505" s="5" t="s">
        <v>968</v>
      </c>
      <c r="H505" s="31">
        <v>70.72</v>
      </c>
      <c r="I505" s="32">
        <v>116.434</v>
      </c>
      <c r="J505" s="32">
        <v>113.49289999999999</v>
      </c>
      <c r="K505" s="33">
        <v>0.9</v>
      </c>
      <c r="L505" s="33">
        <v>0.88</v>
      </c>
      <c r="M505" s="6">
        <v>1</v>
      </c>
      <c r="N505" s="6">
        <v>1</v>
      </c>
      <c r="O505" s="6">
        <v>0</v>
      </c>
      <c r="P505" s="6">
        <v>0</v>
      </c>
      <c r="Q505" s="34">
        <v>104.7906</v>
      </c>
      <c r="R505" s="34">
        <v>99.873751999999996</v>
      </c>
      <c r="S505" s="34">
        <v>7410.7912319999996</v>
      </c>
      <c r="T505" s="34">
        <v>7063.0717414399996</v>
      </c>
      <c r="U505" s="35">
        <v>4.0246417144438451E-4</v>
      </c>
      <c r="V505" s="36">
        <v>3.8496105685692397E-4</v>
      </c>
      <c r="W505" s="36">
        <v>-1.7503114587460544E-5</v>
      </c>
      <c r="X505" s="37">
        <v>-36.741555782020718</v>
      </c>
      <c r="Y505" s="38">
        <v>-519535.57384079072</v>
      </c>
      <c r="Z505" s="39">
        <v>7.5295964286337526E-4</v>
      </c>
      <c r="AA505" s="40">
        <v>7.2044401489340128E-4</v>
      </c>
      <c r="AB505" s="40">
        <v>-3.2515627969973977E-5</v>
      </c>
      <c r="AC505" s="41">
        <v>-0.64005164937260939</v>
      </c>
      <c r="AD505" s="42">
        <v>-9050.5040918072591</v>
      </c>
      <c r="AE505" s="39">
        <v>0</v>
      </c>
      <c r="AF505" s="40">
        <v>0</v>
      </c>
      <c r="AG505" s="40">
        <v>0</v>
      </c>
      <c r="AH505" s="41">
        <v>0</v>
      </c>
      <c r="AI505" s="42">
        <v>0</v>
      </c>
      <c r="AJ505" s="41">
        <v>-37.381607431393327</v>
      </c>
      <c r="AK505" s="30">
        <v>-528586.07793259795</v>
      </c>
      <c r="AL505" s="43">
        <f>+$AL$6*W505/H505*10^6</f>
        <v>-123.7493961217516</v>
      </c>
      <c r="AM505" s="30">
        <v>1088930.875</v>
      </c>
      <c r="AN505" s="44">
        <v>-0.48541747696574217</v>
      </c>
      <c r="AP505" s="32"/>
      <c r="AR505" s="32"/>
    </row>
    <row r="506" spans="1:44">
      <c r="A506" s="5" t="s">
        <v>1609</v>
      </c>
      <c r="B506" s="5" t="s">
        <v>1590</v>
      </c>
      <c r="C506" s="5" t="s">
        <v>2543</v>
      </c>
      <c r="D506" s="29" t="s">
        <v>1620</v>
      </c>
      <c r="E506" s="5" t="s">
        <v>1636</v>
      </c>
      <c r="F506" s="30" t="s">
        <v>1156</v>
      </c>
      <c r="G506" s="5" t="s">
        <v>968</v>
      </c>
      <c r="H506" s="31">
        <v>27.93</v>
      </c>
      <c r="I506" s="32">
        <v>886.21900000000005</v>
      </c>
      <c r="J506" s="32">
        <v>885.65649999999994</v>
      </c>
      <c r="K506" s="33">
        <v>0.71</v>
      </c>
      <c r="L506" s="33">
        <v>0.69</v>
      </c>
      <c r="M506" s="6">
        <v>1</v>
      </c>
      <c r="N506" s="6">
        <v>1</v>
      </c>
      <c r="O506" s="6">
        <v>0</v>
      </c>
      <c r="P506" s="6">
        <v>0</v>
      </c>
      <c r="Q506" s="34">
        <v>629.21549000000005</v>
      </c>
      <c r="R506" s="34">
        <v>611.10298499999988</v>
      </c>
      <c r="S506" s="34">
        <v>17573.9886357</v>
      </c>
      <c r="T506" s="34">
        <v>17068.106371049995</v>
      </c>
      <c r="U506" s="35">
        <v>9.5440561659584347E-4</v>
      </c>
      <c r="V506" s="36">
        <v>9.30268940720998E-4</v>
      </c>
      <c r="W506" s="36">
        <v>-2.4136675874845471E-5</v>
      </c>
      <c r="X506" s="37">
        <v>-50.666355328754861</v>
      </c>
      <c r="Y506" s="38">
        <v>-1814047.8098372668</v>
      </c>
      <c r="Z506" s="39">
        <v>1.7855723893129482E-3</v>
      </c>
      <c r="AA506" s="40">
        <v>1.7409727000847225E-3</v>
      </c>
      <c r="AB506" s="40">
        <v>-4.4599689228225691E-5</v>
      </c>
      <c r="AC506" s="41">
        <v>-0.87791952467878165</v>
      </c>
      <c r="AD506" s="42">
        <v>-31432.850865692148</v>
      </c>
      <c r="AE506" s="39">
        <v>0</v>
      </c>
      <c r="AF506" s="40">
        <v>0</v>
      </c>
      <c r="AG506" s="40">
        <v>0</v>
      </c>
      <c r="AH506" s="41">
        <v>0</v>
      </c>
      <c r="AI506" s="42">
        <v>0</v>
      </c>
      <c r="AJ506" s="41">
        <v>-51.544274853433642</v>
      </c>
      <c r="AK506" s="30">
        <v>-1845480.6607029589</v>
      </c>
      <c r="AL506" s="43">
        <f>+$AL$6*W506/H506*10^6</f>
        <v>-432.09229994352796</v>
      </c>
      <c r="AM506" s="30">
        <v>3725516.25</v>
      </c>
      <c r="AN506" s="44">
        <v>-0.49536239727929221</v>
      </c>
      <c r="AP506" s="32"/>
      <c r="AR506" s="32"/>
    </row>
    <row r="507" spans="1:44">
      <c r="A507" s="5" t="s">
        <v>1198</v>
      </c>
      <c r="B507" s="5" t="s">
        <v>368</v>
      </c>
      <c r="C507" s="5" t="s">
        <v>2558</v>
      </c>
      <c r="D507" s="29" t="s">
        <v>2559</v>
      </c>
      <c r="E507" s="5" t="s">
        <v>723</v>
      </c>
      <c r="F507" s="30" t="s">
        <v>1159</v>
      </c>
      <c r="G507" s="5" t="s">
        <v>970</v>
      </c>
      <c r="H507" s="31">
        <v>721.14</v>
      </c>
      <c r="I507" s="32">
        <v>31.722999999999999</v>
      </c>
      <c r="J507" s="32">
        <v>30.872429999999998</v>
      </c>
      <c r="K507" s="33">
        <v>1</v>
      </c>
      <c r="L507" s="33">
        <v>1</v>
      </c>
      <c r="M507" s="6">
        <v>1</v>
      </c>
      <c r="N507" s="6">
        <v>1</v>
      </c>
      <c r="O507" s="6">
        <v>0</v>
      </c>
      <c r="P507" s="6">
        <v>0</v>
      </c>
      <c r="Q507" s="34">
        <v>31.722999999999999</v>
      </c>
      <c r="R507" s="34">
        <v>30.872429999999998</v>
      </c>
      <c r="S507" s="34">
        <v>22876.72422</v>
      </c>
      <c r="T507" s="34">
        <v>22263.344170199998</v>
      </c>
      <c r="U507" s="35">
        <v>1.2423858087929449E-3</v>
      </c>
      <c r="V507" s="36">
        <v>1.2134267942721327E-3</v>
      </c>
      <c r="W507" s="36">
        <v>-2.8959014520812129E-5</v>
      </c>
      <c r="X507" s="37">
        <v>-60.789137961253445</v>
      </c>
      <c r="Y507" s="38">
        <v>-84295.889787355365</v>
      </c>
      <c r="Z507" s="39">
        <v>2.3243469636812903E-3</v>
      </c>
      <c r="AA507" s="40">
        <v>2.2708948239654153E-3</v>
      </c>
      <c r="AB507" s="40">
        <v>-5.3452139715874994E-5</v>
      </c>
      <c r="AC507" s="41">
        <v>-1.052174979343274</v>
      </c>
      <c r="AD507" s="42">
        <v>-1459.0439850005187</v>
      </c>
      <c r="AE507" s="39">
        <v>0</v>
      </c>
      <c r="AF507" s="40">
        <v>0</v>
      </c>
      <c r="AG507" s="40">
        <v>0</v>
      </c>
      <c r="AH507" s="41">
        <v>0</v>
      </c>
      <c r="AI507" s="42">
        <v>0</v>
      </c>
      <c r="AJ507" s="41">
        <v>-61.841312940596723</v>
      </c>
      <c r="AK507" s="30">
        <v>-85754.933772355886</v>
      </c>
      <c r="AL507" s="43">
        <f>+$AL$6*W507/H507*10^6</f>
        <v>-20.078635577566168</v>
      </c>
      <c r="AM507" s="30">
        <v>171026.65625</v>
      </c>
      <c r="AN507" s="44">
        <v>-0.50141267830789327</v>
      </c>
      <c r="AP507" s="32"/>
      <c r="AR507" s="32"/>
    </row>
    <row r="508" spans="1:44">
      <c r="A508" s="5" t="s">
        <v>1183</v>
      </c>
      <c r="B508" s="5" t="s">
        <v>351</v>
      </c>
      <c r="C508" s="5" t="s">
        <v>2610</v>
      </c>
      <c r="D508" s="29" t="s">
        <v>2611</v>
      </c>
      <c r="E508" s="5" t="s">
        <v>708</v>
      </c>
      <c r="F508" s="30" t="s">
        <v>1155</v>
      </c>
      <c r="G508" s="5" t="s">
        <v>970</v>
      </c>
      <c r="H508" s="31">
        <v>63.26</v>
      </c>
      <c r="I508" s="32">
        <v>1333.395</v>
      </c>
      <c r="J508" s="32">
        <v>1293.8869999999999</v>
      </c>
      <c r="K508" s="33">
        <v>1</v>
      </c>
      <c r="L508" s="33">
        <v>1</v>
      </c>
      <c r="M508" s="6">
        <v>0</v>
      </c>
      <c r="N508" s="6">
        <v>0</v>
      </c>
      <c r="O508" s="6">
        <v>1</v>
      </c>
      <c r="P508" s="6">
        <v>1</v>
      </c>
      <c r="Q508" s="34">
        <v>1333.395</v>
      </c>
      <c r="R508" s="34">
        <v>1293.8869999999999</v>
      </c>
      <c r="S508" s="34">
        <v>84350.5677</v>
      </c>
      <c r="T508" s="34">
        <v>81851.291619999989</v>
      </c>
      <c r="U508" s="35">
        <v>4.5808983518055698E-3</v>
      </c>
      <c r="V508" s="36">
        <v>4.4611694289141395E-3</v>
      </c>
      <c r="W508" s="36">
        <v>-1.1972892289143031E-4</v>
      </c>
      <c r="X508" s="37">
        <v>-251.32823516382982</v>
      </c>
      <c r="Y508" s="38">
        <v>-3972940.8024633233</v>
      </c>
      <c r="Z508" s="39">
        <v>0</v>
      </c>
      <c r="AA508" s="40">
        <v>0</v>
      </c>
      <c r="AB508" s="40">
        <v>0</v>
      </c>
      <c r="AC508" s="41">
        <v>0</v>
      </c>
      <c r="AD508" s="42">
        <v>0</v>
      </c>
      <c r="AE508" s="39">
        <v>9.8410161278393495E-3</v>
      </c>
      <c r="AF508" s="40">
        <v>9.580286382645813E-3</v>
      </c>
      <c r="AG508" s="40">
        <v>-2.6072974519353656E-4</v>
      </c>
      <c r="AH508" s="41">
        <v>-3.3521998751433468</v>
      </c>
      <c r="AI508" s="42">
        <v>-52990.829515386453</v>
      </c>
      <c r="AJ508" s="41">
        <v>-254.68043503897317</v>
      </c>
      <c r="AK508" s="30">
        <v>-4025931.6319787097</v>
      </c>
      <c r="AL508" s="43">
        <f>+$AL$6*W508/H508*10^6</f>
        <v>-946.32408229078646</v>
      </c>
      <c r="AM508" s="30">
        <v>7840042</v>
      </c>
      <c r="AN508" s="44">
        <v>-0.51350893681165355</v>
      </c>
      <c r="AP508" s="32"/>
      <c r="AR508" s="32"/>
    </row>
    <row r="509" spans="1:44">
      <c r="A509" s="5" t="s">
        <v>262</v>
      </c>
      <c r="B509" s="5" t="s">
        <v>562</v>
      </c>
      <c r="C509" s="5" t="s">
        <v>2524</v>
      </c>
      <c r="D509" s="29" t="s">
        <v>2525</v>
      </c>
      <c r="E509" s="5" t="s">
        <v>92</v>
      </c>
      <c r="F509" s="30" t="s">
        <v>1164</v>
      </c>
      <c r="G509" s="5" t="s">
        <v>970</v>
      </c>
      <c r="H509" s="31">
        <v>24.94</v>
      </c>
      <c r="I509" s="32">
        <v>211.82400000000001</v>
      </c>
      <c r="J509" s="32">
        <v>196.83199999999999</v>
      </c>
      <c r="K509" s="33">
        <v>1</v>
      </c>
      <c r="L509" s="33">
        <v>1</v>
      </c>
      <c r="M509" s="6">
        <v>0.47</v>
      </c>
      <c r="N509" s="6">
        <v>0.47</v>
      </c>
      <c r="O509" s="6">
        <v>0.53</v>
      </c>
      <c r="P509" s="6">
        <v>0.53</v>
      </c>
      <c r="Q509" s="34">
        <v>211.82400000000001</v>
      </c>
      <c r="R509" s="34">
        <v>196.83199999999999</v>
      </c>
      <c r="S509" s="34">
        <v>5282.8905600000007</v>
      </c>
      <c r="T509" s="34">
        <v>4908.9900800000005</v>
      </c>
      <c r="U509" s="35">
        <v>2.8690245150624169E-4</v>
      </c>
      <c r="V509" s="36">
        <v>2.675563945088394E-4</v>
      </c>
      <c r="W509" s="36">
        <v>-1.9346056997402296E-5</v>
      </c>
      <c r="X509" s="37">
        <v>-40.610157054072985</v>
      </c>
      <c r="Y509" s="38">
        <v>-1628314.2363301115</v>
      </c>
      <c r="Z509" s="39">
        <v>2.5227638108583971E-4</v>
      </c>
      <c r="AA509" s="40">
        <v>2.3534047880779941E-4</v>
      </c>
      <c r="AB509" s="40">
        <v>-1.69359022780403E-5</v>
      </c>
      <c r="AC509" s="41">
        <v>-0.33337360719844961</v>
      </c>
      <c r="AD509" s="42">
        <v>-13367.025148293889</v>
      </c>
      <c r="AE509" s="39">
        <v>3.2666260214585658E-4</v>
      </c>
      <c r="AF509" s="40">
        <v>3.0452361641624049E-4</v>
      </c>
      <c r="AG509" s="40">
        <v>-2.2138985729616093E-5</v>
      </c>
      <c r="AH509" s="41">
        <v>-0.28464073074413132</v>
      </c>
      <c r="AI509" s="42">
        <v>-11413.020478914646</v>
      </c>
      <c r="AJ509" s="41">
        <v>-41.228171392015561</v>
      </c>
      <c r="AK509" s="30">
        <v>-1653094.2819573202</v>
      </c>
      <c r="AL509" s="43">
        <f>+$AL$6*W509/H509*10^6</f>
        <v>-387.85198471135311</v>
      </c>
      <c r="AM509" s="30">
        <v>3198556.25</v>
      </c>
      <c r="AN509" s="44">
        <v>-0.51682514007915925</v>
      </c>
      <c r="AP509" s="32"/>
      <c r="AR509" s="32"/>
    </row>
    <row r="510" spans="1:44">
      <c r="A510" s="5" t="s">
        <v>229</v>
      </c>
      <c r="B510" s="5" t="s">
        <v>529</v>
      </c>
      <c r="C510" s="5" t="s">
        <v>2581</v>
      </c>
      <c r="D510" s="29" t="s">
        <v>2582</v>
      </c>
      <c r="E510" s="5" t="s">
        <v>62</v>
      </c>
      <c r="F510" s="30" t="s">
        <v>1164</v>
      </c>
      <c r="G510" s="5" t="s">
        <v>970</v>
      </c>
      <c r="H510" s="31">
        <v>171.56</v>
      </c>
      <c r="I510" s="32">
        <v>193.785</v>
      </c>
      <c r="J510" s="32">
        <v>187.39249999999998</v>
      </c>
      <c r="K510" s="33">
        <v>1</v>
      </c>
      <c r="L510" s="33">
        <v>1</v>
      </c>
      <c r="M510" s="6">
        <v>0.46</v>
      </c>
      <c r="N510" s="6">
        <v>0.46</v>
      </c>
      <c r="O510" s="6">
        <v>0.54</v>
      </c>
      <c r="P510" s="6">
        <v>0.54</v>
      </c>
      <c r="Q510" s="34">
        <v>193.785</v>
      </c>
      <c r="R510" s="34">
        <v>187.39249999999998</v>
      </c>
      <c r="S510" s="34">
        <v>33245.7546</v>
      </c>
      <c r="T510" s="34">
        <v>32149.057299999997</v>
      </c>
      <c r="U510" s="35">
        <v>1.8055056012583593E-3</v>
      </c>
      <c r="V510" s="36">
        <v>1.7522312569118253E-3</v>
      </c>
      <c r="W510" s="36">
        <v>-5.3274344346533999E-5</v>
      </c>
      <c r="X510" s="37">
        <v>-111.83051363675884</v>
      </c>
      <c r="Y510" s="38">
        <v>-651844.91511284001</v>
      </c>
      <c r="Z510" s="39">
        <v>1.5538215737388259E-3</v>
      </c>
      <c r="AA510" s="40">
        <v>1.5084561663114057E-3</v>
      </c>
      <c r="AB510" s="40">
        <v>-4.5365407427420262E-5</v>
      </c>
      <c r="AC510" s="41">
        <v>-0.89299225207010513</v>
      </c>
      <c r="AD510" s="42">
        <v>-5205.1308700752224</v>
      </c>
      <c r="AE510" s="39">
        <v>2.09450734838891E-3</v>
      </c>
      <c r="AF510" s="40">
        <v>2.0319590769542531E-3</v>
      </c>
      <c r="AG510" s="40">
        <v>-6.2548271434656813E-5</v>
      </c>
      <c r="AH510" s="41">
        <v>-0.80418253597436695</v>
      </c>
      <c r="AI510" s="42">
        <v>-4687.4710653670254</v>
      </c>
      <c r="AJ510" s="41">
        <v>-113.5276884248033</v>
      </c>
      <c r="AK510" s="30">
        <v>-661737.5170482822</v>
      </c>
      <c r="AL510" s="43">
        <f>+$AL$6*W510/H510*10^6</f>
        <v>-155.26446825173116</v>
      </c>
      <c r="AM510" s="30">
        <v>1179848.5</v>
      </c>
      <c r="AN510" s="44">
        <v>-0.56086651552998723</v>
      </c>
      <c r="AP510" s="32"/>
      <c r="AR510" s="32"/>
    </row>
    <row r="511" spans="1:44">
      <c r="A511" s="5" t="s">
        <v>1613</v>
      </c>
      <c r="B511" s="5" t="s">
        <v>1599</v>
      </c>
      <c r="C511" s="5" t="s">
        <v>2470</v>
      </c>
      <c r="D511" s="29" t="s">
        <v>1626</v>
      </c>
      <c r="E511" s="5" t="s">
        <v>1642</v>
      </c>
      <c r="F511" s="30" t="s">
        <v>1157</v>
      </c>
      <c r="G511" s="5" t="s">
        <v>970</v>
      </c>
      <c r="H511" s="31">
        <v>15.31</v>
      </c>
      <c r="I511" s="32">
        <v>389.02100000000002</v>
      </c>
      <c r="J511" s="32">
        <v>374.03280000000001</v>
      </c>
      <c r="K511" s="33">
        <v>1</v>
      </c>
      <c r="L511" s="33">
        <v>1</v>
      </c>
      <c r="M511" s="6">
        <v>1</v>
      </c>
      <c r="N511" s="6">
        <v>1</v>
      </c>
      <c r="O511" s="6">
        <v>0</v>
      </c>
      <c r="P511" s="6">
        <v>0</v>
      </c>
      <c r="Q511" s="34">
        <v>389.02100000000002</v>
      </c>
      <c r="R511" s="34">
        <v>374.03280000000001</v>
      </c>
      <c r="S511" s="34">
        <v>5955.9115100000008</v>
      </c>
      <c r="T511" s="34">
        <v>5726.4421680000005</v>
      </c>
      <c r="U511" s="35">
        <v>3.2345277528770947E-4</v>
      </c>
      <c r="V511" s="36">
        <v>3.121102701094604E-4</v>
      </c>
      <c r="W511" s="36">
        <v>-1.1342505178249074E-5</v>
      </c>
      <c r="X511" s="37">
        <v>-23.809550273587078</v>
      </c>
      <c r="Y511" s="38">
        <v>-1555163.309835864</v>
      </c>
      <c r="Z511" s="39">
        <v>6.0513929796470443E-4</v>
      </c>
      <c r="AA511" s="40">
        <v>5.8410577403078751E-4</v>
      </c>
      <c r="AB511" s="40">
        <v>-2.1033523933916922E-5</v>
      </c>
      <c r="AC511" s="41">
        <v>-0.41403295973411752</v>
      </c>
      <c r="AD511" s="42">
        <v>-27043.302399354507</v>
      </c>
      <c r="AE511" s="39">
        <v>0</v>
      </c>
      <c r="AF511" s="40">
        <v>0</v>
      </c>
      <c r="AG511" s="40">
        <v>0</v>
      </c>
      <c r="AH511" s="41">
        <v>0</v>
      </c>
      <c r="AI511" s="42">
        <v>0</v>
      </c>
      <c r="AJ511" s="41">
        <v>-24.223583233321197</v>
      </c>
      <c r="AK511" s="30">
        <v>-1582206.6122352185</v>
      </c>
      <c r="AL511" s="43">
        <f>+$AL$6*W511/H511*10^6</f>
        <v>-370.4279940643068</v>
      </c>
      <c r="AM511" s="30">
        <v>2782540.75</v>
      </c>
      <c r="AN511" s="44">
        <v>-0.56861938580242477</v>
      </c>
      <c r="AP511" s="32"/>
      <c r="AR511" s="32"/>
    </row>
    <row r="512" spans="1:44">
      <c r="A512" s="5" t="s">
        <v>1014</v>
      </c>
      <c r="B512" s="5" t="s">
        <v>1100</v>
      </c>
      <c r="C512" s="5" t="s">
        <v>2608</v>
      </c>
      <c r="D512" s="29" t="s">
        <v>2609</v>
      </c>
      <c r="E512" s="5" t="s">
        <v>898</v>
      </c>
      <c r="F512" s="30" t="s">
        <v>1157</v>
      </c>
      <c r="G512" s="5" t="s">
        <v>968</v>
      </c>
      <c r="H512" s="31">
        <v>201.13</v>
      </c>
      <c r="I512" s="32">
        <v>432.01600000000002</v>
      </c>
      <c r="J512" s="32">
        <v>432.87099999999998</v>
      </c>
      <c r="K512" s="33">
        <v>0.93</v>
      </c>
      <c r="L512" s="33">
        <v>0.9</v>
      </c>
      <c r="M512" s="6">
        <v>0</v>
      </c>
      <c r="N512" s="6">
        <v>0</v>
      </c>
      <c r="O512" s="6">
        <v>1</v>
      </c>
      <c r="P512" s="6">
        <v>1</v>
      </c>
      <c r="Q512" s="34">
        <v>401.77488000000005</v>
      </c>
      <c r="R512" s="34">
        <v>389.58389999999997</v>
      </c>
      <c r="S512" s="34">
        <v>80808.981614400007</v>
      </c>
      <c r="T512" s="34">
        <v>78357.009806999995</v>
      </c>
      <c r="U512" s="35">
        <v>4.3885624102147159E-3</v>
      </c>
      <c r="V512" s="36">
        <v>4.2707193713568655E-3</v>
      </c>
      <c r="W512" s="36">
        <v>-1.1784303885785039E-4</v>
      </c>
      <c r="X512" s="37">
        <v>-247.36949324552918</v>
      </c>
      <c r="Y512" s="38">
        <v>-1229898.5394795863</v>
      </c>
      <c r="Z512" s="39">
        <v>0</v>
      </c>
      <c r="AA512" s="40">
        <v>0</v>
      </c>
      <c r="AB512" s="40">
        <v>0</v>
      </c>
      <c r="AC512" s="41">
        <v>0</v>
      </c>
      <c r="AD512" s="42">
        <v>0</v>
      </c>
      <c r="AE512" s="39">
        <v>9.4278261904523503E-3</v>
      </c>
      <c r="AF512" s="40">
        <v>9.1712980843838103E-3</v>
      </c>
      <c r="AG512" s="40">
        <v>-2.5652810606854003E-4</v>
      </c>
      <c r="AH512" s="41">
        <v>-3.2981794405367935</v>
      </c>
      <c r="AI512" s="42">
        <v>-16398.247106532061</v>
      </c>
      <c r="AJ512" s="41">
        <v>-250.66767268606597</v>
      </c>
      <c r="AK512" s="30">
        <v>-1246296.7865861184</v>
      </c>
      <c r="AL512" s="43">
        <f>+$AL$6*W512/H512*10^6</f>
        <v>-292.95241599425844</v>
      </c>
      <c r="AM512" s="30">
        <v>2174448.75</v>
      </c>
      <c r="AN512" s="44">
        <v>-0.57315528203923793</v>
      </c>
      <c r="AP512" s="32"/>
      <c r="AR512" s="32"/>
    </row>
    <row r="513" spans="1:44">
      <c r="A513" s="5" t="s">
        <v>1239</v>
      </c>
      <c r="B513" s="5" t="s">
        <v>412</v>
      </c>
      <c r="C513" s="5" t="s">
        <v>2501</v>
      </c>
      <c r="D513" s="29" t="s">
        <v>2502</v>
      </c>
      <c r="E513" s="5" t="s">
        <v>758</v>
      </c>
      <c r="F513" s="30" t="s">
        <v>1163</v>
      </c>
      <c r="G513" s="5" t="s">
        <v>970</v>
      </c>
      <c r="H513" s="31">
        <v>87.85</v>
      </c>
      <c r="I513" s="32">
        <v>114.395</v>
      </c>
      <c r="J513" s="32">
        <v>110.2114</v>
      </c>
      <c r="K513" s="33">
        <v>0.83</v>
      </c>
      <c r="L513" s="33">
        <v>0.83</v>
      </c>
      <c r="M513" s="6">
        <v>1</v>
      </c>
      <c r="N513" s="6">
        <v>1</v>
      </c>
      <c r="O513" s="6">
        <v>0</v>
      </c>
      <c r="P513" s="6">
        <v>0</v>
      </c>
      <c r="Q513" s="34">
        <v>94.947849999999988</v>
      </c>
      <c r="R513" s="34">
        <v>91.475461999999993</v>
      </c>
      <c r="S513" s="34">
        <v>8341.1686224999976</v>
      </c>
      <c r="T513" s="34">
        <v>8036.1193366999987</v>
      </c>
      <c r="U513" s="35">
        <v>4.5299097133335084E-4</v>
      </c>
      <c r="V513" s="36">
        <v>4.3799540853222042E-4</v>
      </c>
      <c r="W513" s="36">
        <v>-1.4995562801130421E-5</v>
      </c>
      <c r="X513" s="37">
        <v>-31.47784380816676</v>
      </c>
      <c r="Y513" s="38">
        <v>-358313.53225004853</v>
      </c>
      <c r="Z513" s="39">
        <v>8.4748890509034249E-4</v>
      </c>
      <c r="AA513" s="40">
        <v>8.1969634332416984E-4</v>
      </c>
      <c r="AB513" s="40">
        <v>-2.779256176617265E-5</v>
      </c>
      <c r="AC513" s="41">
        <v>-0.54708077651631348</v>
      </c>
      <c r="AD513" s="42">
        <v>-6227.4419637599713</v>
      </c>
      <c r="AE513" s="39">
        <v>0</v>
      </c>
      <c r="AF513" s="40">
        <v>0</v>
      </c>
      <c r="AG513" s="40">
        <v>0</v>
      </c>
      <c r="AH513" s="41">
        <v>0</v>
      </c>
      <c r="AI513" s="42">
        <v>0</v>
      </c>
      <c r="AJ513" s="41">
        <v>-32.02492458468307</v>
      </c>
      <c r="AK513" s="30">
        <v>-364540.97421380848</v>
      </c>
      <c r="AL513" s="43">
        <f>+$AL$6*W513/H513*10^6</f>
        <v>-85.34754013164725</v>
      </c>
      <c r="AM513" s="30">
        <v>572070.375</v>
      </c>
      <c r="AN513" s="44">
        <v>-0.63723099489954971</v>
      </c>
      <c r="AP513" s="32"/>
      <c r="AR513" s="32"/>
    </row>
    <row r="514" spans="1:44">
      <c r="A514" s="5" t="s">
        <v>1010</v>
      </c>
      <c r="B514" s="5" t="s">
        <v>1098</v>
      </c>
      <c r="C514" s="5" t="s">
        <v>2588</v>
      </c>
      <c r="D514" s="29" t="s">
        <v>2589</v>
      </c>
      <c r="E514" s="5" t="s">
        <v>895</v>
      </c>
      <c r="F514" s="30" t="s">
        <v>1164</v>
      </c>
      <c r="G514" s="5" t="s">
        <v>968</v>
      </c>
      <c r="H514" s="31">
        <v>150.38999999999999</v>
      </c>
      <c r="I514" s="32">
        <v>328.733</v>
      </c>
      <c r="J514" s="32">
        <v>322.72719999999998</v>
      </c>
      <c r="K514" s="33">
        <v>0.95</v>
      </c>
      <c r="L514" s="33">
        <v>0.94</v>
      </c>
      <c r="M514" s="6">
        <v>0.67</v>
      </c>
      <c r="N514" s="6">
        <v>0.67</v>
      </c>
      <c r="O514" s="6">
        <v>0.33</v>
      </c>
      <c r="P514" s="6">
        <v>0.33</v>
      </c>
      <c r="Q514" s="34">
        <v>312.29634999999996</v>
      </c>
      <c r="R514" s="34">
        <v>303.36356799999999</v>
      </c>
      <c r="S514" s="34">
        <v>46966.248076499993</v>
      </c>
      <c r="T514" s="34">
        <v>45622.846991519997</v>
      </c>
      <c r="U514" s="35">
        <v>2.5506361636986386E-3</v>
      </c>
      <c r="V514" s="36">
        <v>2.4865979049359865E-3</v>
      </c>
      <c r="W514" s="36">
        <v>-6.4038258762652133E-5</v>
      </c>
      <c r="X514" s="37">
        <v>-134.42551865581015</v>
      </c>
      <c r="Y514" s="38">
        <v>-893846.12444850162</v>
      </c>
      <c r="Z514" s="39">
        <v>3.1971851779011851E-3</v>
      </c>
      <c r="AA514" s="40">
        <v>3.1179116586452327E-3</v>
      </c>
      <c r="AB514" s="40">
        <v>-7.9273519255952402E-5</v>
      </c>
      <c r="AC514" s="41">
        <v>-1.5604541544822039</v>
      </c>
      <c r="AD514" s="42">
        <v>-10376.049966634777</v>
      </c>
      <c r="AE514" s="39">
        <v>1.8082219686001036E-3</v>
      </c>
      <c r="AF514" s="40">
        <v>1.7621759812155005E-3</v>
      </c>
      <c r="AG514" s="40">
        <v>-4.6045987384603099E-5</v>
      </c>
      <c r="AH514" s="41">
        <v>-0.59201282556749524</v>
      </c>
      <c r="AI514" s="42">
        <v>-3936.5172256632436</v>
      </c>
      <c r="AJ514" s="41">
        <v>-136.57798563585987</v>
      </c>
      <c r="AK514" s="30">
        <v>-908158.69164079975</v>
      </c>
      <c r="AL514" s="43">
        <f>+$AL$6*W514/H514*10^6</f>
        <v>-212.90730355293618</v>
      </c>
      <c r="AM514" s="30">
        <v>1408773.875</v>
      </c>
      <c r="AN514" s="44">
        <v>-0.64464475651977837</v>
      </c>
      <c r="AP514" s="32"/>
      <c r="AR514" s="32"/>
    </row>
    <row r="515" spans="1:44">
      <c r="A515" s="5" t="s">
        <v>1036</v>
      </c>
      <c r="B515" s="5" t="s">
        <v>1120</v>
      </c>
      <c r="C515" s="5" t="s">
        <v>2604</v>
      </c>
      <c r="D515" s="29" t="s">
        <v>2605</v>
      </c>
      <c r="E515" s="5" t="s">
        <v>919</v>
      </c>
      <c r="F515" s="30" t="s">
        <v>1166</v>
      </c>
      <c r="G515" s="5" t="s">
        <v>970</v>
      </c>
      <c r="H515" s="31">
        <v>113.06</v>
      </c>
      <c r="I515" s="32">
        <v>859.74800000000005</v>
      </c>
      <c r="J515" s="32">
        <v>677.92619999999999</v>
      </c>
      <c r="K515" s="33">
        <v>0.81</v>
      </c>
      <c r="L515" s="33">
        <v>1</v>
      </c>
      <c r="M515" s="6">
        <v>1</v>
      </c>
      <c r="N515" s="6">
        <v>1</v>
      </c>
      <c r="O515" s="6">
        <v>0</v>
      </c>
      <c r="P515" s="6">
        <v>0</v>
      </c>
      <c r="Q515" s="34">
        <v>696.39588000000003</v>
      </c>
      <c r="R515" s="34">
        <v>677.92619999999999</v>
      </c>
      <c r="S515" s="34">
        <v>78734.518192800009</v>
      </c>
      <c r="T515" s="34">
        <v>76646.336171999996</v>
      </c>
      <c r="U515" s="35">
        <v>4.2759027526924776E-3</v>
      </c>
      <c r="V515" s="36">
        <v>4.1774819309662887E-3</v>
      </c>
      <c r="W515" s="36">
        <v>-9.8420821726188934E-5</v>
      </c>
      <c r="X515" s="37">
        <v>-206.59946511209679</v>
      </c>
      <c r="Y515" s="38">
        <v>-1827343.5796222962</v>
      </c>
      <c r="Z515" s="39">
        <v>7.9996741027437181E-3</v>
      </c>
      <c r="AA515" s="40">
        <v>7.8180423730719508E-3</v>
      </c>
      <c r="AB515" s="40">
        <v>-1.8163172967176726E-4</v>
      </c>
      <c r="AC515" s="41">
        <v>-3.5753173293213685</v>
      </c>
      <c r="AD515" s="42">
        <v>-31623.185293838389</v>
      </c>
      <c r="AE515" s="39">
        <v>0</v>
      </c>
      <c r="AF515" s="40">
        <v>0</v>
      </c>
      <c r="AG515" s="40">
        <v>0</v>
      </c>
      <c r="AH515" s="41">
        <v>0</v>
      </c>
      <c r="AI515" s="42">
        <v>0</v>
      </c>
      <c r="AJ515" s="41">
        <v>-210.17478244141816</v>
      </c>
      <c r="AK515" s="30">
        <v>-1858966.7649161345</v>
      </c>
      <c r="AL515" s="43">
        <f>+$AL$6*W515/H515*10^6</f>
        <v>-435.25925051383751</v>
      </c>
      <c r="AM515" s="30">
        <v>2882984.5</v>
      </c>
      <c r="AN515" s="44">
        <v>-0.64480636816331638</v>
      </c>
      <c r="AP515" s="32"/>
      <c r="AR515" s="32"/>
    </row>
    <row r="516" spans="1:44">
      <c r="A516" s="5" t="s">
        <v>1248</v>
      </c>
      <c r="B516" s="5" t="s">
        <v>421</v>
      </c>
      <c r="C516" s="5" t="s">
        <v>2602</v>
      </c>
      <c r="D516" s="29" t="s">
        <v>2603</v>
      </c>
      <c r="E516" s="5" t="s">
        <v>765</v>
      </c>
      <c r="F516" s="30" t="s">
        <v>1164</v>
      </c>
      <c r="G516" s="5" t="s">
        <v>970</v>
      </c>
      <c r="H516" s="31">
        <v>90.29</v>
      </c>
      <c r="I516" s="32">
        <v>707.82899999999995</v>
      </c>
      <c r="J516" s="32">
        <v>683.48809999999992</v>
      </c>
      <c r="K516" s="33">
        <v>0.87</v>
      </c>
      <c r="L516" s="33">
        <v>0.87</v>
      </c>
      <c r="M516" s="6">
        <v>0.56999999999999995</v>
      </c>
      <c r="N516" s="6">
        <v>0.56999999999999995</v>
      </c>
      <c r="O516" s="6">
        <v>0.43</v>
      </c>
      <c r="P516" s="6">
        <v>0.43</v>
      </c>
      <c r="Q516" s="34">
        <v>615.81122999999991</v>
      </c>
      <c r="R516" s="34">
        <v>594.63464699999997</v>
      </c>
      <c r="S516" s="34">
        <v>55601.595956699995</v>
      </c>
      <c r="T516" s="34">
        <v>53689.562277630001</v>
      </c>
      <c r="U516" s="35">
        <v>3.0196033793357174E-3</v>
      </c>
      <c r="V516" s="36">
        <v>2.9262608951453562E-3</v>
      </c>
      <c r="W516" s="36">
        <v>-9.3342484190361147E-5</v>
      </c>
      <c r="X516" s="37">
        <v>-195.93930397790533</v>
      </c>
      <c r="Y516" s="38">
        <v>-2170110.7982933363</v>
      </c>
      <c r="Z516" s="39">
        <v>3.2200990715330669E-3</v>
      </c>
      <c r="AA516" s="40">
        <v>3.1215575002001951E-3</v>
      </c>
      <c r="AB516" s="40">
        <v>-9.8541571332871804E-5</v>
      </c>
      <c r="AC516" s="41">
        <v>-1.939734804495111</v>
      </c>
      <c r="AD516" s="42">
        <v>-21483.384699248098</v>
      </c>
      <c r="AE516" s="39">
        <v>2.7893797695649827E-3</v>
      </c>
      <c r="AF516" s="40">
        <v>2.702161322629047E-3</v>
      </c>
      <c r="AG516" s="40">
        <v>-8.7218446935935761E-5</v>
      </c>
      <c r="AH516" s="41">
        <v>-1.1213667497424009</v>
      </c>
      <c r="AI516" s="42">
        <v>-12419.611803548576</v>
      </c>
      <c r="AJ516" s="41">
        <v>-199.00040553214285</v>
      </c>
      <c r="AK516" s="30">
        <v>-2204013.7947961329</v>
      </c>
      <c r="AL516" s="43">
        <f>+$AL$6*W516/H516*10^6</f>
        <v>-516.90377777362471</v>
      </c>
      <c r="AM516" s="30">
        <v>3318999.25</v>
      </c>
      <c r="AN516" s="44">
        <v>-0.66405974475472773</v>
      </c>
      <c r="AP516" s="32"/>
      <c r="AR516" s="32"/>
    </row>
    <row r="517" spans="1:44">
      <c r="A517" s="5" t="s">
        <v>272</v>
      </c>
      <c r="B517" s="5" t="s">
        <v>573</v>
      </c>
      <c r="C517" s="5" t="s">
        <v>2549</v>
      </c>
      <c r="D517" s="29" t="s">
        <v>2550</v>
      </c>
      <c r="E517" s="5" t="s">
        <v>101</v>
      </c>
      <c r="F517" s="30" t="s">
        <v>1163</v>
      </c>
      <c r="G517" s="5" t="s">
        <v>968</v>
      </c>
      <c r="H517" s="31">
        <v>42.87</v>
      </c>
      <c r="I517" s="32">
        <v>351.34699999999998</v>
      </c>
      <c r="J517" s="32">
        <v>348.91669999999999</v>
      </c>
      <c r="K517" s="33">
        <v>0.71</v>
      </c>
      <c r="L517" s="33">
        <v>0.68</v>
      </c>
      <c r="M517" s="6">
        <v>0</v>
      </c>
      <c r="N517" s="6">
        <v>0</v>
      </c>
      <c r="O517" s="6">
        <v>1</v>
      </c>
      <c r="P517" s="6">
        <v>1</v>
      </c>
      <c r="Q517" s="34">
        <v>249.45636999999996</v>
      </c>
      <c r="R517" s="34">
        <v>237.26335600000002</v>
      </c>
      <c r="S517" s="34">
        <v>10694.194581899998</v>
      </c>
      <c r="T517" s="34">
        <v>10171.48007172</v>
      </c>
      <c r="U517" s="35">
        <v>5.8077876260830138E-4</v>
      </c>
      <c r="V517" s="36">
        <v>5.5437971771332532E-4</v>
      </c>
      <c r="W517" s="36">
        <v>-2.6399044894976059E-5</v>
      </c>
      <c r="X517" s="37">
        <v>-55.415393400652874</v>
      </c>
      <c r="Y517" s="38">
        <v>-1292638.0545988542</v>
      </c>
      <c r="Z517" s="39">
        <v>0</v>
      </c>
      <c r="AA517" s="40">
        <v>0</v>
      </c>
      <c r="AB517" s="40">
        <v>0</v>
      </c>
      <c r="AC517" s="41">
        <v>0</v>
      </c>
      <c r="AD517" s="42">
        <v>0</v>
      </c>
      <c r="AE517" s="39">
        <v>1.2476708127090658E-3</v>
      </c>
      <c r="AF517" s="40">
        <v>1.1905211279358964E-3</v>
      </c>
      <c r="AG517" s="40">
        <v>-5.714968477316942E-5</v>
      </c>
      <c r="AH517" s="41">
        <v>-0.73477295817895549</v>
      </c>
      <c r="AI517" s="42">
        <v>-17139.560489362153</v>
      </c>
      <c r="AJ517" s="41">
        <v>-56.150166358831832</v>
      </c>
      <c r="AK517" s="30">
        <v>-1309777.6150882163</v>
      </c>
      <c r="AL517" s="43">
        <f>+$AL$6*W517/H517*10^6</f>
        <v>-307.89648816160553</v>
      </c>
      <c r="AM517" s="30">
        <v>1594307.5</v>
      </c>
      <c r="AN517" s="44">
        <v>-0.82153387291235613</v>
      </c>
      <c r="AP517" s="32"/>
      <c r="AR517" s="32"/>
    </row>
    <row r="518" spans="1:44">
      <c r="A518" s="5" t="s">
        <v>1537</v>
      </c>
      <c r="B518" s="5" t="s">
        <v>1534</v>
      </c>
      <c r="C518" s="5" t="s">
        <v>2619</v>
      </c>
      <c r="D518" s="29" t="s">
        <v>1539</v>
      </c>
      <c r="E518" s="5" t="s">
        <v>1541</v>
      </c>
      <c r="F518" s="30" t="s">
        <v>1150</v>
      </c>
      <c r="G518" s="5" t="s">
        <v>970</v>
      </c>
      <c r="H518" s="31">
        <v>68.75</v>
      </c>
      <c r="I518" s="32">
        <v>1719.5609999999999</v>
      </c>
      <c r="J518" s="32">
        <v>1655.2759999999998</v>
      </c>
      <c r="K518" s="33">
        <v>1</v>
      </c>
      <c r="L518" s="33">
        <v>1</v>
      </c>
      <c r="M518" s="6">
        <v>1</v>
      </c>
      <c r="N518" s="6">
        <v>1</v>
      </c>
      <c r="O518" s="6">
        <v>0</v>
      </c>
      <c r="P518" s="6">
        <v>0</v>
      </c>
      <c r="Q518" s="34">
        <v>1719.5609999999999</v>
      </c>
      <c r="R518" s="34">
        <v>1655.2759999999998</v>
      </c>
      <c r="S518" s="34">
        <v>118219.81874999999</v>
      </c>
      <c r="T518" s="34">
        <v>113800.22499999999</v>
      </c>
      <c r="U518" s="35">
        <v>6.4202647075086387E-3</v>
      </c>
      <c r="V518" s="36">
        <v>6.2024932621771939E-3</v>
      </c>
      <c r="W518" s="36">
        <v>-2.1777144533144475E-4</v>
      </c>
      <c r="X518" s="37">
        <v>-457.1335956463862</v>
      </c>
      <c r="Y518" s="38">
        <v>-6649215.9366747085</v>
      </c>
      <c r="Z518" s="39">
        <v>1.2011504536925127E-2</v>
      </c>
      <c r="AA518" s="40">
        <v>1.1607795304378034E-2</v>
      </c>
      <c r="AB518" s="40">
        <v>-4.0370923254709305E-4</v>
      </c>
      <c r="AC518" s="41">
        <v>-7.9467867081431622</v>
      </c>
      <c r="AD518" s="42">
        <v>-115589.62484571872</v>
      </c>
      <c r="AE518" s="39">
        <v>0</v>
      </c>
      <c r="AF518" s="40">
        <v>0</v>
      </c>
      <c r="AG518" s="40">
        <v>0</v>
      </c>
      <c r="AH518" s="41">
        <v>0</v>
      </c>
      <c r="AI518" s="42">
        <v>0</v>
      </c>
      <c r="AJ518" s="41">
        <v>-465.08038235452938</v>
      </c>
      <c r="AK518" s="30">
        <v>-6764805.5615204275</v>
      </c>
      <c r="AL518" s="43">
        <f>+$AL$6*W518/H518*10^6</f>
        <v>-1583.7923296832344</v>
      </c>
      <c r="AM518" s="30">
        <v>7860702</v>
      </c>
      <c r="AN518" s="44">
        <v>-0.860585423734474</v>
      </c>
      <c r="AP518" s="32"/>
      <c r="AR518" s="32"/>
    </row>
    <row r="519" spans="1:44">
      <c r="A519" s="5" t="s">
        <v>1441</v>
      </c>
      <c r="B519" s="5" t="s">
        <v>1432</v>
      </c>
      <c r="C519" s="5" t="s">
        <v>2612</v>
      </c>
      <c r="D519" s="29" t="s">
        <v>651</v>
      </c>
      <c r="E519" s="5" t="s">
        <v>1381</v>
      </c>
      <c r="F519" s="30" t="s">
        <v>1168</v>
      </c>
      <c r="G519" s="5" t="s">
        <v>968</v>
      </c>
      <c r="H519" s="31">
        <v>46.05</v>
      </c>
      <c r="I519" s="32">
        <v>396.96600000000001</v>
      </c>
      <c r="J519" s="32">
        <v>347.46010000000001</v>
      </c>
      <c r="K519" s="33">
        <v>0.9</v>
      </c>
      <c r="L519" s="33">
        <v>0.88</v>
      </c>
      <c r="M519" s="6">
        <v>0.51</v>
      </c>
      <c r="N519" s="6">
        <v>0.51</v>
      </c>
      <c r="O519" s="6">
        <v>0.49</v>
      </c>
      <c r="P519" s="6">
        <v>0.49</v>
      </c>
      <c r="Q519" s="34">
        <v>357.26940000000002</v>
      </c>
      <c r="R519" s="34">
        <v>305.76488799999998</v>
      </c>
      <c r="S519" s="34">
        <v>16452.255870000001</v>
      </c>
      <c r="T519" s="34">
        <v>14080.473092399998</v>
      </c>
      <c r="U519" s="35">
        <v>8.9348671684596744E-4</v>
      </c>
      <c r="V519" s="36">
        <v>7.6743292452961559E-4</v>
      </c>
      <c r="W519" s="36">
        <v>-1.2605379231635184E-4</v>
      </c>
      <c r="X519" s="37">
        <v>-264.60504607817052</v>
      </c>
      <c r="Y519" s="38">
        <v>-5746037.9170069601</v>
      </c>
      <c r="Z519" s="39">
        <v>8.5251641846922238E-4</v>
      </c>
      <c r="AA519" s="40">
        <v>7.3247708620211255E-4</v>
      </c>
      <c r="AB519" s="40">
        <v>-1.2003933226710983E-4</v>
      </c>
      <c r="AC519" s="41">
        <v>-2.3629060056320919</v>
      </c>
      <c r="AD519" s="42">
        <v>-51311.748222195267</v>
      </c>
      <c r="AE519" s="39">
        <v>9.4053176745181183E-4</v>
      </c>
      <c r="AF519" s="40">
        <v>8.0754416160894226E-4</v>
      </c>
      <c r="AG519" s="40">
        <v>-1.3298760584286957E-4</v>
      </c>
      <c r="AH519" s="41">
        <v>-1.7098203941831311</v>
      </c>
      <c r="AI519" s="42">
        <v>-37129.650253705346</v>
      </c>
      <c r="AJ519" s="41">
        <v>-268.67777247798574</v>
      </c>
      <c r="AK519" s="30">
        <v>-5834479.3154828614</v>
      </c>
      <c r="AL519" s="43">
        <f>+$AL$6*W519/H519*10^6</f>
        <v>-1368.6622401341135</v>
      </c>
      <c r="AM519" s="30">
        <v>5622417.5</v>
      </c>
      <c r="AN519" s="44">
        <v>-1.0377171946912269</v>
      </c>
      <c r="AP519" s="32"/>
      <c r="AR519" s="32"/>
    </row>
    <row r="520" spans="1:44">
      <c r="A520" s="5" t="s">
        <v>1348</v>
      </c>
      <c r="B520" s="5" t="s">
        <v>518</v>
      </c>
      <c r="C520" s="5" t="s">
        <v>2579</v>
      </c>
      <c r="D520" s="29" t="s">
        <v>2580</v>
      </c>
      <c r="E520" s="5" t="s">
        <v>52</v>
      </c>
      <c r="F520" s="30" t="s">
        <v>1153</v>
      </c>
      <c r="G520" s="5" t="s">
        <v>970</v>
      </c>
      <c r="H520" s="31">
        <v>84.67</v>
      </c>
      <c r="I520" s="32">
        <v>127.785</v>
      </c>
      <c r="J520" s="32">
        <v>115.9649</v>
      </c>
      <c r="K520" s="33">
        <v>1</v>
      </c>
      <c r="L520" s="33">
        <v>1</v>
      </c>
      <c r="M520" s="6">
        <v>0.55000000000000004</v>
      </c>
      <c r="N520" s="6">
        <v>0.55000000000000004</v>
      </c>
      <c r="O520" s="6">
        <v>0.45</v>
      </c>
      <c r="P520" s="6">
        <v>0.45</v>
      </c>
      <c r="Q520" s="34">
        <v>127.785</v>
      </c>
      <c r="R520" s="34">
        <v>115.9649</v>
      </c>
      <c r="S520" s="34">
        <v>10819.55595</v>
      </c>
      <c r="T520" s="34">
        <v>9818.7480830000004</v>
      </c>
      <c r="U520" s="35">
        <v>5.8758686953832011E-4</v>
      </c>
      <c r="V520" s="36">
        <v>5.3515464339216152E-4</v>
      </c>
      <c r="W520" s="36">
        <v>-5.2432226146158591E-5</v>
      </c>
      <c r="X520" s="37">
        <v>-110.06278637430269</v>
      </c>
      <c r="Y520" s="38">
        <v>-1299902.9924920595</v>
      </c>
      <c r="Z520" s="39">
        <v>6.0461545885695371E-4</v>
      </c>
      <c r="AA520" s="40">
        <v>5.5083994641482511E-4</v>
      </c>
      <c r="AB520" s="40">
        <v>-5.3775512442128599E-5</v>
      </c>
      <c r="AC520" s="41">
        <v>-1.0585403876014772</v>
      </c>
      <c r="AD520" s="42">
        <v>-12501.95331996548</v>
      </c>
      <c r="AE520" s="39">
        <v>5.6803341550011393E-4</v>
      </c>
      <c r="AF520" s="40">
        <v>5.1715602175109057E-4</v>
      </c>
      <c r="AG520" s="40">
        <v>-5.0877393749023357E-5</v>
      </c>
      <c r="AH520" s="41">
        <v>-0.65413017163230414</v>
      </c>
      <c r="AI520" s="42">
        <v>-7725.6427498795811</v>
      </c>
      <c r="AJ520" s="41">
        <v>-111.77545693353647</v>
      </c>
      <c r="AK520" s="30">
        <v>-1320130.5885619044</v>
      </c>
      <c r="AL520" s="43">
        <f>+$AL$6*W520/H520*10^6</f>
        <v>-309.62694074736385</v>
      </c>
      <c r="AM520" s="30">
        <v>671121.875</v>
      </c>
      <c r="AN520" s="44">
        <v>-1.9670504534841817</v>
      </c>
      <c r="AP520" s="32"/>
      <c r="AR520" s="32"/>
    </row>
    <row r="521" spans="1:44">
      <c r="A521" s="5" t="s">
        <v>1555</v>
      </c>
      <c r="B521" s="5" t="s">
        <v>1658</v>
      </c>
      <c r="C521" s="5" t="s">
        <v>2624</v>
      </c>
      <c r="D521" s="29" t="s">
        <v>1564</v>
      </c>
      <c r="E521" s="5" t="s">
        <v>1695</v>
      </c>
      <c r="F521" s="30" t="s">
        <v>1168</v>
      </c>
      <c r="G521" s="5" t="s">
        <v>970</v>
      </c>
      <c r="H521" s="31">
        <v>30.08</v>
      </c>
      <c r="I521" s="32">
        <v>2057.4609999999998</v>
      </c>
      <c r="J521" s="32">
        <v>1220.94</v>
      </c>
      <c r="K521" s="33">
        <v>0.86</v>
      </c>
      <c r="L521" s="33">
        <v>1</v>
      </c>
      <c r="M521" s="6">
        <v>0.56999999999999995</v>
      </c>
      <c r="N521" s="6">
        <v>0.56999999999999995</v>
      </c>
      <c r="O521" s="6">
        <v>0.43</v>
      </c>
      <c r="P521" s="6">
        <v>0.43</v>
      </c>
      <c r="Q521" s="34">
        <v>1769.4164599999997</v>
      </c>
      <c r="R521" s="34">
        <v>1220.94</v>
      </c>
      <c r="S521" s="34">
        <v>53224.047116799986</v>
      </c>
      <c r="T521" s="34">
        <v>36725.875200000002</v>
      </c>
      <c r="U521" s="35">
        <v>2.8904838030363489E-3</v>
      </c>
      <c r="V521" s="36">
        <v>2.0016831555083529E-3</v>
      </c>
      <c r="W521" s="36">
        <v>-8.8880064752799599E-4</v>
      </c>
      <c r="X521" s="37">
        <v>-1865.720435472731</v>
      </c>
      <c r="Y521" s="38">
        <v>-62025280.434598766</v>
      </c>
      <c r="Z521" s="39">
        <v>3.0824062107409301E-3</v>
      </c>
      <c r="AA521" s="40">
        <v>2.1352740890149225E-3</v>
      </c>
      <c r="AB521" s="40">
        <v>-9.4713212172600758E-4</v>
      </c>
      <c r="AC521" s="41">
        <v>-18.643757310924705</v>
      </c>
      <c r="AD521" s="42">
        <v>-619805.76166637987</v>
      </c>
      <c r="AE521" s="39">
        <v>2.6701046566647278E-3</v>
      </c>
      <c r="AF521" s="40">
        <v>1.8483898041852691E-3</v>
      </c>
      <c r="AG521" s="40">
        <v>-8.2171485247945863E-4</v>
      </c>
      <c r="AH521" s="41">
        <v>-10.564780109152501</v>
      </c>
      <c r="AI521" s="42">
        <v>-351222.7429904422</v>
      </c>
      <c r="AJ521" s="41">
        <v>-1894.9289728928081</v>
      </c>
      <c r="AK521" s="30">
        <v>-62996308.939255588</v>
      </c>
      <c r="AL521" s="43">
        <f>+$AL$6*W521/H521*10^6</f>
        <v>-14773.946933643552</v>
      </c>
      <c r="AM521" s="30">
        <v>20297480</v>
      </c>
      <c r="AN521" s="44">
        <v>-3.1036517311141871</v>
      </c>
      <c r="AP521" s="32"/>
      <c r="AR521" s="32"/>
    </row>
    <row r="522" spans="1:44">
      <c r="A522" s="5" t="s">
        <v>993</v>
      </c>
      <c r="B522" s="5" t="s">
        <v>398</v>
      </c>
      <c r="C522" s="5" t="s">
        <v>2625</v>
      </c>
      <c r="D522" s="29" t="s">
        <v>2626</v>
      </c>
      <c r="E522" s="5" t="s">
        <v>1371</v>
      </c>
      <c r="F522" s="30" t="s">
        <v>1168</v>
      </c>
      <c r="G522" s="5" t="s">
        <v>970</v>
      </c>
      <c r="H522" s="31">
        <v>59.41</v>
      </c>
      <c r="I522" s="32">
        <v>2513.5430000000001</v>
      </c>
      <c r="J522" s="32">
        <v>2114.7849999999999</v>
      </c>
      <c r="K522" s="33">
        <v>1</v>
      </c>
      <c r="L522" s="33">
        <v>1</v>
      </c>
      <c r="M522" s="6">
        <v>0.67</v>
      </c>
      <c r="N522" s="6">
        <v>0.67</v>
      </c>
      <c r="O522" s="6">
        <v>0.33</v>
      </c>
      <c r="P522" s="6">
        <v>0.33</v>
      </c>
      <c r="Q522" s="34">
        <v>2513.5430000000001</v>
      </c>
      <c r="R522" s="34">
        <v>2114.7849999999999</v>
      </c>
      <c r="S522" s="34">
        <v>149329.58963</v>
      </c>
      <c r="T522" s="34">
        <v>125639.37684999999</v>
      </c>
      <c r="U522" s="35">
        <v>8.1097696158347141E-3</v>
      </c>
      <c r="V522" s="36">
        <v>6.8477666751209521E-3</v>
      </c>
      <c r="W522" s="36">
        <v>-1.262002940713762E-3</v>
      </c>
      <c r="X522" s="37">
        <v>-2649.1257433992614</v>
      </c>
      <c r="Y522" s="38">
        <v>-44590569.658294253</v>
      </c>
      <c r="Z522" s="39">
        <v>1.0165477766276828E-2</v>
      </c>
      <c r="AA522" s="40">
        <v>8.5863225050016936E-3</v>
      </c>
      <c r="AB522" s="40">
        <v>-1.579155261275134E-3</v>
      </c>
      <c r="AC522" s="41">
        <v>-31.084773467328866</v>
      </c>
      <c r="AD522" s="42">
        <v>-523224.59968572413</v>
      </c>
      <c r="AE522" s="39">
        <v>5.7492572983727811E-3</v>
      </c>
      <c r="AF522" s="40">
        <v>4.8528030752027496E-3</v>
      </c>
      <c r="AG522" s="40">
        <v>-8.9645422317003159E-4</v>
      </c>
      <c r="AH522" s="41">
        <v>-11.525703493292109</v>
      </c>
      <c r="AI522" s="42">
        <v>-194002.75194903399</v>
      </c>
      <c r="AJ522" s="41">
        <v>-2691.7362203598823</v>
      </c>
      <c r="AK522" s="30">
        <v>-45307797.009929009</v>
      </c>
      <c r="AL522" s="43">
        <f>+$AL$6*W522/H522*10^6</f>
        <v>-10621.132306966521</v>
      </c>
      <c r="AM522" s="30">
        <v>13728485</v>
      </c>
      <c r="AN522" s="44">
        <v>-3.3002765425266523</v>
      </c>
      <c r="AP522" s="32"/>
      <c r="AR522" s="32"/>
    </row>
    <row r="523" spans="1:44">
      <c r="A523" s="5" t="s">
        <v>235</v>
      </c>
      <c r="B523" s="5" t="s">
        <v>535</v>
      </c>
      <c r="C523" s="5" t="s">
        <v>2601</v>
      </c>
      <c r="D523" s="29" t="s">
        <v>1566</v>
      </c>
      <c r="E523" s="5" t="s">
        <v>1376</v>
      </c>
      <c r="F523" s="30" t="s">
        <v>1168</v>
      </c>
      <c r="G523" s="5" t="s">
        <v>970</v>
      </c>
      <c r="H523" s="31">
        <v>14.12</v>
      </c>
      <c r="I523" s="32">
        <v>582.24699999999996</v>
      </c>
      <c r="J523" s="32">
        <v>380.99889999999999</v>
      </c>
      <c r="K523" s="33">
        <v>0.86</v>
      </c>
      <c r="L523" s="33">
        <v>1</v>
      </c>
      <c r="M523" s="6">
        <v>0</v>
      </c>
      <c r="N523" s="6">
        <v>0</v>
      </c>
      <c r="O523" s="6">
        <v>1</v>
      </c>
      <c r="P523" s="6">
        <v>1</v>
      </c>
      <c r="Q523" s="34">
        <v>500.73241999999993</v>
      </c>
      <c r="R523" s="34">
        <v>380.99889999999999</v>
      </c>
      <c r="S523" s="34">
        <v>7070.3417703999985</v>
      </c>
      <c r="T523" s="34">
        <v>5379.7044679999999</v>
      </c>
      <c r="U523" s="35">
        <v>3.8397509164277296E-4</v>
      </c>
      <c r="V523" s="36">
        <v>2.932119045922321E-4</v>
      </c>
      <c r="W523" s="36">
        <v>-9.0763187050540853E-5</v>
      </c>
      <c r="X523" s="37">
        <v>-190.52498818470323</v>
      </c>
      <c r="Y523" s="38">
        <v>-13493271.117896831</v>
      </c>
      <c r="Z523" s="39">
        <v>0</v>
      </c>
      <c r="AA523" s="40">
        <v>0</v>
      </c>
      <c r="AB523" s="40">
        <v>0</v>
      </c>
      <c r="AC523" s="41">
        <v>0</v>
      </c>
      <c r="AD523" s="42">
        <v>0</v>
      </c>
      <c r="AE523" s="39">
        <v>8.2488297695052274E-4</v>
      </c>
      <c r="AF523" s="40">
        <v>6.2966763794898865E-4</v>
      </c>
      <c r="AG523" s="40">
        <v>-1.9521533900153409E-4</v>
      </c>
      <c r="AH523" s="41">
        <v>-2.5098817725658988</v>
      </c>
      <c r="AI523" s="42">
        <v>-177753.66661231578</v>
      </c>
      <c r="AJ523" s="41">
        <v>-193.03486995726914</v>
      </c>
      <c r="AK523" s="30">
        <v>-13671024.784509147</v>
      </c>
      <c r="AL523" s="43">
        <f>+$AL$6*W523/H523*10^6</f>
        <v>-3213.993875727368</v>
      </c>
      <c r="AM523" s="30">
        <v>2968332.25</v>
      </c>
      <c r="AN523" s="44">
        <v>-4.6056248536561721</v>
      </c>
      <c r="AP523" s="32"/>
      <c r="AR523" s="32"/>
    </row>
    <row r="524" spans="1:44">
      <c r="A524" s="5" t="s">
        <v>1205</v>
      </c>
      <c r="B524" s="5" t="s">
        <v>375</v>
      </c>
      <c r="C524" s="5" t="s">
        <v>2622</v>
      </c>
      <c r="D524" s="29" t="s">
        <v>2623</v>
      </c>
      <c r="E524" s="5" t="s">
        <v>728</v>
      </c>
      <c r="F524" s="30" t="s">
        <v>1153</v>
      </c>
      <c r="G524" s="5" t="s">
        <v>970</v>
      </c>
      <c r="H524" s="31">
        <v>108.76</v>
      </c>
      <c r="I524" s="32">
        <v>210.578</v>
      </c>
      <c r="J524" s="32">
        <v>122.4836</v>
      </c>
      <c r="K524" s="33">
        <v>0.74</v>
      </c>
      <c r="L524" s="33">
        <v>0.87</v>
      </c>
      <c r="M524" s="6">
        <v>1</v>
      </c>
      <c r="N524" s="6">
        <v>1</v>
      </c>
      <c r="O524" s="6">
        <v>0</v>
      </c>
      <c r="P524" s="6">
        <v>0</v>
      </c>
      <c r="Q524" s="34">
        <v>155.82772</v>
      </c>
      <c r="R524" s="34">
        <v>106.560732</v>
      </c>
      <c r="S524" s="34">
        <v>16947.822827200001</v>
      </c>
      <c r="T524" s="34">
        <v>11589.545212320001</v>
      </c>
      <c r="U524" s="35">
        <v>9.203998950182916E-4</v>
      </c>
      <c r="V524" s="36">
        <v>6.3166901551480034E-4</v>
      </c>
      <c r="W524" s="36">
        <v>-2.8873087950349126E-4</v>
      </c>
      <c r="X524" s="37">
        <v>-606.08765727154844</v>
      </c>
      <c r="Y524" s="38">
        <v>-5572707.4041150091</v>
      </c>
      <c r="Z524" s="39">
        <v>1.721951978376858E-3</v>
      </c>
      <c r="AA524" s="40">
        <v>1.1821511644238404E-3</v>
      </c>
      <c r="AB524" s="40">
        <v>-5.3980081395301762E-4</v>
      </c>
      <c r="AC524" s="41">
        <v>-10.625672111341434</v>
      </c>
      <c r="AD524" s="42">
        <v>-97698.346003507104</v>
      </c>
      <c r="AE524" s="39">
        <v>0</v>
      </c>
      <c r="AF524" s="40">
        <v>0</v>
      </c>
      <c r="AG524" s="40">
        <v>0</v>
      </c>
      <c r="AH524" s="41">
        <v>0</v>
      </c>
      <c r="AI524" s="42">
        <v>0</v>
      </c>
      <c r="AJ524" s="41">
        <v>-616.71332938288992</v>
      </c>
      <c r="AK524" s="30">
        <v>-5670405.7501185164</v>
      </c>
      <c r="AL524" s="43">
        <f>+$AL$6*W524/H524*10^6</f>
        <v>-1327.376238982582</v>
      </c>
      <c r="AM524" s="30">
        <v>428529.3125</v>
      </c>
      <c r="AN524" s="44">
        <v>-13.232247094225361</v>
      </c>
      <c r="AP524" s="32"/>
      <c r="AR524" s="32"/>
    </row>
    <row r="525" spans="1:44">
      <c r="D525" s="29"/>
      <c r="I525" s="34"/>
      <c r="J525" s="34"/>
      <c r="K525" s="33"/>
      <c r="L525" s="33"/>
      <c r="M525" s="45"/>
      <c r="N525" s="45"/>
      <c r="O525" s="45"/>
      <c r="P525" s="45"/>
      <c r="Q525" s="34"/>
      <c r="R525" s="34"/>
      <c r="S525" s="34"/>
      <c r="T525" s="34"/>
      <c r="U525" s="39"/>
      <c r="V525" s="40"/>
      <c r="W525" s="40"/>
      <c r="X525" s="41"/>
      <c r="Y525" s="42"/>
      <c r="Z525" s="39"/>
      <c r="AA525" s="40"/>
      <c r="AB525" s="40"/>
      <c r="AC525" s="41"/>
      <c r="AD525" s="42"/>
      <c r="AE525" s="39"/>
      <c r="AF525" s="40"/>
      <c r="AG525" s="40"/>
      <c r="AH525" s="41"/>
      <c r="AI525" s="42"/>
      <c r="AJ525" s="41"/>
      <c r="AK525" s="30"/>
      <c r="AL525" s="30"/>
      <c r="AM525" s="30"/>
      <c r="AN525" s="44"/>
      <c r="AR525" s="32"/>
    </row>
    <row r="526" spans="1:44">
      <c r="D526" s="29"/>
      <c r="I526" s="34"/>
      <c r="J526" s="34"/>
      <c r="K526" s="33"/>
      <c r="L526" s="33"/>
      <c r="M526" s="45"/>
      <c r="N526" s="45"/>
      <c r="O526" s="45"/>
      <c r="P526" s="45"/>
      <c r="Q526" s="34"/>
      <c r="R526" s="34"/>
      <c r="S526" s="34"/>
      <c r="T526" s="34"/>
      <c r="U526" s="39"/>
      <c r="V526" s="40"/>
      <c r="W526" s="40"/>
      <c r="X526" s="41"/>
      <c r="Y526" s="42"/>
      <c r="Z526" s="39"/>
      <c r="AA526" s="40"/>
      <c r="AB526" s="40"/>
      <c r="AC526" s="41"/>
      <c r="AD526" s="42"/>
      <c r="AE526" s="39"/>
      <c r="AF526" s="40"/>
      <c r="AG526" s="40"/>
      <c r="AH526" s="41"/>
      <c r="AI526" s="42"/>
      <c r="AJ526" s="41"/>
      <c r="AK526" s="30"/>
      <c r="AL526" s="30"/>
      <c r="AM526" s="30"/>
      <c r="AN526" s="44"/>
      <c r="AR526" s="32"/>
    </row>
    <row r="527" spans="1:44">
      <c r="A527" s="46" t="s">
        <v>1651</v>
      </c>
      <c r="D527" s="29"/>
      <c r="I527" s="34"/>
      <c r="J527" s="34"/>
      <c r="K527" s="33"/>
      <c r="L527" s="33"/>
      <c r="M527" s="45"/>
      <c r="N527" s="45"/>
      <c r="O527" s="45"/>
      <c r="P527" s="45"/>
      <c r="Q527" s="34"/>
      <c r="R527" s="34"/>
      <c r="S527" s="34"/>
      <c r="T527" s="34"/>
      <c r="U527" s="39"/>
      <c r="V527" s="40"/>
      <c r="W527" s="40"/>
      <c r="X527" s="41"/>
      <c r="Y527" s="42"/>
      <c r="Z527" s="39"/>
      <c r="AA527" s="40"/>
      <c r="AB527" s="40"/>
      <c r="AC527" s="41"/>
      <c r="AD527" s="42"/>
      <c r="AE527" s="39"/>
      <c r="AF527" s="40"/>
      <c r="AG527" s="40"/>
      <c r="AH527" s="41"/>
      <c r="AI527" s="42"/>
      <c r="AJ527" s="41"/>
      <c r="AK527" s="30"/>
      <c r="AL527" s="30"/>
      <c r="AM527" s="30"/>
      <c r="AN527" s="44"/>
      <c r="AR527" s="32"/>
    </row>
    <row r="528" spans="1:44">
      <c r="A528" s="46" t="s">
        <v>1486</v>
      </c>
      <c r="D528" s="29"/>
      <c r="I528" s="34"/>
      <c r="J528" s="34"/>
      <c r="K528" s="33"/>
      <c r="L528" s="33"/>
      <c r="M528" s="45"/>
      <c r="N528" s="45"/>
      <c r="O528" s="45"/>
      <c r="P528" s="45"/>
      <c r="Q528" s="34"/>
      <c r="R528" s="34"/>
      <c r="S528" s="34"/>
      <c r="T528" s="34"/>
      <c r="U528" s="39"/>
      <c r="V528" s="40"/>
      <c r="W528" s="40"/>
      <c r="X528" s="41"/>
      <c r="Y528" s="42"/>
      <c r="Z528" s="39"/>
      <c r="AA528" s="40"/>
      <c r="AB528" s="40"/>
      <c r="AC528" s="41"/>
      <c r="AD528" s="42"/>
      <c r="AE528" s="39"/>
      <c r="AF528" s="40"/>
      <c r="AG528" s="40"/>
      <c r="AH528" s="41"/>
      <c r="AI528" s="42"/>
      <c r="AJ528" s="41"/>
      <c r="AK528" s="30"/>
      <c r="AL528" s="30"/>
      <c r="AM528" s="30"/>
      <c r="AN528" s="44"/>
      <c r="AR528" s="32"/>
    </row>
    <row r="529" spans="1:44">
      <c r="A529" s="46"/>
      <c r="D529" s="29"/>
      <c r="I529" s="34"/>
      <c r="J529" s="34"/>
      <c r="K529" s="33"/>
      <c r="L529" s="33"/>
      <c r="M529" s="45"/>
      <c r="N529" s="45"/>
      <c r="O529" s="45"/>
      <c r="P529" s="45"/>
      <c r="Q529" s="34"/>
      <c r="R529" s="34"/>
      <c r="S529" s="34"/>
      <c r="T529" s="34"/>
      <c r="U529" s="39"/>
      <c r="V529" s="40"/>
      <c r="W529" s="40"/>
      <c r="X529" s="41"/>
      <c r="Y529" s="42"/>
      <c r="Z529" s="39"/>
      <c r="AA529" s="40"/>
      <c r="AB529" s="40"/>
      <c r="AC529" s="41"/>
      <c r="AD529" s="42"/>
      <c r="AE529" s="39"/>
      <c r="AF529" s="40"/>
      <c r="AG529" s="40"/>
      <c r="AH529" s="41"/>
      <c r="AI529" s="42"/>
      <c r="AJ529" s="41"/>
      <c r="AK529" s="30"/>
      <c r="AL529" s="30"/>
      <c r="AM529" s="30"/>
      <c r="AN529" s="44"/>
      <c r="AR529" s="32"/>
    </row>
    <row r="530" spans="1:44">
      <c r="D530" s="29"/>
      <c r="I530" s="34"/>
      <c r="J530" s="34"/>
      <c r="K530" s="33"/>
      <c r="L530" s="33"/>
      <c r="M530" s="45"/>
      <c r="N530" s="45"/>
      <c r="O530" s="45"/>
      <c r="P530" s="45"/>
      <c r="Q530" s="34"/>
      <c r="R530" s="34"/>
      <c r="S530" s="34"/>
      <c r="T530" s="34"/>
      <c r="U530" s="39"/>
      <c r="V530" s="40"/>
      <c r="W530" s="40"/>
      <c r="X530" s="41"/>
      <c r="Y530" s="42"/>
      <c r="Z530" s="39"/>
      <c r="AA530" s="40"/>
      <c r="AB530" s="40"/>
      <c r="AC530" s="41"/>
      <c r="AD530" s="42"/>
      <c r="AE530" s="39"/>
      <c r="AF530" s="40"/>
      <c r="AG530" s="40"/>
      <c r="AH530" s="41"/>
      <c r="AI530" s="42"/>
      <c r="AJ530" s="41"/>
      <c r="AK530" s="30"/>
      <c r="AL530" s="30"/>
      <c r="AM530" s="30"/>
      <c r="AN530" s="44"/>
      <c r="AR530" s="32"/>
    </row>
    <row r="531" spans="1:44">
      <c r="D531" s="29"/>
      <c r="I531" s="34"/>
      <c r="J531" s="34"/>
      <c r="K531" s="33"/>
      <c r="L531" s="33"/>
      <c r="M531" s="45"/>
      <c r="N531" s="45"/>
      <c r="O531" s="45"/>
      <c r="P531" s="45"/>
      <c r="Q531" s="34"/>
      <c r="R531" s="34"/>
      <c r="S531" s="34"/>
      <c r="T531" s="34"/>
      <c r="U531" s="39"/>
      <c r="V531" s="40"/>
      <c r="W531" s="40"/>
      <c r="X531" s="41"/>
      <c r="Y531" s="42"/>
      <c r="Z531" s="39"/>
      <c r="AA531" s="40"/>
      <c r="AB531" s="40"/>
      <c r="AC531" s="41"/>
      <c r="AD531" s="42"/>
      <c r="AE531" s="39"/>
      <c r="AF531" s="40"/>
      <c r="AG531" s="40"/>
      <c r="AH531" s="41"/>
      <c r="AI531" s="42"/>
      <c r="AJ531" s="41"/>
      <c r="AK531" s="30"/>
      <c r="AL531" s="30"/>
      <c r="AM531" s="30"/>
      <c r="AN531" s="44"/>
      <c r="AR531" s="32"/>
    </row>
    <row r="532" spans="1:44">
      <c r="D532" s="29"/>
      <c r="I532" s="34"/>
      <c r="J532" s="34"/>
      <c r="K532" s="33"/>
      <c r="L532" s="33"/>
      <c r="M532" s="45"/>
      <c r="N532" s="45"/>
      <c r="O532" s="45"/>
      <c r="P532" s="45"/>
      <c r="Q532" s="34"/>
      <c r="R532" s="34"/>
      <c r="S532" s="34"/>
      <c r="T532" s="34"/>
      <c r="U532" s="39"/>
      <c r="V532" s="40"/>
      <c r="W532" s="40"/>
      <c r="X532" s="41"/>
      <c r="Y532" s="42"/>
      <c r="Z532" s="39"/>
      <c r="AA532" s="40"/>
      <c r="AB532" s="40"/>
      <c r="AC532" s="41"/>
      <c r="AD532" s="42"/>
      <c r="AE532" s="39"/>
      <c r="AF532" s="40"/>
      <c r="AG532" s="40"/>
      <c r="AH532" s="41"/>
      <c r="AI532" s="42"/>
      <c r="AJ532" s="41"/>
      <c r="AK532" s="30"/>
      <c r="AL532" s="30"/>
      <c r="AM532" s="30"/>
      <c r="AN532" s="44"/>
      <c r="AR532" s="32"/>
    </row>
    <row r="533" spans="1:44">
      <c r="D533" s="29"/>
      <c r="I533" s="34"/>
      <c r="J533" s="34"/>
      <c r="K533" s="33"/>
      <c r="L533" s="33"/>
      <c r="M533" s="45"/>
      <c r="N533" s="45"/>
      <c r="O533" s="45"/>
      <c r="P533" s="45"/>
      <c r="Q533" s="34"/>
      <c r="R533" s="34"/>
      <c r="S533" s="34"/>
      <c r="T533" s="34"/>
      <c r="U533" s="39"/>
      <c r="V533" s="40"/>
      <c r="W533" s="40"/>
      <c r="X533" s="41"/>
      <c r="Y533" s="42"/>
      <c r="Z533" s="39"/>
      <c r="AA533" s="40"/>
      <c r="AB533" s="40"/>
      <c r="AC533" s="41"/>
      <c r="AD533" s="42"/>
      <c r="AE533" s="39"/>
      <c r="AF533" s="40"/>
      <c r="AG533" s="40"/>
      <c r="AH533" s="41"/>
      <c r="AI533" s="42"/>
      <c r="AJ533" s="41"/>
      <c r="AK533" s="30"/>
      <c r="AL533" s="30"/>
      <c r="AM533" s="30"/>
      <c r="AN533" s="44"/>
      <c r="AR533" s="32"/>
    </row>
    <row r="534" spans="1:44">
      <c r="D534" s="29"/>
      <c r="I534" s="34"/>
      <c r="J534" s="34"/>
      <c r="K534" s="33"/>
      <c r="L534" s="33"/>
      <c r="M534" s="45"/>
      <c r="N534" s="45"/>
      <c r="O534" s="45"/>
      <c r="P534" s="45"/>
      <c r="Q534" s="34"/>
      <c r="R534" s="34"/>
      <c r="S534" s="34"/>
      <c r="T534" s="34"/>
      <c r="U534" s="39"/>
      <c r="V534" s="40"/>
      <c r="W534" s="40"/>
      <c r="X534" s="41"/>
      <c r="Y534" s="42"/>
      <c r="Z534" s="39"/>
      <c r="AA534" s="40"/>
      <c r="AB534" s="40"/>
      <c r="AC534" s="41"/>
      <c r="AD534" s="42"/>
      <c r="AE534" s="39"/>
      <c r="AF534" s="40"/>
      <c r="AG534" s="40"/>
      <c r="AH534" s="41"/>
      <c r="AI534" s="42"/>
      <c r="AJ534" s="41"/>
      <c r="AK534" s="30"/>
      <c r="AL534" s="30"/>
      <c r="AM534" s="30"/>
      <c r="AN534" s="44"/>
      <c r="AR534" s="32"/>
    </row>
    <row r="535" spans="1:44">
      <c r="D535" s="29"/>
      <c r="I535" s="34"/>
      <c r="J535" s="34"/>
      <c r="K535" s="33"/>
      <c r="L535" s="33"/>
      <c r="M535" s="45"/>
      <c r="N535" s="45"/>
      <c r="O535" s="45"/>
      <c r="P535" s="45"/>
      <c r="Q535" s="34"/>
      <c r="R535" s="34"/>
      <c r="S535" s="34"/>
      <c r="T535" s="34"/>
      <c r="U535" s="39"/>
      <c r="V535" s="40"/>
      <c r="W535" s="40"/>
      <c r="X535" s="41"/>
      <c r="Y535" s="42"/>
      <c r="Z535" s="39"/>
      <c r="AA535" s="40"/>
      <c r="AB535" s="40"/>
      <c r="AC535" s="41"/>
      <c r="AD535" s="42"/>
      <c r="AE535" s="39"/>
      <c r="AF535" s="40"/>
      <c r="AG535" s="40"/>
      <c r="AH535" s="41"/>
      <c r="AI535" s="42"/>
      <c r="AJ535" s="41"/>
      <c r="AK535" s="30"/>
      <c r="AL535" s="30"/>
      <c r="AM535" s="30"/>
      <c r="AN535" s="44"/>
      <c r="AR535" s="32"/>
    </row>
    <row r="536" spans="1:44">
      <c r="D536" s="29"/>
      <c r="I536" s="34"/>
      <c r="J536" s="34"/>
      <c r="K536" s="33"/>
      <c r="L536" s="33"/>
      <c r="M536" s="45"/>
      <c r="N536" s="45"/>
      <c r="O536" s="45"/>
      <c r="P536" s="45"/>
      <c r="Q536" s="34"/>
      <c r="R536" s="34"/>
      <c r="S536" s="34"/>
      <c r="T536" s="34"/>
      <c r="U536" s="39"/>
      <c r="V536" s="40"/>
      <c r="W536" s="40"/>
      <c r="X536" s="41"/>
      <c r="Y536" s="42"/>
      <c r="Z536" s="39"/>
      <c r="AA536" s="40"/>
      <c r="AB536" s="40"/>
      <c r="AC536" s="41"/>
      <c r="AD536" s="42"/>
      <c r="AE536" s="39"/>
      <c r="AF536" s="40"/>
      <c r="AG536" s="40"/>
      <c r="AH536" s="41"/>
      <c r="AI536" s="42"/>
      <c r="AJ536" s="41"/>
      <c r="AK536" s="30"/>
      <c r="AL536" s="30"/>
      <c r="AM536" s="30"/>
      <c r="AN536" s="44"/>
      <c r="AR536" s="32"/>
    </row>
    <row r="537" spans="1:44">
      <c r="D537" s="29"/>
      <c r="I537" s="34"/>
      <c r="J537" s="34"/>
      <c r="K537" s="33"/>
      <c r="L537" s="33"/>
      <c r="M537" s="45"/>
      <c r="N537" s="45"/>
      <c r="O537" s="45"/>
      <c r="P537" s="45"/>
      <c r="Q537" s="34"/>
      <c r="R537" s="34"/>
      <c r="S537" s="34"/>
      <c r="T537" s="34"/>
      <c r="U537" s="39"/>
      <c r="V537" s="40"/>
      <c r="W537" s="40"/>
      <c r="X537" s="41"/>
      <c r="Y537" s="42"/>
      <c r="Z537" s="39"/>
      <c r="AA537" s="40"/>
      <c r="AB537" s="40"/>
      <c r="AC537" s="41"/>
      <c r="AD537" s="42"/>
      <c r="AE537" s="39"/>
      <c r="AF537" s="40"/>
      <c r="AG537" s="40"/>
      <c r="AH537" s="41"/>
      <c r="AI537" s="42"/>
      <c r="AJ537" s="41"/>
      <c r="AK537" s="30"/>
      <c r="AL537" s="30"/>
      <c r="AM537" s="30"/>
      <c r="AN537" s="44"/>
      <c r="AR537" s="32"/>
    </row>
    <row r="538" spans="1:44">
      <c r="D538" s="29"/>
      <c r="I538" s="34"/>
      <c r="J538" s="34"/>
      <c r="K538" s="33"/>
      <c r="L538" s="33"/>
      <c r="M538" s="45"/>
      <c r="N538" s="45"/>
      <c r="O538" s="45"/>
      <c r="P538" s="45"/>
      <c r="Q538" s="34"/>
      <c r="R538" s="34"/>
      <c r="S538" s="34"/>
      <c r="T538" s="34"/>
      <c r="U538" s="39"/>
      <c r="V538" s="40"/>
      <c r="W538" s="40"/>
      <c r="X538" s="41"/>
      <c r="Y538" s="42"/>
      <c r="Z538" s="39"/>
      <c r="AA538" s="40"/>
      <c r="AB538" s="40"/>
      <c r="AC538" s="41"/>
      <c r="AD538" s="42"/>
      <c r="AE538" s="39"/>
      <c r="AF538" s="40"/>
      <c r="AG538" s="40"/>
      <c r="AH538" s="41"/>
      <c r="AI538" s="42"/>
      <c r="AJ538" s="41"/>
      <c r="AK538" s="30"/>
      <c r="AL538" s="30"/>
      <c r="AM538" s="30"/>
      <c r="AN538" s="44"/>
      <c r="AR538" s="32"/>
    </row>
    <row r="539" spans="1:44">
      <c r="D539" s="29"/>
      <c r="I539" s="34"/>
      <c r="J539" s="34"/>
      <c r="K539" s="33"/>
      <c r="L539" s="33"/>
      <c r="M539" s="45"/>
      <c r="N539" s="45"/>
      <c r="O539" s="45"/>
      <c r="P539" s="45"/>
      <c r="Q539" s="34"/>
      <c r="R539" s="34"/>
      <c r="S539" s="34"/>
      <c r="T539" s="34"/>
      <c r="U539" s="39"/>
      <c r="V539" s="40"/>
      <c r="W539" s="40"/>
      <c r="X539" s="41"/>
      <c r="Y539" s="42"/>
      <c r="Z539" s="39"/>
      <c r="AA539" s="40"/>
      <c r="AB539" s="40"/>
      <c r="AC539" s="41"/>
      <c r="AD539" s="42"/>
      <c r="AE539" s="39"/>
      <c r="AF539" s="40"/>
      <c r="AG539" s="40"/>
      <c r="AH539" s="41"/>
      <c r="AI539" s="42"/>
      <c r="AJ539" s="41"/>
      <c r="AK539" s="30"/>
      <c r="AL539" s="30"/>
      <c r="AM539" s="30"/>
      <c r="AN539" s="44"/>
      <c r="AR539" s="32"/>
    </row>
    <row r="540" spans="1:44">
      <c r="D540" s="29"/>
      <c r="I540" s="34"/>
      <c r="J540" s="34"/>
      <c r="K540" s="33"/>
      <c r="L540" s="33"/>
      <c r="M540" s="45"/>
      <c r="N540" s="45"/>
      <c r="O540" s="45"/>
      <c r="P540" s="45"/>
      <c r="Q540" s="34"/>
      <c r="R540" s="34"/>
      <c r="S540" s="34"/>
      <c r="T540" s="34"/>
      <c r="U540" s="39"/>
      <c r="V540" s="40"/>
      <c r="W540" s="40"/>
      <c r="X540" s="41"/>
      <c r="Y540" s="42"/>
      <c r="Z540" s="39"/>
      <c r="AA540" s="40"/>
      <c r="AB540" s="40"/>
      <c r="AC540" s="41"/>
      <c r="AD540" s="42"/>
      <c r="AE540" s="39"/>
      <c r="AF540" s="40"/>
      <c r="AG540" s="40"/>
      <c r="AH540" s="41"/>
      <c r="AI540" s="42"/>
      <c r="AJ540" s="41"/>
      <c r="AK540" s="30"/>
      <c r="AL540" s="30"/>
      <c r="AM540" s="30"/>
      <c r="AN540" s="44"/>
      <c r="AR540" s="32"/>
    </row>
    <row r="541" spans="1:44">
      <c r="D541" s="29"/>
      <c r="I541" s="34"/>
      <c r="J541" s="34"/>
      <c r="K541" s="33"/>
      <c r="L541" s="33"/>
      <c r="M541" s="45"/>
      <c r="N541" s="45"/>
      <c r="O541" s="45"/>
      <c r="P541" s="45"/>
      <c r="Q541" s="34"/>
      <c r="R541" s="34"/>
      <c r="S541" s="34"/>
      <c r="T541" s="34"/>
      <c r="U541" s="39"/>
      <c r="V541" s="40"/>
      <c r="W541" s="40"/>
      <c r="X541" s="41"/>
      <c r="Y541" s="42"/>
      <c r="Z541" s="39"/>
      <c r="AA541" s="40"/>
      <c r="AB541" s="40"/>
      <c r="AC541" s="41"/>
      <c r="AD541" s="42"/>
      <c r="AE541" s="39"/>
      <c r="AF541" s="40"/>
      <c r="AG541" s="40"/>
      <c r="AH541" s="41"/>
      <c r="AI541" s="42"/>
      <c r="AJ541" s="41"/>
      <c r="AK541" s="30"/>
      <c r="AL541" s="30"/>
      <c r="AM541" s="30"/>
      <c r="AN541" s="44"/>
      <c r="AR541" s="32"/>
    </row>
    <row r="542" spans="1:44">
      <c r="D542" s="29"/>
      <c r="I542" s="34"/>
      <c r="J542" s="34"/>
      <c r="K542" s="33"/>
      <c r="L542" s="33"/>
      <c r="M542" s="45"/>
      <c r="N542" s="45"/>
      <c r="O542" s="45"/>
      <c r="P542" s="45"/>
      <c r="Q542" s="34"/>
      <c r="R542" s="34"/>
      <c r="S542" s="34"/>
      <c r="T542" s="34"/>
      <c r="U542" s="39"/>
      <c r="V542" s="40"/>
      <c r="W542" s="40"/>
      <c r="X542" s="41"/>
      <c r="Y542" s="42"/>
      <c r="Z542" s="39"/>
      <c r="AA542" s="40"/>
      <c r="AB542" s="40"/>
      <c r="AC542" s="41"/>
      <c r="AD542" s="42"/>
      <c r="AE542" s="39"/>
      <c r="AF542" s="40"/>
      <c r="AG542" s="40"/>
      <c r="AH542" s="41"/>
      <c r="AI542" s="42"/>
      <c r="AJ542" s="41"/>
      <c r="AK542" s="30"/>
      <c r="AL542" s="30"/>
      <c r="AM542" s="30"/>
      <c r="AN542" s="44"/>
      <c r="AR542" s="32"/>
    </row>
    <row r="543" spans="1:44">
      <c r="D543" s="29"/>
      <c r="I543" s="34"/>
      <c r="J543" s="34"/>
      <c r="K543" s="33"/>
      <c r="L543" s="33"/>
      <c r="M543" s="45"/>
      <c r="N543" s="45"/>
      <c r="O543" s="45"/>
      <c r="P543" s="45"/>
      <c r="Q543" s="34"/>
      <c r="R543" s="34"/>
      <c r="S543" s="34"/>
      <c r="T543" s="34"/>
      <c r="U543" s="39"/>
      <c r="V543" s="40"/>
      <c r="W543" s="40"/>
      <c r="X543" s="41"/>
      <c r="Y543" s="42"/>
      <c r="Z543" s="39"/>
      <c r="AA543" s="40"/>
      <c r="AB543" s="40"/>
      <c r="AC543" s="41"/>
      <c r="AD543" s="42"/>
      <c r="AE543" s="39"/>
      <c r="AF543" s="40"/>
      <c r="AG543" s="40"/>
      <c r="AH543" s="41"/>
      <c r="AI543" s="42"/>
      <c r="AJ543" s="41"/>
      <c r="AK543" s="30"/>
      <c r="AL543" s="30"/>
      <c r="AM543" s="30"/>
      <c r="AN543" s="44"/>
      <c r="AR543" s="32"/>
    </row>
    <row r="544" spans="1:44">
      <c r="D544" s="29"/>
      <c r="I544" s="34"/>
      <c r="J544" s="34"/>
      <c r="K544" s="33"/>
      <c r="L544" s="33"/>
      <c r="M544" s="45"/>
      <c r="N544" s="45"/>
      <c r="O544" s="45"/>
      <c r="P544" s="45"/>
      <c r="Q544" s="34"/>
      <c r="R544" s="34"/>
      <c r="S544" s="34"/>
      <c r="T544" s="34"/>
      <c r="U544" s="39"/>
      <c r="V544" s="40"/>
      <c r="W544" s="40"/>
      <c r="X544" s="41"/>
      <c r="Y544" s="42"/>
      <c r="Z544" s="39"/>
      <c r="AA544" s="40"/>
      <c r="AB544" s="40"/>
      <c r="AC544" s="41"/>
      <c r="AD544" s="42"/>
      <c r="AE544" s="39"/>
      <c r="AF544" s="40"/>
      <c r="AG544" s="40"/>
      <c r="AH544" s="41"/>
      <c r="AI544" s="42"/>
      <c r="AJ544" s="41"/>
      <c r="AK544" s="30"/>
      <c r="AL544" s="30"/>
      <c r="AM544" s="30"/>
      <c r="AN544" s="44"/>
      <c r="AR544" s="32"/>
    </row>
    <row r="545" spans="4:44">
      <c r="D545" s="29"/>
      <c r="I545" s="34"/>
      <c r="J545" s="34"/>
      <c r="K545" s="33"/>
      <c r="L545" s="33"/>
      <c r="M545" s="45"/>
      <c r="N545" s="45"/>
      <c r="O545" s="45"/>
      <c r="P545" s="45"/>
      <c r="Q545" s="34"/>
      <c r="R545" s="34"/>
      <c r="S545" s="34"/>
      <c r="T545" s="34"/>
      <c r="U545" s="39"/>
      <c r="V545" s="40"/>
      <c r="W545" s="40"/>
      <c r="X545" s="41"/>
      <c r="Y545" s="42"/>
      <c r="Z545" s="39"/>
      <c r="AA545" s="40"/>
      <c r="AB545" s="40"/>
      <c r="AC545" s="41"/>
      <c r="AD545" s="42"/>
      <c r="AE545" s="39"/>
      <c r="AF545" s="40"/>
      <c r="AG545" s="40"/>
      <c r="AH545" s="41"/>
      <c r="AI545" s="42"/>
      <c r="AJ545" s="41"/>
      <c r="AK545" s="30"/>
      <c r="AL545" s="30"/>
      <c r="AM545" s="30"/>
      <c r="AN545" s="44"/>
      <c r="AR545" s="32"/>
    </row>
    <row r="546" spans="4:44">
      <c r="D546" s="29"/>
      <c r="I546" s="34"/>
      <c r="J546" s="34"/>
      <c r="K546" s="33"/>
      <c r="L546" s="33"/>
      <c r="M546" s="45"/>
      <c r="N546" s="45"/>
      <c r="O546" s="45"/>
      <c r="P546" s="45"/>
      <c r="Q546" s="34"/>
      <c r="R546" s="34"/>
      <c r="S546" s="34"/>
      <c r="T546" s="34"/>
      <c r="U546" s="39"/>
      <c r="V546" s="40"/>
      <c r="W546" s="40"/>
      <c r="X546" s="41"/>
      <c r="Y546" s="42"/>
      <c r="Z546" s="39"/>
      <c r="AA546" s="40"/>
      <c r="AB546" s="40"/>
      <c r="AC546" s="41"/>
      <c r="AD546" s="42"/>
      <c r="AE546" s="39"/>
      <c r="AF546" s="40"/>
      <c r="AG546" s="40"/>
      <c r="AH546" s="41"/>
      <c r="AI546" s="42"/>
      <c r="AJ546" s="41"/>
      <c r="AK546" s="30"/>
      <c r="AL546" s="30"/>
      <c r="AM546" s="30"/>
      <c r="AN546" s="44"/>
      <c r="AR546" s="32"/>
    </row>
    <row r="547" spans="4:44">
      <c r="D547" s="29"/>
      <c r="I547" s="34"/>
      <c r="J547" s="34"/>
      <c r="K547" s="33"/>
      <c r="L547" s="33"/>
      <c r="M547" s="45"/>
      <c r="N547" s="45"/>
      <c r="O547" s="45"/>
      <c r="P547" s="45"/>
      <c r="Q547" s="34"/>
      <c r="R547" s="34"/>
      <c r="S547" s="34"/>
      <c r="T547" s="34"/>
      <c r="U547" s="39"/>
      <c r="V547" s="40"/>
      <c r="W547" s="40"/>
      <c r="X547" s="41"/>
      <c r="Y547" s="42"/>
      <c r="Z547" s="39"/>
      <c r="AA547" s="40"/>
      <c r="AB547" s="40"/>
      <c r="AC547" s="41"/>
      <c r="AD547" s="42"/>
      <c r="AE547" s="39"/>
      <c r="AF547" s="40"/>
      <c r="AG547" s="40"/>
      <c r="AH547" s="41"/>
      <c r="AI547" s="42"/>
      <c r="AJ547" s="41"/>
      <c r="AK547" s="30"/>
      <c r="AL547" s="30"/>
      <c r="AM547" s="30"/>
      <c r="AN547" s="44"/>
      <c r="AR547" s="32"/>
    </row>
    <row r="548" spans="4:44">
      <c r="D548" s="29"/>
      <c r="I548" s="34"/>
      <c r="J548" s="34"/>
      <c r="K548" s="33"/>
      <c r="L548" s="33"/>
      <c r="M548" s="45"/>
      <c r="N548" s="45"/>
      <c r="O548" s="45"/>
      <c r="P548" s="45"/>
      <c r="Q548" s="34"/>
      <c r="R548" s="34"/>
      <c r="S548" s="34"/>
      <c r="T548" s="34"/>
      <c r="U548" s="39"/>
      <c r="V548" s="40"/>
      <c r="W548" s="40"/>
      <c r="X548" s="41"/>
      <c r="Y548" s="42"/>
      <c r="Z548" s="39"/>
      <c r="AA548" s="40"/>
      <c r="AB548" s="40"/>
      <c r="AC548" s="41"/>
      <c r="AD548" s="42"/>
      <c r="AE548" s="39"/>
      <c r="AF548" s="40"/>
      <c r="AG548" s="40"/>
      <c r="AH548" s="41"/>
      <c r="AI548" s="42"/>
      <c r="AJ548" s="41"/>
      <c r="AK548" s="30"/>
      <c r="AL548" s="30"/>
      <c r="AM548" s="30"/>
      <c r="AN548" s="44"/>
      <c r="AR548" s="32"/>
    </row>
    <row r="549" spans="4:44">
      <c r="D549" s="29"/>
      <c r="I549" s="34"/>
      <c r="J549" s="34"/>
      <c r="K549" s="33"/>
      <c r="L549" s="33"/>
      <c r="M549" s="45"/>
      <c r="N549" s="45"/>
      <c r="O549" s="45"/>
      <c r="P549" s="45"/>
      <c r="Q549" s="34"/>
      <c r="R549" s="34"/>
      <c r="S549" s="34"/>
      <c r="T549" s="34"/>
      <c r="U549" s="39"/>
      <c r="V549" s="40"/>
      <c r="W549" s="40"/>
      <c r="X549" s="41"/>
      <c r="Y549" s="42"/>
      <c r="Z549" s="39"/>
      <c r="AA549" s="40"/>
      <c r="AB549" s="40"/>
      <c r="AC549" s="41"/>
      <c r="AD549" s="42"/>
      <c r="AE549" s="39"/>
      <c r="AF549" s="40"/>
      <c r="AG549" s="40"/>
      <c r="AH549" s="41"/>
      <c r="AI549" s="42"/>
      <c r="AJ549" s="41"/>
      <c r="AK549" s="30"/>
      <c r="AL549" s="30"/>
      <c r="AM549" s="30"/>
      <c r="AN549" s="44"/>
      <c r="AR549" s="32"/>
    </row>
    <row r="550" spans="4:44">
      <c r="D550" s="29"/>
      <c r="I550" s="34"/>
      <c r="J550" s="34"/>
      <c r="K550" s="33"/>
      <c r="L550" s="33"/>
      <c r="M550" s="45"/>
      <c r="N550" s="45"/>
      <c r="O550" s="45"/>
      <c r="P550" s="45"/>
      <c r="Q550" s="34"/>
      <c r="R550" s="34"/>
      <c r="S550" s="34"/>
      <c r="T550" s="34"/>
      <c r="U550" s="39"/>
      <c r="V550" s="40"/>
      <c r="W550" s="40"/>
      <c r="X550" s="41"/>
      <c r="Y550" s="42"/>
      <c r="Z550" s="39"/>
      <c r="AA550" s="40"/>
      <c r="AB550" s="40"/>
      <c r="AC550" s="41"/>
      <c r="AD550" s="42"/>
      <c r="AE550" s="39"/>
      <c r="AF550" s="40"/>
      <c r="AG550" s="40"/>
      <c r="AH550" s="41"/>
      <c r="AI550" s="42"/>
      <c r="AJ550" s="41"/>
      <c r="AK550" s="30"/>
      <c r="AL550" s="30"/>
      <c r="AM550" s="30"/>
      <c r="AN550" s="44"/>
      <c r="AR550" s="32"/>
    </row>
    <row r="551" spans="4:44">
      <c r="D551" s="29"/>
      <c r="I551" s="34"/>
      <c r="J551" s="34"/>
      <c r="K551" s="33"/>
      <c r="L551" s="33"/>
      <c r="M551" s="45"/>
      <c r="N551" s="45"/>
      <c r="O551" s="45"/>
      <c r="P551" s="45"/>
      <c r="Q551" s="34"/>
      <c r="R551" s="34"/>
      <c r="S551" s="34"/>
      <c r="T551" s="34"/>
      <c r="U551" s="39"/>
      <c r="V551" s="40"/>
      <c r="W551" s="40"/>
      <c r="X551" s="41"/>
      <c r="Y551" s="42"/>
      <c r="Z551" s="39"/>
      <c r="AA551" s="40"/>
      <c r="AB551" s="40"/>
      <c r="AC551" s="41"/>
      <c r="AD551" s="42"/>
      <c r="AE551" s="39"/>
      <c r="AF551" s="40"/>
      <c r="AG551" s="40"/>
      <c r="AH551" s="41"/>
      <c r="AI551" s="42"/>
      <c r="AJ551" s="41"/>
      <c r="AK551" s="30"/>
      <c r="AL551" s="30"/>
      <c r="AM551" s="30"/>
      <c r="AN551" s="44"/>
      <c r="AR551" s="32"/>
    </row>
    <row r="552" spans="4:44">
      <c r="D552" s="29"/>
      <c r="I552" s="34"/>
      <c r="J552" s="34"/>
      <c r="K552" s="33"/>
      <c r="L552" s="33"/>
      <c r="M552" s="45"/>
      <c r="N552" s="45"/>
      <c r="O552" s="45"/>
      <c r="P552" s="45"/>
      <c r="Q552" s="34"/>
      <c r="R552" s="34"/>
      <c r="S552" s="34"/>
      <c r="T552" s="34"/>
      <c r="U552" s="39"/>
      <c r="V552" s="40"/>
      <c r="W552" s="40"/>
      <c r="X552" s="41"/>
      <c r="Y552" s="42"/>
      <c r="Z552" s="39"/>
      <c r="AA552" s="40"/>
      <c r="AB552" s="40"/>
      <c r="AC552" s="41"/>
      <c r="AD552" s="42"/>
      <c r="AE552" s="39"/>
      <c r="AF552" s="40"/>
      <c r="AG552" s="40"/>
      <c r="AH552" s="41"/>
      <c r="AI552" s="42"/>
      <c r="AJ552" s="41"/>
      <c r="AK552" s="30"/>
      <c r="AL552" s="30"/>
      <c r="AM552" s="30"/>
      <c r="AN552" s="44"/>
      <c r="AR552" s="32"/>
    </row>
    <row r="553" spans="4:44">
      <c r="D553" s="29"/>
      <c r="I553" s="34"/>
      <c r="J553" s="34"/>
      <c r="K553" s="33"/>
      <c r="L553" s="33"/>
      <c r="M553" s="45"/>
      <c r="N553" s="45"/>
      <c r="O553" s="45"/>
      <c r="P553" s="45"/>
      <c r="Q553" s="34"/>
      <c r="R553" s="34"/>
      <c r="S553" s="34"/>
      <c r="T553" s="34"/>
      <c r="U553" s="39"/>
      <c r="V553" s="40"/>
      <c r="W553" s="40"/>
      <c r="X553" s="41"/>
      <c r="Y553" s="42"/>
      <c r="Z553" s="39"/>
      <c r="AA553" s="40"/>
      <c r="AB553" s="40"/>
      <c r="AC553" s="41"/>
      <c r="AD553" s="42"/>
      <c r="AE553" s="39"/>
      <c r="AF553" s="40"/>
      <c r="AG553" s="40"/>
      <c r="AH553" s="41"/>
      <c r="AI553" s="42"/>
      <c r="AJ553" s="41"/>
      <c r="AK553" s="30"/>
      <c r="AL553" s="30"/>
      <c r="AM553" s="30"/>
      <c r="AN553" s="44"/>
      <c r="AR553" s="32"/>
    </row>
    <row r="554" spans="4:44">
      <c r="D554" s="29"/>
      <c r="I554" s="34"/>
      <c r="J554" s="34"/>
      <c r="K554" s="33"/>
      <c r="L554" s="33"/>
      <c r="M554" s="45"/>
      <c r="N554" s="45"/>
      <c r="O554" s="45"/>
      <c r="P554" s="45"/>
      <c r="Q554" s="34"/>
      <c r="R554" s="34"/>
      <c r="S554" s="34"/>
      <c r="T554" s="34"/>
      <c r="U554" s="39"/>
      <c r="V554" s="40"/>
      <c r="W554" s="40"/>
      <c r="X554" s="41"/>
      <c r="Y554" s="42"/>
      <c r="Z554" s="39"/>
      <c r="AA554" s="40"/>
      <c r="AB554" s="40"/>
      <c r="AC554" s="41"/>
      <c r="AD554" s="42"/>
      <c r="AE554" s="39"/>
      <c r="AF554" s="40"/>
      <c r="AG554" s="40"/>
      <c r="AH554" s="41"/>
      <c r="AI554" s="42"/>
      <c r="AJ554" s="41"/>
      <c r="AK554" s="30"/>
      <c r="AL554" s="30"/>
      <c r="AM554" s="30"/>
      <c r="AN554" s="44"/>
      <c r="AR554" s="32"/>
    </row>
    <row r="555" spans="4:44">
      <c r="D555" s="29"/>
      <c r="I555" s="34"/>
      <c r="J555" s="34"/>
      <c r="K555" s="33"/>
      <c r="L555" s="33"/>
      <c r="M555" s="45"/>
      <c r="N555" s="45"/>
      <c r="O555" s="45"/>
      <c r="P555" s="45"/>
      <c r="Q555" s="34"/>
      <c r="R555" s="34"/>
      <c r="S555" s="34"/>
      <c r="T555" s="34"/>
      <c r="U555" s="39"/>
      <c r="V555" s="40"/>
      <c r="W555" s="40"/>
      <c r="X555" s="41"/>
      <c r="Y555" s="42"/>
      <c r="Z555" s="39"/>
      <c r="AA555" s="40"/>
      <c r="AB555" s="40"/>
      <c r="AC555" s="41"/>
      <c r="AD555" s="42"/>
      <c r="AE555" s="39"/>
      <c r="AF555" s="40"/>
      <c r="AG555" s="40"/>
      <c r="AH555" s="41"/>
      <c r="AI555" s="42"/>
      <c r="AJ555" s="41"/>
      <c r="AK555" s="30"/>
      <c r="AL555" s="30"/>
      <c r="AM555" s="30"/>
      <c r="AN555" s="44"/>
      <c r="AR555" s="32"/>
    </row>
    <row r="556" spans="4:44">
      <c r="D556" s="29"/>
      <c r="I556" s="34"/>
      <c r="J556" s="34"/>
      <c r="K556" s="33"/>
      <c r="L556" s="33"/>
      <c r="M556" s="45"/>
      <c r="N556" s="45"/>
      <c r="O556" s="45"/>
      <c r="P556" s="45"/>
      <c r="Q556" s="34"/>
      <c r="R556" s="34"/>
      <c r="S556" s="34"/>
      <c r="T556" s="34"/>
      <c r="U556" s="39"/>
      <c r="V556" s="40"/>
      <c r="W556" s="40"/>
      <c r="X556" s="41"/>
      <c r="Y556" s="42"/>
      <c r="Z556" s="39"/>
      <c r="AA556" s="40"/>
      <c r="AB556" s="40"/>
      <c r="AC556" s="41"/>
      <c r="AD556" s="42"/>
      <c r="AE556" s="39"/>
      <c r="AF556" s="40"/>
      <c r="AG556" s="40"/>
      <c r="AH556" s="41"/>
      <c r="AI556" s="42"/>
      <c r="AJ556" s="41"/>
      <c r="AK556" s="30"/>
      <c r="AL556" s="30"/>
      <c r="AM556" s="30"/>
      <c r="AN556" s="44"/>
      <c r="AR556" s="32"/>
    </row>
    <row r="557" spans="4:44">
      <c r="D557" s="29"/>
      <c r="I557" s="34"/>
      <c r="J557" s="34"/>
      <c r="K557" s="33"/>
      <c r="L557" s="33"/>
      <c r="M557" s="45"/>
      <c r="N557" s="45"/>
      <c r="O557" s="45"/>
      <c r="P557" s="45"/>
      <c r="Q557" s="34"/>
      <c r="R557" s="34"/>
      <c r="S557" s="34"/>
      <c r="T557" s="34"/>
      <c r="U557" s="39"/>
      <c r="V557" s="40"/>
      <c r="W557" s="40"/>
      <c r="X557" s="41"/>
      <c r="Y557" s="42"/>
      <c r="Z557" s="39"/>
      <c r="AA557" s="40"/>
      <c r="AB557" s="40"/>
      <c r="AC557" s="41"/>
      <c r="AD557" s="42"/>
      <c r="AE557" s="39"/>
      <c r="AF557" s="40"/>
      <c r="AG557" s="40"/>
      <c r="AH557" s="41"/>
      <c r="AI557" s="42"/>
      <c r="AJ557" s="41"/>
      <c r="AK557" s="30"/>
      <c r="AL557" s="30"/>
      <c r="AM557" s="30"/>
      <c r="AN557" s="44"/>
      <c r="AR557" s="32"/>
    </row>
    <row r="558" spans="4:44">
      <c r="D558" s="29"/>
      <c r="I558" s="34"/>
      <c r="J558" s="34"/>
      <c r="K558" s="33"/>
      <c r="L558" s="33"/>
      <c r="M558" s="45"/>
      <c r="N558" s="45"/>
      <c r="O558" s="45"/>
      <c r="P558" s="45"/>
      <c r="Q558" s="34"/>
      <c r="R558" s="34"/>
      <c r="S558" s="34"/>
      <c r="T558" s="34"/>
      <c r="U558" s="39"/>
      <c r="V558" s="40"/>
      <c r="W558" s="40"/>
      <c r="X558" s="41"/>
      <c r="Y558" s="42"/>
      <c r="Z558" s="39"/>
      <c r="AA558" s="40"/>
      <c r="AB558" s="40"/>
      <c r="AC558" s="41"/>
      <c r="AD558" s="42"/>
      <c r="AE558" s="39"/>
      <c r="AF558" s="40"/>
      <c r="AG558" s="40"/>
      <c r="AH558" s="41"/>
      <c r="AI558" s="42"/>
      <c r="AJ558" s="41"/>
      <c r="AK558" s="30"/>
      <c r="AL558" s="30"/>
      <c r="AM558" s="30"/>
      <c r="AN558" s="44"/>
      <c r="AR558" s="32"/>
    </row>
    <row r="559" spans="4:44">
      <c r="D559" s="29"/>
      <c r="I559" s="34"/>
      <c r="J559" s="34"/>
      <c r="K559" s="33"/>
      <c r="L559" s="33"/>
      <c r="M559" s="45"/>
      <c r="N559" s="45"/>
      <c r="O559" s="45"/>
      <c r="P559" s="45"/>
      <c r="Q559" s="34"/>
      <c r="R559" s="34"/>
      <c r="S559" s="34"/>
      <c r="T559" s="34"/>
      <c r="U559" s="39"/>
      <c r="V559" s="40"/>
      <c r="W559" s="40"/>
      <c r="X559" s="41"/>
      <c r="Y559" s="42"/>
      <c r="Z559" s="39"/>
      <c r="AA559" s="40"/>
      <c r="AB559" s="40"/>
      <c r="AC559" s="41"/>
      <c r="AD559" s="42"/>
      <c r="AE559" s="39"/>
      <c r="AF559" s="40"/>
      <c r="AG559" s="40"/>
      <c r="AH559" s="41"/>
      <c r="AI559" s="42"/>
      <c r="AJ559" s="41"/>
      <c r="AK559" s="30"/>
      <c r="AL559" s="30"/>
      <c r="AM559" s="30"/>
      <c r="AN559" s="44"/>
      <c r="AR559" s="32"/>
    </row>
    <row r="560" spans="4:44">
      <c r="D560" s="29"/>
      <c r="I560" s="34"/>
      <c r="J560" s="34"/>
      <c r="K560" s="33"/>
      <c r="L560" s="33"/>
      <c r="M560" s="45"/>
      <c r="N560" s="45"/>
      <c r="O560" s="45"/>
      <c r="P560" s="45"/>
      <c r="Q560" s="34"/>
      <c r="R560" s="34"/>
      <c r="S560" s="34"/>
      <c r="T560" s="34"/>
      <c r="U560" s="39"/>
      <c r="V560" s="40"/>
      <c r="W560" s="40"/>
      <c r="X560" s="41"/>
      <c r="Y560" s="42"/>
      <c r="Z560" s="39"/>
      <c r="AA560" s="40"/>
      <c r="AB560" s="40"/>
      <c r="AC560" s="41"/>
      <c r="AD560" s="42"/>
      <c r="AE560" s="39"/>
      <c r="AF560" s="40"/>
      <c r="AG560" s="40"/>
      <c r="AH560" s="41"/>
      <c r="AI560" s="42"/>
      <c r="AJ560" s="41"/>
      <c r="AK560" s="30"/>
      <c r="AL560" s="30"/>
      <c r="AM560" s="30"/>
      <c r="AN560" s="44"/>
      <c r="AR560" s="32"/>
    </row>
    <row r="561" spans="4:44">
      <c r="D561" s="29"/>
      <c r="I561" s="34"/>
      <c r="J561" s="34"/>
      <c r="K561" s="33"/>
      <c r="L561" s="33"/>
      <c r="M561" s="45"/>
      <c r="N561" s="45"/>
      <c r="O561" s="45"/>
      <c r="P561" s="45"/>
      <c r="Q561" s="34"/>
      <c r="R561" s="34"/>
      <c r="S561" s="34"/>
      <c r="T561" s="34"/>
      <c r="U561" s="39"/>
      <c r="V561" s="40"/>
      <c r="W561" s="40"/>
      <c r="X561" s="41"/>
      <c r="Y561" s="42"/>
      <c r="Z561" s="39"/>
      <c r="AA561" s="40"/>
      <c r="AB561" s="40"/>
      <c r="AC561" s="41"/>
      <c r="AD561" s="42"/>
      <c r="AE561" s="39"/>
      <c r="AF561" s="40"/>
      <c r="AG561" s="40"/>
      <c r="AH561" s="41"/>
      <c r="AI561" s="42"/>
      <c r="AJ561" s="41"/>
      <c r="AK561" s="30"/>
      <c r="AL561" s="30"/>
      <c r="AM561" s="30"/>
      <c r="AN561" s="44"/>
      <c r="AR561" s="32"/>
    </row>
    <row r="562" spans="4:44">
      <c r="D562" s="29"/>
      <c r="I562" s="34"/>
      <c r="J562" s="34"/>
      <c r="K562" s="33"/>
      <c r="L562" s="33"/>
      <c r="M562" s="45"/>
      <c r="N562" s="45"/>
      <c r="O562" s="45"/>
      <c r="P562" s="45"/>
      <c r="Q562" s="34"/>
      <c r="R562" s="34"/>
      <c r="S562" s="34"/>
      <c r="T562" s="34"/>
      <c r="U562" s="39"/>
      <c r="V562" s="40"/>
      <c r="W562" s="40"/>
      <c r="X562" s="41"/>
      <c r="Y562" s="42"/>
      <c r="Z562" s="39"/>
      <c r="AA562" s="40"/>
      <c r="AB562" s="40"/>
      <c r="AC562" s="41"/>
      <c r="AD562" s="42"/>
      <c r="AE562" s="39"/>
      <c r="AF562" s="40"/>
      <c r="AG562" s="40"/>
      <c r="AH562" s="41"/>
      <c r="AI562" s="42"/>
      <c r="AJ562" s="41"/>
      <c r="AK562" s="30"/>
      <c r="AL562" s="30"/>
      <c r="AM562" s="30"/>
      <c r="AN562" s="44"/>
      <c r="AR562" s="32"/>
    </row>
    <row r="563" spans="4:44">
      <c r="D563" s="29"/>
      <c r="I563" s="34"/>
      <c r="J563" s="34"/>
      <c r="K563" s="33"/>
      <c r="L563" s="33"/>
      <c r="M563" s="45"/>
      <c r="N563" s="45"/>
      <c r="O563" s="45"/>
      <c r="P563" s="45"/>
      <c r="Q563" s="34"/>
      <c r="R563" s="34"/>
      <c r="S563" s="34"/>
      <c r="T563" s="34"/>
      <c r="U563" s="39"/>
      <c r="V563" s="40"/>
      <c r="W563" s="40"/>
      <c r="X563" s="41"/>
      <c r="Y563" s="42"/>
      <c r="Z563" s="39"/>
      <c r="AA563" s="40"/>
      <c r="AB563" s="40"/>
      <c r="AC563" s="41"/>
      <c r="AD563" s="42"/>
      <c r="AE563" s="39"/>
      <c r="AF563" s="40"/>
      <c r="AG563" s="40"/>
      <c r="AH563" s="41"/>
      <c r="AI563" s="42"/>
      <c r="AJ563" s="41"/>
      <c r="AK563" s="30"/>
      <c r="AL563" s="30"/>
      <c r="AM563" s="30"/>
      <c r="AN563" s="44"/>
      <c r="AR563" s="32"/>
    </row>
    <row r="564" spans="4:44">
      <c r="D564" s="29"/>
      <c r="I564" s="34"/>
      <c r="J564" s="34"/>
      <c r="K564" s="33"/>
      <c r="L564" s="33"/>
      <c r="M564" s="45"/>
      <c r="N564" s="45"/>
      <c r="O564" s="45"/>
      <c r="P564" s="45"/>
      <c r="Q564" s="34"/>
      <c r="R564" s="34"/>
      <c r="S564" s="34"/>
      <c r="T564" s="34"/>
      <c r="U564" s="39"/>
      <c r="V564" s="40"/>
      <c r="W564" s="40"/>
      <c r="X564" s="41"/>
      <c r="Y564" s="42"/>
      <c r="Z564" s="39"/>
      <c r="AA564" s="40"/>
      <c r="AB564" s="40"/>
      <c r="AC564" s="41"/>
      <c r="AD564" s="42"/>
      <c r="AE564" s="39"/>
      <c r="AF564" s="40"/>
      <c r="AG564" s="40"/>
      <c r="AH564" s="41"/>
      <c r="AI564" s="42"/>
      <c r="AJ564" s="41"/>
      <c r="AK564" s="30"/>
      <c r="AL564" s="30"/>
      <c r="AM564" s="30"/>
      <c r="AN564" s="44"/>
      <c r="AR564" s="32"/>
    </row>
    <row r="565" spans="4:44">
      <c r="D565" s="29"/>
      <c r="I565" s="34"/>
      <c r="J565" s="34"/>
      <c r="K565" s="33"/>
      <c r="L565" s="33"/>
      <c r="M565" s="45"/>
      <c r="N565" s="45"/>
      <c r="O565" s="45"/>
      <c r="P565" s="45"/>
      <c r="Q565" s="34"/>
      <c r="R565" s="34"/>
      <c r="S565" s="34"/>
      <c r="T565" s="34"/>
      <c r="U565" s="39"/>
      <c r="V565" s="40"/>
      <c r="W565" s="40"/>
      <c r="X565" s="41"/>
      <c r="Y565" s="42"/>
      <c r="Z565" s="39"/>
      <c r="AA565" s="40"/>
      <c r="AB565" s="40"/>
      <c r="AC565" s="41"/>
      <c r="AD565" s="42"/>
      <c r="AE565" s="39"/>
      <c r="AF565" s="40"/>
      <c r="AG565" s="40"/>
      <c r="AH565" s="41"/>
      <c r="AI565" s="42"/>
      <c r="AJ565" s="41"/>
      <c r="AK565" s="30"/>
      <c r="AL565" s="30"/>
      <c r="AM565" s="30"/>
      <c r="AN565" s="44"/>
      <c r="AR565" s="32"/>
    </row>
    <row r="566" spans="4:44">
      <c r="D566" s="29"/>
      <c r="I566" s="34"/>
      <c r="J566" s="34"/>
      <c r="K566" s="33"/>
      <c r="L566" s="33"/>
      <c r="M566" s="45"/>
      <c r="N566" s="45"/>
      <c r="O566" s="45"/>
      <c r="P566" s="45"/>
      <c r="Q566" s="34"/>
      <c r="R566" s="34"/>
      <c r="S566" s="34"/>
      <c r="T566" s="34"/>
      <c r="U566" s="39"/>
      <c r="V566" s="40"/>
      <c r="W566" s="40"/>
      <c r="X566" s="41"/>
      <c r="Y566" s="42"/>
      <c r="Z566" s="39"/>
      <c r="AA566" s="40"/>
      <c r="AB566" s="40"/>
      <c r="AC566" s="41"/>
      <c r="AD566" s="42"/>
      <c r="AE566" s="39"/>
      <c r="AF566" s="40"/>
      <c r="AG566" s="40"/>
      <c r="AH566" s="41"/>
      <c r="AI566" s="42"/>
      <c r="AJ566" s="41"/>
      <c r="AK566" s="30"/>
      <c r="AL566" s="30"/>
      <c r="AM566" s="30"/>
      <c r="AN566" s="44"/>
      <c r="AR566" s="32"/>
    </row>
    <row r="567" spans="4:44">
      <c r="D567" s="29"/>
      <c r="I567" s="34"/>
      <c r="J567" s="34"/>
      <c r="K567" s="33"/>
      <c r="L567" s="33"/>
      <c r="M567" s="45"/>
      <c r="N567" s="45"/>
      <c r="O567" s="45"/>
      <c r="P567" s="45"/>
      <c r="Q567" s="34"/>
      <c r="R567" s="34"/>
      <c r="S567" s="34"/>
      <c r="T567" s="34"/>
      <c r="U567" s="39"/>
      <c r="V567" s="40"/>
      <c r="W567" s="40"/>
      <c r="X567" s="41"/>
      <c r="Y567" s="42"/>
      <c r="Z567" s="39"/>
      <c r="AA567" s="40"/>
      <c r="AB567" s="40"/>
      <c r="AC567" s="41"/>
      <c r="AD567" s="42"/>
      <c r="AE567" s="39"/>
      <c r="AF567" s="40"/>
      <c r="AG567" s="40"/>
      <c r="AH567" s="41"/>
      <c r="AI567" s="42"/>
      <c r="AJ567" s="41"/>
      <c r="AK567" s="30"/>
      <c r="AL567" s="30"/>
      <c r="AM567" s="30"/>
      <c r="AN567" s="44"/>
      <c r="AR567" s="32"/>
    </row>
    <row r="568" spans="4:44">
      <c r="D568" s="29"/>
      <c r="I568" s="34"/>
      <c r="J568" s="34"/>
      <c r="K568" s="33"/>
      <c r="L568" s="33"/>
      <c r="M568" s="45"/>
      <c r="N568" s="45"/>
      <c r="O568" s="45"/>
      <c r="P568" s="45"/>
      <c r="Q568" s="34"/>
      <c r="R568" s="34"/>
      <c r="S568" s="34"/>
      <c r="T568" s="34"/>
      <c r="U568" s="39"/>
      <c r="V568" s="40"/>
      <c r="W568" s="40"/>
      <c r="X568" s="41"/>
      <c r="Y568" s="42"/>
      <c r="Z568" s="39"/>
      <c r="AA568" s="40"/>
      <c r="AB568" s="40"/>
      <c r="AC568" s="41"/>
      <c r="AD568" s="42"/>
      <c r="AE568" s="39"/>
      <c r="AF568" s="40"/>
      <c r="AG568" s="40"/>
      <c r="AH568" s="41"/>
      <c r="AI568" s="42"/>
      <c r="AJ568" s="41"/>
      <c r="AK568" s="30"/>
      <c r="AL568" s="30"/>
      <c r="AM568" s="30"/>
      <c r="AN568" s="44"/>
      <c r="AR568" s="32"/>
    </row>
    <row r="569" spans="4:44">
      <c r="D569" s="29"/>
      <c r="I569" s="34"/>
      <c r="J569" s="34"/>
      <c r="K569" s="33"/>
      <c r="L569" s="33"/>
      <c r="M569" s="45"/>
      <c r="N569" s="45"/>
      <c r="O569" s="45"/>
      <c r="P569" s="45"/>
      <c r="Q569" s="34"/>
      <c r="R569" s="34"/>
      <c r="S569" s="34"/>
      <c r="T569" s="34"/>
      <c r="U569" s="39"/>
      <c r="V569" s="40"/>
      <c r="W569" s="40"/>
      <c r="X569" s="41"/>
      <c r="Y569" s="42"/>
      <c r="Z569" s="39"/>
      <c r="AA569" s="40"/>
      <c r="AB569" s="40"/>
      <c r="AC569" s="41"/>
      <c r="AD569" s="42"/>
      <c r="AE569" s="39"/>
      <c r="AF569" s="40"/>
      <c r="AG569" s="40"/>
      <c r="AH569" s="41"/>
      <c r="AI569" s="42"/>
      <c r="AJ569" s="41"/>
      <c r="AK569" s="30"/>
      <c r="AL569" s="30"/>
      <c r="AM569" s="30"/>
      <c r="AN569" s="44"/>
      <c r="AR569" s="32"/>
    </row>
    <row r="570" spans="4:44">
      <c r="D570" s="29"/>
      <c r="I570" s="34"/>
      <c r="J570" s="34"/>
      <c r="K570" s="33"/>
      <c r="L570" s="33"/>
      <c r="M570" s="45"/>
      <c r="N570" s="45"/>
      <c r="O570" s="45"/>
      <c r="P570" s="45"/>
      <c r="Q570" s="34"/>
      <c r="R570" s="34"/>
      <c r="S570" s="34"/>
      <c r="T570" s="34"/>
      <c r="U570" s="39"/>
      <c r="V570" s="40"/>
      <c r="W570" s="40"/>
      <c r="X570" s="41"/>
      <c r="Y570" s="42"/>
      <c r="Z570" s="39"/>
      <c r="AA570" s="40"/>
      <c r="AB570" s="40"/>
      <c r="AC570" s="41"/>
      <c r="AD570" s="42"/>
      <c r="AE570" s="39"/>
      <c r="AF570" s="40"/>
      <c r="AG570" s="40"/>
      <c r="AH570" s="41"/>
      <c r="AI570" s="42"/>
      <c r="AJ570" s="41"/>
      <c r="AK570" s="30"/>
      <c r="AL570" s="30"/>
      <c r="AM570" s="30"/>
      <c r="AN570" s="44"/>
      <c r="AR570" s="32"/>
    </row>
    <row r="571" spans="4:44">
      <c r="D571" s="29"/>
      <c r="I571" s="34"/>
      <c r="J571" s="34"/>
      <c r="K571" s="33"/>
      <c r="L571" s="33"/>
      <c r="M571" s="45"/>
      <c r="N571" s="45"/>
      <c r="O571" s="45"/>
      <c r="P571" s="45"/>
      <c r="Q571" s="34"/>
      <c r="R571" s="34"/>
      <c r="S571" s="34"/>
      <c r="T571" s="34"/>
      <c r="U571" s="39"/>
      <c r="V571" s="40"/>
      <c r="W571" s="40"/>
      <c r="X571" s="41"/>
      <c r="Y571" s="42"/>
      <c r="Z571" s="39"/>
      <c r="AA571" s="40"/>
      <c r="AB571" s="40"/>
      <c r="AC571" s="41"/>
      <c r="AD571" s="42"/>
      <c r="AE571" s="39"/>
      <c r="AF571" s="40"/>
      <c r="AG571" s="40"/>
      <c r="AH571" s="41"/>
      <c r="AI571" s="42"/>
      <c r="AJ571" s="41"/>
      <c r="AK571" s="30"/>
      <c r="AL571" s="30"/>
      <c r="AM571" s="30"/>
      <c r="AN571" s="44"/>
      <c r="AR571" s="32"/>
    </row>
    <row r="572" spans="4:44">
      <c r="D572" s="29"/>
      <c r="I572" s="34"/>
      <c r="J572" s="34"/>
      <c r="K572" s="33"/>
      <c r="L572" s="33"/>
      <c r="M572" s="45"/>
      <c r="N572" s="45"/>
      <c r="O572" s="45"/>
      <c r="P572" s="45"/>
      <c r="Q572" s="34"/>
      <c r="R572" s="34"/>
      <c r="S572" s="34"/>
      <c r="T572" s="34"/>
      <c r="U572" s="39"/>
      <c r="V572" s="40"/>
      <c r="W572" s="40"/>
      <c r="X572" s="41"/>
      <c r="Y572" s="42"/>
      <c r="Z572" s="39"/>
      <c r="AA572" s="40"/>
      <c r="AB572" s="40"/>
      <c r="AC572" s="41"/>
      <c r="AD572" s="42"/>
      <c r="AE572" s="39"/>
      <c r="AF572" s="40"/>
      <c r="AG572" s="40"/>
      <c r="AH572" s="41"/>
      <c r="AI572" s="42"/>
      <c r="AJ572" s="41"/>
      <c r="AK572" s="30"/>
      <c r="AL572" s="30"/>
      <c r="AM572" s="30"/>
      <c r="AN572" s="44"/>
      <c r="AR572" s="32"/>
    </row>
    <row r="573" spans="4:44">
      <c r="D573" s="29"/>
      <c r="I573" s="34"/>
      <c r="J573" s="34"/>
      <c r="K573" s="33"/>
      <c r="L573" s="33"/>
      <c r="M573" s="45"/>
      <c r="N573" s="45"/>
      <c r="O573" s="45"/>
      <c r="P573" s="45"/>
      <c r="Q573" s="34"/>
      <c r="R573" s="34"/>
      <c r="S573" s="34"/>
      <c r="T573" s="34"/>
      <c r="U573" s="39"/>
      <c r="V573" s="40"/>
      <c r="W573" s="40"/>
      <c r="X573" s="41"/>
      <c r="Y573" s="42"/>
      <c r="Z573" s="39"/>
      <c r="AA573" s="40"/>
      <c r="AB573" s="40"/>
      <c r="AC573" s="41"/>
      <c r="AD573" s="42"/>
      <c r="AE573" s="39"/>
      <c r="AF573" s="40"/>
      <c r="AG573" s="40"/>
      <c r="AH573" s="41"/>
      <c r="AI573" s="42"/>
      <c r="AJ573" s="41"/>
      <c r="AK573" s="30"/>
      <c r="AL573" s="30"/>
      <c r="AM573" s="30"/>
      <c r="AN573" s="44"/>
      <c r="AR573" s="32"/>
    </row>
    <row r="574" spans="4:44">
      <c r="D574" s="29"/>
      <c r="I574" s="34"/>
      <c r="J574" s="34"/>
      <c r="K574" s="33"/>
      <c r="L574" s="33"/>
      <c r="M574" s="45"/>
      <c r="N574" s="45"/>
      <c r="O574" s="45"/>
      <c r="P574" s="45"/>
      <c r="Q574" s="34"/>
      <c r="R574" s="34"/>
      <c r="S574" s="34"/>
      <c r="T574" s="34"/>
      <c r="U574" s="39"/>
      <c r="V574" s="40"/>
      <c r="W574" s="40"/>
      <c r="X574" s="41"/>
      <c r="Y574" s="42"/>
      <c r="Z574" s="39"/>
      <c r="AA574" s="40"/>
      <c r="AB574" s="40"/>
      <c r="AC574" s="41"/>
      <c r="AD574" s="42"/>
      <c r="AE574" s="39"/>
      <c r="AF574" s="40"/>
      <c r="AG574" s="40"/>
      <c r="AH574" s="41"/>
      <c r="AI574" s="42"/>
      <c r="AJ574" s="41"/>
      <c r="AK574" s="30"/>
      <c r="AL574" s="30"/>
      <c r="AM574" s="30"/>
      <c r="AN574" s="44"/>
      <c r="AR574" s="32"/>
    </row>
    <row r="575" spans="4:44">
      <c r="D575" s="29"/>
      <c r="I575" s="34"/>
      <c r="J575" s="34"/>
      <c r="K575" s="33"/>
      <c r="L575" s="33"/>
      <c r="M575" s="45"/>
      <c r="N575" s="45"/>
      <c r="O575" s="45"/>
      <c r="P575" s="45"/>
      <c r="Q575" s="34"/>
      <c r="R575" s="34"/>
      <c r="S575" s="34"/>
      <c r="T575" s="34"/>
      <c r="U575" s="39"/>
      <c r="V575" s="40"/>
      <c r="W575" s="40"/>
      <c r="X575" s="41"/>
      <c r="Y575" s="42"/>
      <c r="Z575" s="39"/>
      <c r="AA575" s="40"/>
      <c r="AB575" s="40"/>
      <c r="AC575" s="41"/>
      <c r="AD575" s="42"/>
      <c r="AE575" s="39"/>
      <c r="AF575" s="40"/>
      <c r="AG575" s="40"/>
      <c r="AH575" s="41"/>
      <c r="AI575" s="42"/>
      <c r="AJ575" s="41"/>
      <c r="AK575" s="30"/>
      <c r="AL575" s="30"/>
      <c r="AM575" s="30"/>
      <c r="AN575" s="44"/>
      <c r="AR575" s="32"/>
    </row>
    <row r="576" spans="4:44">
      <c r="D576" s="29"/>
      <c r="I576" s="34"/>
      <c r="J576" s="34"/>
      <c r="K576" s="33"/>
      <c r="L576" s="33"/>
      <c r="M576" s="45"/>
      <c r="N576" s="45"/>
      <c r="O576" s="45"/>
      <c r="P576" s="45"/>
      <c r="Q576" s="34"/>
      <c r="R576" s="34"/>
      <c r="S576" s="34"/>
      <c r="T576" s="34"/>
      <c r="U576" s="39"/>
      <c r="V576" s="40"/>
      <c r="W576" s="40"/>
      <c r="X576" s="41"/>
      <c r="Y576" s="42"/>
      <c r="Z576" s="39"/>
      <c r="AA576" s="40"/>
      <c r="AB576" s="40"/>
      <c r="AC576" s="41"/>
      <c r="AD576" s="42"/>
      <c r="AE576" s="39"/>
      <c r="AF576" s="40"/>
      <c r="AG576" s="40"/>
      <c r="AH576" s="41"/>
      <c r="AI576" s="42"/>
      <c r="AJ576" s="41"/>
      <c r="AK576" s="30"/>
      <c r="AL576" s="30"/>
      <c r="AM576" s="30"/>
      <c r="AN576" s="44"/>
      <c r="AR576" s="32"/>
    </row>
    <row r="577" spans="4:44">
      <c r="D577" s="29"/>
      <c r="I577" s="34"/>
      <c r="J577" s="34"/>
      <c r="K577" s="33"/>
      <c r="L577" s="33"/>
      <c r="M577" s="45"/>
      <c r="N577" s="45"/>
      <c r="O577" s="45"/>
      <c r="P577" s="45"/>
      <c r="Q577" s="34"/>
      <c r="R577" s="34"/>
      <c r="S577" s="34"/>
      <c r="T577" s="34"/>
      <c r="U577" s="39"/>
      <c r="V577" s="40"/>
      <c r="W577" s="40"/>
      <c r="X577" s="41"/>
      <c r="Y577" s="42"/>
      <c r="Z577" s="39"/>
      <c r="AA577" s="40"/>
      <c r="AB577" s="40"/>
      <c r="AC577" s="41"/>
      <c r="AD577" s="42"/>
      <c r="AE577" s="39"/>
      <c r="AF577" s="40"/>
      <c r="AG577" s="40"/>
      <c r="AH577" s="41"/>
      <c r="AI577" s="42"/>
      <c r="AJ577" s="41"/>
      <c r="AK577" s="30"/>
      <c r="AL577" s="30"/>
      <c r="AM577" s="30"/>
      <c r="AN577" s="44"/>
      <c r="AR577" s="32"/>
    </row>
    <row r="578" spans="4:44">
      <c r="D578" s="29"/>
      <c r="I578" s="34"/>
      <c r="J578" s="34"/>
      <c r="K578" s="33"/>
      <c r="L578" s="33"/>
      <c r="M578" s="45"/>
      <c r="N578" s="45"/>
      <c r="O578" s="45"/>
      <c r="P578" s="45"/>
      <c r="Q578" s="34"/>
      <c r="R578" s="34"/>
      <c r="S578" s="34"/>
      <c r="T578" s="34"/>
      <c r="U578" s="39"/>
      <c r="V578" s="40"/>
      <c r="W578" s="40"/>
      <c r="X578" s="41"/>
      <c r="Y578" s="42"/>
      <c r="Z578" s="39"/>
      <c r="AA578" s="40"/>
      <c r="AB578" s="40"/>
      <c r="AC578" s="41"/>
      <c r="AD578" s="42"/>
      <c r="AE578" s="39"/>
      <c r="AF578" s="40"/>
      <c r="AG578" s="40"/>
      <c r="AH578" s="41"/>
      <c r="AI578" s="42"/>
      <c r="AJ578" s="41"/>
      <c r="AK578" s="30"/>
      <c r="AL578" s="30"/>
      <c r="AM578" s="30"/>
      <c r="AN578" s="44"/>
      <c r="AR578" s="32"/>
    </row>
    <row r="579" spans="4:44">
      <c r="D579" s="29"/>
      <c r="I579" s="34"/>
      <c r="J579" s="34"/>
      <c r="K579" s="33"/>
      <c r="L579" s="33"/>
      <c r="M579" s="45"/>
      <c r="N579" s="45"/>
      <c r="O579" s="45"/>
      <c r="P579" s="45"/>
      <c r="Q579" s="34"/>
      <c r="R579" s="34"/>
      <c r="S579" s="34"/>
      <c r="T579" s="34"/>
      <c r="U579" s="39"/>
      <c r="V579" s="40"/>
      <c r="W579" s="40"/>
      <c r="X579" s="41"/>
      <c r="Y579" s="42"/>
      <c r="Z579" s="39"/>
      <c r="AA579" s="40"/>
      <c r="AB579" s="40"/>
      <c r="AC579" s="41"/>
      <c r="AD579" s="42"/>
      <c r="AE579" s="39"/>
      <c r="AF579" s="40"/>
      <c r="AG579" s="40"/>
      <c r="AH579" s="41"/>
      <c r="AI579" s="42"/>
      <c r="AJ579" s="41"/>
      <c r="AK579" s="30"/>
      <c r="AL579" s="30"/>
      <c r="AM579" s="30"/>
      <c r="AN579" s="44"/>
      <c r="AR579" s="32"/>
    </row>
    <row r="580" spans="4:44">
      <c r="D580" s="29"/>
      <c r="I580" s="34"/>
      <c r="J580" s="34"/>
      <c r="K580" s="33"/>
      <c r="L580" s="33"/>
      <c r="M580" s="45"/>
      <c r="N580" s="45"/>
      <c r="O580" s="45"/>
      <c r="P580" s="45"/>
      <c r="Q580" s="34"/>
      <c r="R580" s="34"/>
      <c r="S580" s="34"/>
      <c r="T580" s="34"/>
      <c r="U580" s="39"/>
      <c r="V580" s="40"/>
      <c r="W580" s="40"/>
      <c r="X580" s="41"/>
      <c r="Y580" s="42"/>
      <c r="Z580" s="39"/>
      <c r="AA580" s="40"/>
      <c r="AB580" s="40"/>
      <c r="AC580" s="41"/>
      <c r="AD580" s="42"/>
      <c r="AE580" s="39"/>
      <c r="AF580" s="40"/>
      <c r="AG580" s="40"/>
      <c r="AH580" s="41"/>
      <c r="AI580" s="42"/>
      <c r="AJ580" s="41"/>
      <c r="AK580" s="30"/>
      <c r="AL580" s="30"/>
      <c r="AM580" s="30"/>
      <c r="AN580" s="44"/>
      <c r="AR580" s="32"/>
    </row>
    <row r="581" spans="4:44">
      <c r="D581" s="29"/>
      <c r="I581" s="34"/>
      <c r="J581" s="34"/>
      <c r="K581" s="33"/>
      <c r="L581" s="33"/>
      <c r="M581" s="45"/>
      <c r="N581" s="45"/>
      <c r="O581" s="45"/>
      <c r="P581" s="45"/>
      <c r="Q581" s="34"/>
      <c r="R581" s="34"/>
      <c r="S581" s="34"/>
      <c r="T581" s="34"/>
      <c r="U581" s="39"/>
      <c r="V581" s="40"/>
      <c r="W581" s="40"/>
      <c r="X581" s="41"/>
      <c r="Y581" s="42"/>
      <c r="Z581" s="39"/>
      <c r="AA581" s="40"/>
      <c r="AB581" s="40"/>
      <c r="AC581" s="41"/>
      <c r="AD581" s="42"/>
      <c r="AE581" s="39"/>
      <c r="AF581" s="40"/>
      <c r="AG581" s="40"/>
      <c r="AH581" s="41"/>
      <c r="AI581" s="42"/>
      <c r="AJ581" s="41"/>
      <c r="AK581" s="30"/>
      <c r="AL581" s="30"/>
      <c r="AM581" s="30"/>
      <c r="AN581" s="44"/>
      <c r="AR581" s="32"/>
    </row>
    <row r="582" spans="4:44">
      <c r="D582" s="29"/>
      <c r="I582" s="34"/>
      <c r="J582" s="34"/>
      <c r="K582" s="33"/>
      <c r="L582" s="33"/>
      <c r="M582" s="45"/>
      <c r="N582" s="45"/>
      <c r="O582" s="45"/>
      <c r="P582" s="45"/>
      <c r="Q582" s="34"/>
      <c r="R582" s="34"/>
      <c r="S582" s="34"/>
      <c r="T582" s="34"/>
      <c r="U582" s="39"/>
      <c r="V582" s="40"/>
      <c r="W582" s="40"/>
      <c r="X582" s="41"/>
      <c r="Y582" s="42"/>
      <c r="Z582" s="39"/>
      <c r="AA582" s="40"/>
      <c r="AB582" s="40"/>
      <c r="AC582" s="41"/>
      <c r="AD582" s="42"/>
      <c r="AE582" s="39"/>
      <c r="AF582" s="40"/>
      <c r="AG582" s="40"/>
      <c r="AH582" s="41"/>
      <c r="AI582" s="42"/>
      <c r="AJ582" s="41"/>
      <c r="AK582" s="30"/>
      <c r="AL582" s="30"/>
      <c r="AM582" s="30"/>
      <c r="AN582" s="44"/>
      <c r="AR582" s="32"/>
    </row>
    <row r="583" spans="4:44">
      <c r="D583" s="29"/>
      <c r="I583" s="34"/>
      <c r="J583" s="34"/>
      <c r="K583" s="33"/>
      <c r="L583" s="33"/>
      <c r="M583" s="45"/>
      <c r="N583" s="45"/>
      <c r="O583" s="45"/>
      <c r="P583" s="45"/>
      <c r="Q583" s="34"/>
      <c r="R583" s="34"/>
      <c r="S583" s="34"/>
      <c r="T583" s="34"/>
      <c r="U583" s="39"/>
      <c r="V583" s="40"/>
      <c r="W583" s="40"/>
      <c r="X583" s="41"/>
      <c r="Y583" s="42"/>
      <c r="Z583" s="39"/>
      <c r="AA583" s="40"/>
      <c r="AB583" s="40"/>
      <c r="AC583" s="41"/>
      <c r="AD583" s="42"/>
      <c r="AE583" s="39"/>
      <c r="AF583" s="40"/>
      <c r="AG583" s="40"/>
      <c r="AH583" s="41"/>
      <c r="AI583" s="42"/>
      <c r="AJ583" s="41"/>
      <c r="AK583" s="30"/>
      <c r="AL583" s="30"/>
      <c r="AM583" s="30"/>
      <c r="AN583" s="44"/>
      <c r="AR583" s="32"/>
    </row>
    <row r="584" spans="4:44">
      <c r="D584" s="29"/>
      <c r="I584" s="34"/>
      <c r="J584" s="34"/>
      <c r="K584" s="33"/>
      <c r="L584" s="33"/>
      <c r="M584" s="45"/>
      <c r="N584" s="45"/>
      <c r="O584" s="45"/>
      <c r="P584" s="45"/>
      <c r="Q584" s="34"/>
      <c r="R584" s="34"/>
      <c r="S584" s="34"/>
      <c r="T584" s="34"/>
      <c r="U584" s="39"/>
      <c r="V584" s="40"/>
      <c r="W584" s="40"/>
      <c r="X584" s="41"/>
      <c r="Y584" s="42"/>
      <c r="Z584" s="39"/>
      <c r="AA584" s="40"/>
      <c r="AB584" s="40"/>
      <c r="AC584" s="41"/>
      <c r="AD584" s="42"/>
      <c r="AE584" s="39"/>
      <c r="AF584" s="40"/>
      <c r="AG584" s="40"/>
      <c r="AH584" s="41"/>
      <c r="AI584" s="42"/>
      <c r="AJ584" s="41"/>
      <c r="AK584" s="30"/>
      <c r="AL584" s="30"/>
      <c r="AM584" s="30"/>
      <c r="AN584" s="44"/>
      <c r="AR584" s="32"/>
    </row>
    <row r="585" spans="4:44">
      <c r="D585" s="29"/>
      <c r="I585" s="34"/>
      <c r="J585" s="34"/>
      <c r="K585" s="33"/>
      <c r="L585" s="33"/>
      <c r="M585" s="45"/>
      <c r="N585" s="45"/>
      <c r="O585" s="45"/>
      <c r="P585" s="45"/>
      <c r="Q585" s="34"/>
      <c r="R585" s="34"/>
      <c r="S585" s="34"/>
      <c r="T585" s="34"/>
      <c r="U585" s="39"/>
      <c r="V585" s="40"/>
      <c r="W585" s="40"/>
      <c r="X585" s="41"/>
      <c r="Y585" s="42"/>
      <c r="Z585" s="39"/>
      <c r="AA585" s="40"/>
      <c r="AB585" s="40"/>
      <c r="AC585" s="41"/>
      <c r="AD585" s="42"/>
      <c r="AE585" s="39"/>
      <c r="AF585" s="40"/>
      <c r="AG585" s="40"/>
      <c r="AH585" s="41"/>
      <c r="AI585" s="42"/>
      <c r="AJ585" s="41"/>
      <c r="AK585" s="30"/>
      <c r="AL585" s="30"/>
      <c r="AM585" s="30"/>
      <c r="AN585" s="44"/>
      <c r="AR585" s="32"/>
    </row>
    <row r="586" spans="4:44">
      <c r="D586" s="29"/>
      <c r="I586" s="34"/>
      <c r="J586" s="34"/>
      <c r="K586" s="33"/>
      <c r="L586" s="33"/>
      <c r="M586" s="45"/>
      <c r="N586" s="45"/>
      <c r="O586" s="45"/>
      <c r="P586" s="45"/>
      <c r="Q586" s="34"/>
      <c r="R586" s="34"/>
      <c r="S586" s="34"/>
      <c r="T586" s="34"/>
      <c r="U586" s="39"/>
      <c r="V586" s="40"/>
      <c r="W586" s="40"/>
      <c r="X586" s="41"/>
      <c r="Y586" s="42"/>
      <c r="Z586" s="39"/>
      <c r="AA586" s="40"/>
      <c r="AB586" s="40"/>
      <c r="AC586" s="41"/>
      <c r="AD586" s="42"/>
      <c r="AE586" s="39"/>
      <c r="AF586" s="40"/>
      <c r="AG586" s="40"/>
      <c r="AH586" s="41"/>
      <c r="AI586" s="42"/>
      <c r="AJ586" s="41"/>
      <c r="AK586" s="30"/>
      <c r="AL586" s="30"/>
      <c r="AM586" s="30"/>
      <c r="AN586" s="44"/>
      <c r="AR586" s="32"/>
    </row>
    <row r="587" spans="4:44">
      <c r="D587" s="29"/>
      <c r="I587" s="34"/>
      <c r="J587" s="34"/>
      <c r="K587" s="33"/>
      <c r="L587" s="33"/>
      <c r="M587" s="45"/>
      <c r="N587" s="45"/>
      <c r="O587" s="45"/>
      <c r="P587" s="45"/>
      <c r="Q587" s="34"/>
      <c r="R587" s="34"/>
      <c r="S587" s="34"/>
      <c r="T587" s="34"/>
      <c r="U587" s="39"/>
      <c r="V587" s="40"/>
      <c r="W587" s="40"/>
      <c r="X587" s="41"/>
      <c r="Y587" s="42"/>
      <c r="Z587" s="39"/>
      <c r="AA587" s="40"/>
      <c r="AB587" s="40"/>
      <c r="AC587" s="41"/>
      <c r="AD587" s="42"/>
      <c r="AE587" s="39"/>
      <c r="AF587" s="40"/>
      <c r="AG587" s="40"/>
      <c r="AH587" s="41"/>
      <c r="AI587" s="42"/>
      <c r="AJ587" s="41"/>
      <c r="AK587" s="30"/>
      <c r="AL587" s="30"/>
      <c r="AM587" s="30"/>
      <c r="AN587" s="44"/>
      <c r="AR587" s="32"/>
    </row>
    <row r="588" spans="4:44">
      <c r="D588" s="29"/>
      <c r="I588" s="34"/>
      <c r="J588" s="34"/>
      <c r="K588" s="33"/>
      <c r="L588" s="33"/>
      <c r="M588" s="45"/>
      <c r="N588" s="45"/>
      <c r="O588" s="45"/>
      <c r="P588" s="45"/>
      <c r="Q588" s="34"/>
      <c r="R588" s="34"/>
      <c r="S588" s="34"/>
      <c r="T588" s="34"/>
      <c r="U588" s="39"/>
      <c r="V588" s="40"/>
      <c r="W588" s="40"/>
      <c r="X588" s="41"/>
      <c r="Y588" s="42"/>
      <c r="Z588" s="39"/>
      <c r="AA588" s="40"/>
      <c r="AB588" s="40"/>
      <c r="AC588" s="41"/>
      <c r="AD588" s="42"/>
      <c r="AE588" s="39"/>
      <c r="AF588" s="40"/>
      <c r="AG588" s="40"/>
      <c r="AH588" s="41"/>
      <c r="AI588" s="42"/>
      <c r="AJ588" s="41"/>
      <c r="AK588" s="30"/>
      <c r="AL588" s="30"/>
      <c r="AM588" s="30"/>
      <c r="AN588" s="44"/>
      <c r="AR588" s="32"/>
    </row>
    <row r="589" spans="4:44">
      <c r="D589" s="29"/>
      <c r="I589" s="34"/>
      <c r="J589" s="34"/>
      <c r="K589" s="33"/>
      <c r="L589" s="33"/>
      <c r="M589" s="45"/>
      <c r="N589" s="45"/>
      <c r="O589" s="45"/>
      <c r="P589" s="45"/>
      <c r="Q589" s="34"/>
      <c r="R589" s="34"/>
      <c r="S589" s="34"/>
      <c r="T589" s="34"/>
      <c r="U589" s="39"/>
      <c r="V589" s="40"/>
      <c r="W589" s="40"/>
      <c r="X589" s="41"/>
      <c r="Y589" s="42"/>
      <c r="Z589" s="39"/>
      <c r="AA589" s="40"/>
      <c r="AB589" s="40"/>
      <c r="AC589" s="41"/>
      <c r="AD589" s="42"/>
      <c r="AE589" s="39"/>
      <c r="AF589" s="40"/>
      <c r="AG589" s="40"/>
      <c r="AH589" s="41"/>
      <c r="AI589" s="42"/>
      <c r="AJ589" s="41"/>
      <c r="AK589" s="30"/>
      <c r="AL589" s="30"/>
      <c r="AM589" s="30"/>
      <c r="AN589" s="44"/>
      <c r="AR589" s="32"/>
    </row>
    <row r="590" spans="4:44">
      <c r="D590" s="29"/>
      <c r="I590" s="34"/>
      <c r="J590" s="34"/>
      <c r="K590" s="33"/>
      <c r="L590" s="33"/>
      <c r="M590" s="45"/>
      <c r="N590" s="45"/>
      <c r="O590" s="45"/>
      <c r="P590" s="45"/>
      <c r="Q590" s="34"/>
      <c r="R590" s="34"/>
      <c r="S590" s="34"/>
      <c r="T590" s="34"/>
      <c r="U590" s="39"/>
      <c r="V590" s="40"/>
      <c r="W590" s="40"/>
      <c r="X590" s="41"/>
      <c r="Y590" s="42"/>
      <c r="Z590" s="39"/>
      <c r="AA590" s="40"/>
      <c r="AB590" s="40"/>
      <c r="AC590" s="41"/>
      <c r="AD590" s="42"/>
      <c r="AE590" s="39"/>
      <c r="AF590" s="40"/>
      <c r="AG590" s="40"/>
      <c r="AH590" s="41"/>
      <c r="AI590" s="42"/>
      <c r="AJ590" s="41"/>
      <c r="AK590" s="30"/>
      <c r="AL590" s="30"/>
      <c r="AM590" s="30"/>
      <c r="AN590" s="44"/>
      <c r="AR590" s="32"/>
    </row>
    <row r="591" spans="4:44">
      <c r="D591" s="29"/>
      <c r="I591" s="34"/>
      <c r="J591" s="34"/>
      <c r="K591" s="33"/>
      <c r="L591" s="33"/>
      <c r="M591" s="45"/>
      <c r="N591" s="45"/>
      <c r="O591" s="45"/>
      <c r="P591" s="45"/>
      <c r="Q591" s="34"/>
      <c r="R591" s="34"/>
      <c r="S591" s="34"/>
      <c r="T591" s="34"/>
      <c r="U591" s="39"/>
      <c r="V591" s="40"/>
      <c r="W591" s="40"/>
      <c r="X591" s="41"/>
      <c r="Y591" s="42"/>
      <c r="Z591" s="39"/>
      <c r="AA591" s="40"/>
      <c r="AB591" s="40"/>
      <c r="AC591" s="41"/>
      <c r="AD591" s="42"/>
      <c r="AE591" s="39"/>
      <c r="AF591" s="40"/>
      <c r="AG591" s="40"/>
      <c r="AH591" s="41"/>
      <c r="AI591" s="42"/>
      <c r="AJ591" s="41"/>
      <c r="AK591" s="30"/>
      <c r="AL591" s="30"/>
      <c r="AM591" s="30"/>
      <c r="AN591" s="44"/>
      <c r="AR591" s="32"/>
    </row>
    <row r="592" spans="4:44">
      <c r="D592" s="29"/>
      <c r="I592" s="34"/>
      <c r="J592" s="34"/>
      <c r="K592" s="33"/>
      <c r="L592" s="33"/>
      <c r="M592" s="45"/>
      <c r="N592" s="45"/>
      <c r="O592" s="45"/>
      <c r="P592" s="45"/>
      <c r="Q592" s="34"/>
      <c r="R592" s="34"/>
      <c r="S592" s="34"/>
      <c r="T592" s="34"/>
      <c r="U592" s="39"/>
      <c r="V592" s="40"/>
      <c r="W592" s="40"/>
      <c r="X592" s="41"/>
      <c r="Y592" s="42"/>
      <c r="Z592" s="39"/>
      <c r="AA592" s="40"/>
      <c r="AB592" s="40"/>
      <c r="AC592" s="41"/>
      <c r="AD592" s="42"/>
      <c r="AE592" s="39"/>
      <c r="AF592" s="40"/>
      <c r="AG592" s="40"/>
      <c r="AH592" s="41"/>
      <c r="AI592" s="42"/>
      <c r="AJ592" s="41"/>
      <c r="AK592" s="30"/>
      <c r="AL592" s="30"/>
      <c r="AM592" s="30"/>
      <c r="AN592" s="44"/>
      <c r="AR592" s="32"/>
    </row>
    <row r="593" spans="4:44">
      <c r="D593" s="29"/>
      <c r="I593" s="34"/>
      <c r="J593" s="34"/>
      <c r="K593" s="33"/>
      <c r="L593" s="33"/>
      <c r="M593" s="45"/>
      <c r="N593" s="45"/>
      <c r="O593" s="45"/>
      <c r="P593" s="45"/>
      <c r="Q593" s="34"/>
      <c r="R593" s="34"/>
      <c r="S593" s="34"/>
      <c r="T593" s="34"/>
      <c r="U593" s="39"/>
      <c r="V593" s="40"/>
      <c r="W593" s="40"/>
      <c r="X593" s="41"/>
      <c r="Y593" s="42"/>
      <c r="Z593" s="39"/>
      <c r="AA593" s="40"/>
      <c r="AB593" s="40"/>
      <c r="AC593" s="41"/>
      <c r="AD593" s="42"/>
      <c r="AE593" s="39"/>
      <c r="AF593" s="40"/>
      <c r="AG593" s="40"/>
      <c r="AH593" s="41"/>
      <c r="AI593" s="42"/>
      <c r="AJ593" s="41"/>
      <c r="AK593" s="30"/>
      <c r="AL593" s="30"/>
      <c r="AM593" s="30"/>
      <c r="AN593" s="44"/>
      <c r="AR593" s="32"/>
    </row>
    <row r="594" spans="4:44">
      <c r="D594" s="29"/>
      <c r="I594" s="34"/>
      <c r="J594" s="34"/>
      <c r="K594" s="33"/>
      <c r="L594" s="33"/>
      <c r="M594" s="45"/>
      <c r="N594" s="45"/>
      <c r="O594" s="45"/>
      <c r="P594" s="45"/>
      <c r="Q594" s="34"/>
      <c r="R594" s="34"/>
      <c r="S594" s="34"/>
      <c r="T594" s="34"/>
      <c r="U594" s="39"/>
      <c r="V594" s="40"/>
      <c r="W594" s="40"/>
      <c r="X594" s="41"/>
      <c r="Y594" s="42"/>
      <c r="Z594" s="39"/>
      <c r="AA594" s="40"/>
      <c r="AB594" s="40"/>
      <c r="AC594" s="41"/>
      <c r="AD594" s="42"/>
      <c r="AE594" s="39"/>
      <c r="AF594" s="40"/>
      <c r="AG594" s="40"/>
      <c r="AH594" s="41"/>
      <c r="AI594" s="42"/>
      <c r="AJ594" s="41"/>
      <c r="AK594" s="30"/>
      <c r="AL594" s="30"/>
      <c r="AM594" s="30"/>
      <c r="AN594" s="44"/>
      <c r="AR594" s="32"/>
    </row>
    <row r="595" spans="4:44">
      <c r="D595" s="29"/>
      <c r="I595" s="34"/>
      <c r="J595" s="34"/>
      <c r="K595" s="33"/>
      <c r="L595" s="33"/>
      <c r="M595" s="45"/>
      <c r="N595" s="45"/>
      <c r="O595" s="45"/>
      <c r="P595" s="45"/>
      <c r="Q595" s="34"/>
      <c r="R595" s="34"/>
      <c r="S595" s="34"/>
      <c r="T595" s="34"/>
      <c r="U595" s="39"/>
      <c r="V595" s="40"/>
      <c r="W595" s="40"/>
      <c r="X595" s="41"/>
      <c r="Y595" s="42"/>
      <c r="Z595" s="39"/>
      <c r="AA595" s="40"/>
      <c r="AB595" s="40"/>
      <c r="AC595" s="41"/>
      <c r="AD595" s="42"/>
      <c r="AE595" s="39"/>
      <c r="AF595" s="40"/>
      <c r="AG595" s="40"/>
      <c r="AH595" s="41"/>
      <c r="AI595" s="42"/>
      <c r="AJ595" s="41"/>
      <c r="AK595" s="30"/>
      <c r="AL595" s="30"/>
      <c r="AM595" s="30"/>
      <c r="AN595" s="44"/>
      <c r="AR595" s="32"/>
    </row>
    <row r="596" spans="4:44">
      <c r="D596" s="29"/>
      <c r="I596" s="34"/>
      <c r="J596" s="34"/>
      <c r="K596" s="33"/>
      <c r="L596" s="33"/>
      <c r="M596" s="45"/>
      <c r="N596" s="45"/>
      <c r="O596" s="45"/>
      <c r="P596" s="45"/>
      <c r="Q596" s="34"/>
      <c r="R596" s="34"/>
      <c r="S596" s="34"/>
      <c r="T596" s="34"/>
      <c r="U596" s="39"/>
      <c r="V596" s="40"/>
      <c r="W596" s="40"/>
      <c r="X596" s="41"/>
      <c r="Y596" s="42"/>
      <c r="Z596" s="39"/>
      <c r="AA596" s="40"/>
      <c r="AB596" s="40"/>
      <c r="AC596" s="41"/>
      <c r="AD596" s="42"/>
      <c r="AE596" s="39"/>
      <c r="AF596" s="40"/>
      <c r="AG596" s="40"/>
      <c r="AH596" s="41"/>
      <c r="AI596" s="42"/>
      <c r="AJ596" s="41"/>
      <c r="AK596" s="30"/>
      <c r="AL596" s="30"/>
      <c r="AM596" s="30"/>
      <c r="AN596" s="44"/>
      <c r="AR596" s="32"/>
    </row>
    <row r="597" spans="4:44">
      <c r="D597" s="29"/>
      <c r="I597" s="34"/>
      <c r="J597" s="34"/>
      <c r="K597" s="33"/>
      <c r="L597" s="33"/>
      <c r="M597" s="45"/>
      <c r="N597" s="45"/>
      <c r="O597" s="45"/>
      <c r="P597" s="45"/>
      <c r="Q597" s="34"/>
      <c r="R597" s="34"/>
      <c r="S597" s="34"/>
      <c r="T597" s="34"/>
      <c r="U597" s="39"/>
      <c r="V597" s="40"/>
      <c r="W597" s="40"/>
      <c r="X597" s="41"/>
      <c r="Y597" s="42"/>
      <c r="Z597" s="39"/>
      <c r="AA597" s="40"/>
      <c r="AB597" s="40"/>
      <c r="AC597" s="41"/>
      <c r="AD597" s="42"/>
      <c r="AE597" s="39"/>
      <c r="AF597" s="40"/>
      <c r="AG597" s="40"/>
      <c r="AH597" s="41"/>
      <c r="AI597" s="42"/>
      <c r="AJ597" s="41"/>
      <c r="AK597" s="30"/>
      <c r="AL597" s="30"/>
      <c r="AM597" s="30"/>
      <c r="AN597" s="44"/>
      <c r="AR597" s="32"/>
    </row>
    <row r="598" spans="4:44">
      <c r="D598" s="29"/>
      <c r="I598" s="34"/>
      <c r="J598" s="34"/>
      <c r="K598" s="33"/>
      <c r="L598" s="33"/>
      <c r="M598" s="45"/>
      <c r="N598" s="45"/>
      <c r="O598" s="45"/>
      <c r="P598" s="45"/>
      <c r="Q598" s="34"/>
      <c r="R598" s="34"/>
      <c r="S598" s="34"/>
      <c r="T598" s="34"/>
      <c r="U598" s="39"/>
      <c r="V598" s="40"/>
      <c r="W598" s="40"/>
      <c r="X598" s="41"/>
      <c r="Y598" s="42"/>
      <c r="Z598" s="39"/>
      <c r="AA598" s="40"/>
      <c r="AB598" s="40"/>
      <c r="AC598" s="41"/>
      <c r="AD598" s="42"/>
      <c r="AE598" s="39"/>
      <c r="AF598" s="40"/>
      <c r="AG598" s="40"/>
      <c r="AH598" s="41"/>
      <c r="AI598" s="42"/>
      <c r="AJ598" s="41"/>
      <c r="AK598" s="30"/>
      <c r="AL598" s="30"/>
      <c r="AM598" s="30"/>
      <c r="AN598" s="44"/>
      <c r="AR598" s="32"/>
    </row>
    <row r="599" spans="4:44">
      <c r="D599" s="29"/>
      <c r="I599" s="34"/>
      <c r="J599" s="34"/>
      <c r="K599" s="33"/>
      <c r="L599" s="33"/>
      <c r="M599" s="45"/>
      <c r="N599" s="45"/>
      <c r="O599" s="45"/>
      <c r="P599" s="45"/>
      <c r="Q599" s="34"/>
      <c r="R599" s="34"/>
      <c r="S599" s="34"/>
      <c r="T599" s="34"/>
      <c r="U599" s="39"/>
      <c r="V599" s="40"/>
      <c r="W599" s="40"/>
      <c r="X599" s="41"/>
      <c r="Y599" s="42"/>
      <c r="Z599" s="39"/>
      <c r="AA599" s="40"/>
      <c r="AB599" s="40"/>
      <c r="AC599" s="41"/>
      <c r="AD599" s="42"/>
      <c r="AE599" s="39"/>
      <c r="AF599" s="40"/>
      <c r="AG599" s="40"/>
      <c r="AH599" s="41"/>
      <c r="AI599" s="42"/>
      <c r="AJ599" s="41"/>
      <c r="AK599" s="30"/>
      <c r="AL599" s="30"/>
      <c r="AM599" s="30"/>
      <c r="AN599" s="44"/>
      <c r="AR599" s="32"/>
    </row>
    <row r="600" spans="4:44">
      <c r="D600" s="29"/>
      <c r="I600" s="34"/>
      <c r="J600" s="34"/>
      <c r="K600" s="33"/>
      <c r="L600" s="33"/>
      <c r="M600" s="45"/>
      <c r="N600" s="45"/>
      <c r="O600" s="45"/>
      <c r="P600" s="45"/>
      <c r="Q600" s="34"/>
      <c r="R600" s="34"/>
      <c r="S600" s="34"/>
      <c r="T600" s="34"/>
      <c r="U600" s="39"/>
      <c r="V600" s="40"/>
      <c r="W600" s="40"/>
      <c r="X600" s="41"/>
      <c r="Y600" s="42"/>
      <c r="Z600" s="39"/>
      <c r="AA600" s="40"/>
      <c r="AB600" s="40"/>
      <c r="AC600" s="41"/>
      <c r="AD600" s="42"/>
      <c r="AE600" s="39"/>
      <c r="AF600" s="40"/>
      <c r="AG600" s="40"/>
      <c r="AH600" s="41"/>
      <c r="AI600" s="42"/>
      <c r="AJ600" s="41"/>
      <c r="AK600" s="30"/>
      <c r="AL600" s="30"/>
      <c r="AM600" s="30"/>
      <c r="AN600" s="44"/>
      <c r="AR600" s="32"/>
    </row>
    <row r="601" spans="4:44">
      <c r="D601" s="29"/>
      <c r="I601" s="34"/>
      <c r="J601" s="34"/>
      <c r="K601" s="33"/>
      <c r="L601" s="33"/>
      <c r="M601" s="45"/>
      <c r="N601" s="45"/>
      <c r="O601" s="45"/>
      <c r="P601" s="45"/>
      <c r="Q601" s="34"/>
      <c r="R601" s="34"/>
      <c r="S601" s="34"/>
      <c r="T601" s="34"/>
      <c r="U601" s="39"/>
      <c r="V601" s="40"/>
      <c r="W601" s="40"/>
      <c r="X601" s="41"/>
      <c r="Y601" s="42"/>
      <c r="Z601" s="39"/>
      <c r="AA601" s="40"/>
      <c r="AB601" s="40"/>
      <c r="AC601" s="41"/>
      <c r="AD601" s="42"/>
      <c r="AE601" s="39"/>
      <c r="AF601" s="40"/>
      <c r="AG601" s="40"/>
      <c r="AH601" s="41"/>
      <c r="AI601" s="42"/>
      <c r="AJ601" s="41"/>
      <c r="AK601" s="30"/>
      <c r="AL601" s="30"/>
      <c r="AM601" s="30"/>
      <c r="AN601" s="44"/>
      <c r="AR601" s="32"/>
    </row>
    <row r="602" spans="4:44">
      <c r="D602" s="29"/>
      <c r="I602" s="34"/>
      <c r="J602" s="34"/>
      <c r="K602" s="33"/>
      <c r="L602" s="33"/>
      <c r="M602" s="45"/>
      <c r="N602" s="45"/>
      <c r="O602" s="45"/>
      <c r="P602" s="45"/>
      <c r="Q602" s="34"/>
      <c r="R602" s="34"/>
      <c r="S602" s="34"/>
      <c r="T602" s="34"/>
      <c r="U602" s="39"/>
      <c r="V602" s="40"/>
      <c r="W602" s="40"/>
      <c r="X602" s="41"/>
      <c r="Y602" s="42"/>
      <c r="Z602" s="39"/>
      <c r="AA602" s="40"/>
      <c r="AB602" s="40"/>
      <c r="AC602" s="41"/>
      <c r="AD602" s="42"/>
      <c r="AE602" s="39"/>
      <c r="AF602" s="40"/>
      <c r="AG602" s="40"/>
      <c r="AH602" s="41"/>
      <c r="AI602" s="42"/>
      <c r="AJ602" s="41"/>
      <c r="AK602" s="30"/>
      <c r="AL602" s="30"/>
      <c r="AM602" s="30"/>
      <c r="AN602" s="44"/>
      <c r="AR602" s="32"/>
    </row>
    <row r="603" spans="4:44">
      <c r="D603" s="29"/>
      <c r="I603" s="34"/>
      <c r="J603" s="34"/>
      <c r="K603" s="33"/>
      <c r="L603" s="33"/>
      <c r="M603" s="45"/>
      <c r="N603" s="45"/>
      <c r="O603" s="45"/>
      <c r="P603" s="45"/>
      <c r="Q603" s="34"/>
      <c r="R603" s="34"/>
      <c r="S603" s="34"/>
      <c r="T603" s="34"/>
      <c r="U603" s="39"/>
      <c r="V603" s="40"/>
      <c r="W603" s="40"/>
      <c r="X603" s="41"/>
      <c r="Y603" s="42"/>
      <c r="Z603" s="39"/>
      <c r="AA603" s="40"/>
      <c r="AB603" s="40"/>
      <c r="AC603" s="41"/>
      <c r="AD603" s="42"/>
      <c r="AE603" s="39"/>
      <c r="AF603" s="40"/>
      <c r="AG603" s="40"/>
      <c r="AH603" s="41"/>
      <c r="AI603" s="42"/>
      <c r="AJ603" s="41"/>
      <c r="AK603" s="30"/>
      <c r="AL603" s="30"/>
      <c r="AM603" s="30"/>
      <c r="AN603" s="44"/>
      <c r="AR603" s="32"/>
    </row>
    <row r="604" spans="4:44">
      <c r="D604" s="29"/>
      <c r="I604" s="34"/>
      <c r="J604" s="34"/>
      <c r="K604" s="33"/>
      <c r="L604" s="33"/>
      <c r="M604" s="45"/>
      <c r="N604" s="45"/>
      <c r="O604" s="45"/>
      <c r="P604" s="45"/>
      <c r="Q604" s="34"/>
      <c r="R604" s="34"/>
      <c r="S604" s="34"/>
      <c r="T604" s="34"/>
      <c r="U604" s="39"/>
      <c r="V604" s="40"/>
      <c r="W604" s="40"/>
      <c r="X604" s="41"/>
      <c r="Y604" s="42"/>
      <c r="Z604" s="39"/>
      <c r="AA604" s="40"/>
      <c r="AB604" s="40"/>
      <c r="AC604" s="41"/>
      <c r="AD604" s="42"/>
      <c r="AE604" s="39"/>
      <c r="AF604" s="40"/>
      <c r="AG604" s="40"/>
      <c r="AH604" s="41"/>
      <c r="AI604" s="42"/>
      <c r="AJ604" s="41"/>
      <c r="AK604" s="30"/>
      <c r="AL604" s="30"/>
      <c r="AM604" s="30"/>
      <c r="AN604" s="44"/>
      <c r="AR604" s="32"/>
    </row>
    <row r="605" spans="4:44">
      <c r="D605" s="29"/>
      <c r="I605" s="34"/>
      <c r="J605" s="34"/>
      <c r="K605" s="33"/>
      <c r="L605" s="33"/>
      <c r="M605" s="45"/>
      <c r="N605" s="45"/>
      <c r="O605" s="45"/>
      <c r="P605" s="45"/>
      <c r="Q605" s="34"/>
      <c r="R605" s="34"/>
      <c r="S605" s="34"/>
      <c r="T605" s="34"/>
      <c r="U605" s="39"/>
      <c r="V605" s="40"/>
      <c r="W605" s="40"/>
      <c r="X605" s="41"/>
      <c r="Y605" s="42"/>
      <c r="Z605" s="39"/>
      <c r="AA605" s="40"/>
      <c r="AB605" s="40"/>
      <c r="AC605" s="41"/>
      <c r="AD605" s="42"/>
      <c r="AE605" s="39"/>
      <c r="AF605" s="40"/>
      <c r="AG605" s="40"/>
      <c r="AH605" s="41"/>
      <c r="AI605" s="42"/>
      <c r="AJ605" s="41"/>
      <c r="AK605" s="30"/>
      <c r="AL605" s="30"/>
      <c r="AM605" s="30"/>
      <c r="AN605" s="44"/>
      <c r="AR605" s="32"/>
    </row>
    <row r="606" spans="4:44">
      <c r="D606" s="29"/>
      <c r="I606" s="34"/>
      <c r="J606" s="34"/>
      <c r="K606" s="33"/>
      <c r="L606" s="33"/>
      <c r="M606" s="45"/>
      <c r="N606" s="45"/>
      <c r="O606" s="45"/>
      <c r="P606" s="45"/>
      <c r="Q606" s="34"/>
      <c r="R606" s="34"/>
      <c r="S606" s="34"/>
      <c r="T606" s="34"/>
      <c r="U606" s="39"/>
      <c r="V606" s="40"/>
      <c r="W606" s="40"/>
      <c r="X606" s="41"/>
      <c r="Y606" s="42"/>
      <c r="Z606" s="39"/>
      <c r="AA606" s="40"/>
      <c r="AB606" s="40"/>
      <c r="AC606" s="41"/>
      <c r="AD606" s="42"/>
      <c r="AE606" s="39"/>
      <c r="AF606" s="40"/>
      <c r="AG606" s="40"/>
      <c r="AH606" s="41"/>
      <c r="AI606" s="42"/>
      <c r="AJ606" s="41"/>
      <c r="AK606" s="30"/>
      <c r="AL606" s="30"/>
      <c r="AM606" s="30"/>
      <c r="AN606" s="44"/>
      <c r="AR606" s="32"/>
    </row>
    <row r="607" spans="4:44">
      <c r="D607" s="29"/>
      <c r="I607" s="34"/>
      <c r="J607" s="34"/>
      <c r="K607" s="33"/>
      <c r="L607" s="33"/>
      <c r="M607" s="45"/>
      <c r="N607" s="45"/>
      <c r="O607" s="45"/>
      <c r="P607" s="45"/>
      <c r="Q607" s="34"/>
      <c r="R607" s="34"/>
      <c r="S607" s="34"/>
      <c r="T607" s="34"/>
      <c r="U607" s="39"/>
      <c r="V607" s="40"/>
      <c r="W607" s="40"/>
      <c r="X607" s="41"/>
      <c r="Y607" s="42"/>
      <c r="Z607" s="39"/>
      <c r="AA607" s="40"/>
      <c r="AB607" s="40"/>
      <c r="AC607" s="41"/>
      <c r="AD607" s="42"/>
      <c r="AE607" s="39"/>
      <c r="AF607" s="40"/>
      <c r="AG607" s="40"/>
      <c r="AH607" s="41"/>
      <c r="AI607" s="42"/>
      <c r="AJ607" s="41"/>
      <c r="AK607" s="30"/>
      <c r="AL607" s="30"/>
      <c r="AM607" s="30"/>
      <c r="AN607" s="44"/>
      <c r="AR607" s="32"/>
    </row>
    <row r="608" spans="4:44">
      <c r="D608" s="29"/>
      <c r="I608" s="34"/>
      <c r="J608" s="34"/>
      <c r="K608" s="33"/>
      <c r="L608" s="33"/>
      <c r="M608" s="45"/>
      <c r="N608" s="45"/>
      <c r="O608" s="45"/>
      <c r="P608" s="45"/>
      <c r="Q608" s="34"/>
      <c r="R608" s="34"/>
      <c r="S608" s="34"/>
      <c r="T608" s="34"/>
      <c r="U608" s="39"/>
      <c r="V608" s="40"/>
      <c r="W608" s="40"/>
      <c r="X608" s="41"/>
      <c r="Y608" s="42"/>
      <c r="Z608" s="39"/>
      <c r="AA608" s="40"/>
      <c r="AB608" s="40"/>
      <c r="AC608" s="41"/>
      <c r="AD608" s="42"/>
      <c r="AE608" s="39"/>
      <c r="AF608" s="40"/>
      <c r="AG608" s="40"/>
      <c r="AH608" s="41"/>
      <c r="AI608" s="42"/>
      <c r="AJ608" s="41"/>
      <c r="AK608" s="30"/>
      <c r="AL608" s="30"/>
      <c r="AM608" s="30"/>
      <c r="AN608" s="44"/>
      <c r="AR608" s="32"/>
    </row>
    <row r="609" spans="4:44">
      <c r="D609" s="29"/>
      <c r="I609" s="34"/>
      <c r="J609" s="34"/>
      <c r="K609" s="33"/>
      <c r="L609" s="33"/>
      <c r="M609" s="45"/>
      <c r="N609" s="45"/>
      <c r="O609" s="45"/>
      <c r="P609" s="45"/>
      <c r="Q609" s="34"/>
      <c r="R609" s="34"/>
      <c r="S609" s="34"/>
      <c r="T609" s="34"/>
      <c r="U609" s="39"/>
      <c r="V609" s="40"/>
      <c r="W609" s="40"/>
      <c r="X609" s="41"/>
      <c r="Y609" s="42"/>
      <c r="Z609" s="39"/>
      <c r="AA609" s="40"/>
      <c r="AB609" s="40"/>
      <c r="AC609" s="41"/>
      <c r="AD609" s="42"/>
      <c r="AE609" s="39"/>
      <c r="AF609" s="40"/>
      <c r="AG609" s="40"/>
      <c r="AH609" s="41"/>
      <c r="AI609" s="42"/>
      <c r="AJ609" s="41"/>
      <c r="AK609" s="30"/>
      <c r="AL609" s="30"/>
      <c r="AM609" s="30"/>
      <c r="AN609" s="44"/>
      <c r="AR609" s="32"/>
    </row>
    <row r="610" spans="4:44">
      <c r="D610" s="29"/>
      <c r="I610" s="34"/>
      <c r="J610" s="34"/>
      <c r="K610" s="33"/>
      <c r="L610" s="33"/>
      <c r="M610" s="45"/>
      <c r="N610" s="45"/>
      <c r="O610" s="45"/>
      <c r="P610" s="45"/>
      <c r="Q610" s="34"/>
      <c r="R610" s="34"/>
      <c r="S610" s="34"/>
      <c r="T610" s="34"/>
      <c r="U610" s="39"/>
      <c r="V610" s="40"/>
      <c r="W610" s="40"/>
      <c r="X610" s="41"/>
      <c r="Y610" s="42"/>
      <c r="Z610" s="39"/>
      <c r="AA610" s="40"/>
      <c r="AB610" s="40"/>
      <c r="AC610" s="41"/>
      <c r="AD610" s="42"/>
      <c r="AE610" s="39"/>
      <c r="AF610" s="40"/>
      <c r="AG610" s="40"/>
      <c r="AH610" s="41"/>
      <c r="AI610" s="42"/>
      <c r="AJ610" s="41"/>
      <c r="AK610" s="30"/>
      <c r="AL610" s="30"/>
      <c r="AM610" s="30"/>
      <c r="AN610" s="44"/>
      <c r="AR610" s="32"/>
    </row>
    <row r="611" spans="4:44">
      <c r="D611" s="29"/>
      <c r="I611" s="34"/>
      <c r="J611" s="34"/>
      <c r="K611" s="33"/>
      <c r="L611" s="33"/>
      <c r="M611" s="45"/>
      <c r="N611" s="45"/>
      <c r="O611" s="45"/>
      <c r="P611" s="45"/>
      <c r="Q611" s="34"/>
      <c r="R611" s="34"/>
      <c r="S611" s="34"/>
      <c r="T611" s="34"/>
      <c r="U611" s="39"/>
      <c r="V611" s="40"/>
      <c r="W611" s="40"/>
      <c r="X611" s="41"/>
      <c r="Y611" s="42"/>
      <c r="Z611" s="39"/>
      <c r="AA611" s="40"/>
      <c r="AB611" s="40"/>
      <c r="AC611" s="41"/>
      <c r="AD611" s="42"/>
      <c r="AE611" s="39"/>
      <c r="AF611" s="40"/>
      <c r="AG611" s="40"/>
      <c r="AH611" s="41"/>
      <c r="AI611" s="42"/>
      <c r="AJ611" s="41"/>
      <c r="AK611" s="30"/>
      <c r="AL611" s="30"/>
      <c r="AM611" s="30"/>
      <c r="AN611" s="44"/>
      <c r="AR611" s="32"/>
    </row>
    <row r="612" spans="4:44">
      <c r="D612" s="29"/>
      <c r="I612" s="34"/>
      <c r="J612" s="34"/>
      <c r="K612" s="33"/>
      <c r="L612" s="33"/>
      <c r="M612" s="45"/>
      <c r="N612" s="45"/>
      <c r="O612" s="45"/>
      <c r="P612" s="45"/>
      <c r="Q612" s="34"/>
      <c r="R612" s="34"/>
      <c r="S612" s="34"/>
      <c r="T612" s="34"/>
      <c r="U612" s="39"/>
      <c r="V612" s="40"/>
      <c r="W612" s="40"/>
      <c r="X612" s="41"/>
      <c r="Y612" s="42"/>
      <c r="Z612" s="39"/>
      <c r="AA612" s="40"/>
      <c r="AB612" s="40"/>
      <c r="AC612" s="41"/>
      <c r="AD612" s="42"/>
      <c r="AE612" s="39"/>
      <c r="AF612" s="40"/>
      <c r="AG612" s="40"/>
      <c r="AH612" s="41"/>
      <c r="AI612" s="42"/>
      <c r="AJ612" s="41"/>
      <c r="AK612" s="30"/>
      <c r="AL612" s="30"/>
      <c r="AM612" s="30"/>
      <c r="AN612" s="44"/>
      <c r="AR612" s="32"/>
    </row>
    <row r="613" spans="4:44">
      <c r="D613" s="29"/>
      <c r="I613" s="34"/>
      <c r="J613" s="34"/>
      <c r="K613" s="33"/>
      <c r="L613" s="33"/>
      <c r="M613" s="45"/>
      <c r="N613" s="45"/>
      <c r="O613" s="45"/>
      <c r="P613" s="45"/>
      <c r="Q613" s="34"/>
      <c r="R613" s="34"/>
      <c r="S613" s="34"/>
      <c r="T613" s="34"/>
      <c r="U613" s="39"/>
      <c r="V613" s="40"/>
      <c r="W613" s="40"/>
      <c r="X613" s="41"/>
      <c r="Y613" s="42"/>
      <c r="Z613" s="39"/>
      <c r="AA613" s="40"/>
      <c r="AB613" s="40"/>
      <c r="AC613" s="41"/>
      <c r="AD613" s="42"/>
      <c r="AE613" s="39"/>
      <c r="AF613" s="40"/>
      <c r="AG613" s="40"/>
      <c r="AH613" s="41"/>
      <c r="AI613" s="42"/>
      <c r="AJ613" s="41"/>
      <c r="AK613" s="30"/>
      <c r="AL613" s="30"/>
      <c r="AM613" s="30"/>
      <c r="AN613" s="44"/>
      <c r="AR613" s="32"/>
    </row>
    <row r="614" spans="4:44">
      <c r="D614" s="29"/>
      <c r="I614" s="34"/>
      <c r="J614" s="34"/>
      <c r="K614" s="33"/>
      <c r="L614" s="33"/>
      <c r="M614" s="45"/>
      <c r="N614" s="45"/>
      <c r="O614" s="45"/>
      <c r="P614" s="45"/>
      <c r="Q614" s="34"/>
      <c r="R614" s="34"/>
      <c r="S614" s="34"/>
      <c r="T614" s="34"/>
      <c r="U614" s="39"/>
      <c r="V614" s="40"/>
      <c r="W614" s="40"/>
      <c r="X614" s="41"/>
      <c r="Y614" s="42"/>
      <c r="Z614" s="39"/>
      <c r="AA614" s="40"/>
      <c r="AB614" s="40"/>
      <c r="AC614" s="41"/>
      <c r="AD614" s="42"/>
      <c r="AE614" s="39"/>
      <c r="AF614" s="40"/>
      <c r="AG614" s="40"/>
      <c r="AH614" s="41"/>
      <c r="AI614" s="42"/>
      <c r="AJ614" s="41"/>
      <c r="AK614" s="30"/>
      <c r="AL614" s="30"/>
      <c r="AM614" s="30"/>
      <c r="AN614" s="44"/>
      <c r="AR614" s="32"/>
    </row>
    <row r="615" spans="4:44">
      <c r="D615" s="29"/>
      <c r="I615" s="34"/>
      <c r="J615" s="34"/>
      <c r="K615" s="33"/>
      <c r="L615" s="33"/>
      <c r="M615" s="45"/>
      <c r="N615" s="45"/>
      <c r="O615" s="45"/>
      <c r="P615" s="45"/>
      <c r="Q615" s="34"/>
      <c r="R615" s="34"/>
      <c r="S615" s="34"/>
      <c r="T615" s="34"/>
      <c r="U615" s="39"/>
      <c r="V615" s="40"/>
      <c r="W615" s="40"/>
      <c r="X615" s="41"/>
      <c r="Y615" s="42"/>
      <c r="Z615" s="39"/>
      <c r="AA615" s="40"/>
      <c r="AB615" s="40"/>
      <c r="AC615" s="41"/>
      <c r="AD615" s="42"/>
      <c r="AE615" s="39"/>
      <c r="AF615" s="40"/>
      <c r="AG615" s="40"/>
      <c r="AH615" s="41"/>
      <c r="AI615" s="42"/>
      <c r="AJ615" s="41"/>
      <c r="AK615" s="30"/>
      <c r="AL615" s="30"/>
      <c r="AM615" s="30"/>
      <c r="AN615" s="44"/>
      <c r="AR615" s="32"/>
    </row>
    <row r="616" spans="4:44">
      <c r="D616" s="29"/>
      <c r="I616" s="34"/>
      <c r="J616" s="34"/>
      <c r="K616" s="33"/>
      <c r="L616" s="33"/>
      <c r="M616" s="45"/>
      <c r="N616" s="45"/>
      <c r="O616" s="45"/>
      <c r="P616" s="45"/>
      <c r="Q616" s="34"/>
      <c r="R616" s="34"/>
      <c r="S616" s="34"/>
      <c r="T616" s="34"/>
      <c r="U616" s="39"/>
      <c r="V616" s="40"/>
      <c r="W616" s="40"/>
      <c r="X616" s="41"/>
      <c r="Y616" s="42"/>
      <c r="Z616" s="39"/>
      <c r="AA616" s="40"/>
      <c r="AB616" s="40"/>
      <c r="AC616" s="41"/>
      <c r="AD616" s="42"/>
      <c r="AE616" s="39"/>
      <c r="AF616" s="40"/>
      <c r="AG616" s="40"/>
      <c r="AH616" s="41"/>
      <c r="AI616" s="42"/>
      <c r="AJ616" s="41"/>
      <c r="AK616" s="30"/>
      <c r="AL616" s="30"/>
      <c r="AM616" s="30"/>
      <c r="AN616" s="44"/>
      <c r="AR616" s="32"/>
    </row>
    <row r="617" spans="4:44">
      <c r="D617" s="29"/>
      <c r="I617" s="34"/>
      <c r="J617" s="34"/>
      <c r="K617" s="33"/>
      <c r="L617" s="33"/>
      <c r="M617" s="45"/>
      <c r="N617" s="45"/>
      <c r="O617" s="45"/>
      <c r="P617" s="45"/>
      <c r="Q617" s="34"/>
      <c r="R617" s="34"/>
      <c r="S617" s="34"/>
      <c r="T617" s="34"/>
      <c r="U617" s="39"/>
      <c r="V617" s="40"/>
      <c r="W617" s="40"/>
      <c r="X617" s="41"/>
      <c r="Y617" s="42"/>
      <c r="Z617" s="39"/>
      <c r="AA617" s="40"/>
      <c r="AB617" s="40"/>
      <c r="AC617" s="41"/>
      <c r="AD617" s="42"/>
      <c r="AE617" s="39"/>
      <c r="AF617" s="40"/>
      <c r="AG617" s="40"/>
      <c r="AH617" s="41"/>
      <c r="AI617" s="42"/>
      <c r="AJ617" s="41"/>
      <c r="AK617" s="30"/>
      <c r="AL617" s="30"/>
      <c r="AM617" s="30"/>
      <c r="AN617" s="44"/>
      <c r="AR617" s="32"/>
    </row>
    <row r="618" spans="4:44">
      <c r="D618" s="29"/>
      <c r="I618" s="34"/>
      <c r="J618" s="34"/>
      <c r="K618" s="33"/>
      <c r="L618" s="33"/>
      <c r="M618" s="45"/>
      <c r="N618" s="45"/>
      <c r="O618" s="45"/>
      <c r="P618" s="45"/>
      <c r="Q618" s="34"/>
      <c r="R618" s="34"/>
      <c r="S618" s="34"/>
      <c r="T618" s="34"/>
      <c r="U618" s="39"/>
      <c r="V618" s="40"/>
      <c r="W618" s="40"/>
      <c r="X618" s="41"/>
      <c r="Y618" s="42"/>
      <c r="Z618" s="39"/>
      <c r="AA618" s="40"/>
      <c r="AB618" s="40"/>
      <c r="AC618" s="41"/>
      <c r="AD618" s="42"/>
      <c r="AE618" s="39"/>
      <c r="AF618" s="40"/>
      <c r="AG618" s="40"/>
      <c r="AH618" s="41"/>
      <c r="AI618" s="42"/>
      <c r="AJ618" s="41"/>
      <c r="AK618" s="30"/>
      <c r="AL618" s="30"/>
      <c r="AM618" s="30"/>
      <c r="AN618" s="44"/>
      <c r="AR618" s="32"/>
    </row>
    <row r="619" spans="4:44">
      <c r="D619" s="29"/>
      <c r="I619" s="34"/>
      <c r="J619" s="34"/>
      <c r="K619" s="33"/>
      <c r="L619" s="33"/>
      <c r="M619" s="45"/>
      <c r="N619" s="45"/>
      <c r="O619" s="45"/>
      <c r="P619" s="45"/>
      <c r="Q619" s="34"/>
      <c r="R619" s="34"/>
      <c r="S619" s="34"/>
      <c r="T619" s="34"/>
      <c r="U619" s="39"/>
      <c r="V619" s="40"/>
      <c r="W619" s="40"/>
      <c r="X619" s="41"/>
      <c r="Y619" s="42"/>
      <c r="Z619" s="39"/>
      <c r="AA619" s="40"/>
      <c r="AB619" s="40"/>
      <c r="AC619" s="41"/>
      <c r="AD619" s="42"/>
      <c r="AE619" s="39"/>
      <c r="AF619" s="40"/>
      <c r="AG619" s="40"/>
      <c r="AH619" s="41"/>
      <c r="AI619" s="42"/>
      <c r="AJ619" s="41"/>
      <c r="AK619" s="30"/>
      <c r="AL619" s="30"/>
      <c r="AM619" s="30"/>
      <c r="AN619" s="44"/>
      <c r="AR619" s="32"/>
    </row>
    <row r="620" spans="4:44">
      <c r="D620" s="29"/>
      <c r="I620" s="34"/>
      <c r="J620" s="34"/>
      <c r="K620" s="33"/>
      <c r="L620" s="33"/>
      <c r="M620" s="45"/>
      <c r="N620" s="45"/>
      <c r="O620" s="45"/>
      <c r="P620" s="45"/>
      <c r="Q620" s="34"/>
      <c r="R620" s="34"/>
      <c r="S620" s="34"/>
      <c r="T620" s="34"/>
      <c r="U620" s="39"/>
      <c r="V620" s="40"/>
      <c r="W620" s="40"/>
      <c r="X620" s="41"/>
      <c r="Y620" s="42"/>
      <c r="Z620" s="39"/>
      <c r="AA620" s="40"/>
      <c r="AB620" s="40"/>
      <c r="AC620" s="41"/>
      <c r="AD620" s="42"/>
      <c r="AE620" s="39"/>
      <c r="AF620" s="40"/>
      <c r="AG620" s="40"/>
      <c r="AH620" s="41"/>
      <c r="AI620" s="42"/>
      <c r="AJ620" s="41"/>
      <c r="AK620" s="30"/>
      <c r="AL620" s="30"/>
      <c r="AM620" s="30"/>
      <c r="AN620" s="44"/>
      <c r="AR620" s="32"/>
    </row>
    <row r="621" spans="4:44">
      <c r="D621" s="29"/>
      <c r="I621" s="34"/>
      <c r="J621" s="34"/>
      <c r="K621" s="33"/>
      <c r="L621" s="33"/>
      <c r="M621" s="45"/>
      <c r="N621" s="45"/>
      <c r="O621" s="45"/>
      <c r="P621" s="45"/>
      <c r="Q621" s="34"/>
      <c r="R621" s="34"/>
      <c r="S621" s="34"/>
      <c r="T621" s="34"/>
      <c r="U621" s="39"/>
      <c r="V621" s="40"/>
      <c r="W621" s="40"/>
      <c r="X621" s="41"/>
      <c r="Y621" s="42"/>
      <c r="Z621" s="39"/>
      <c r="AA621" s="40"/>
      <c r="AB621" s="40"/>
      <c r="AC621" s="41"/>
      <c r="AD621" s="42"/>
      <c r="AE621" s="39"/>
      <c r="AF621" s="40"/>
      <c r="AG621" s="40"/>
      <c r="AH621" s="41"/>
      <c r="AI621" s="42"/>
      <c r="AJ621" s="41"/>
      <c r="AK621" s="30"/>
      <c r="AL621" s="30"/>
      <c r="AM621" s="30"/>
      <c r="AN621" s="44"/>
      <c r="AR621" s="32"/>
    </row>
    <row r="622" spans="4:44">
      <c r="D622" s="29"/>
      <c r="I622" s="34"/>
      <c r="J622" s="34"/>
      <c r="K622" s="33"/>
      <c r="L622" s="33"/>
      <c r="M622" s="45"/>
      <c r="N622" s="45"/>
      <c r="O622" s="45"/>
      <c r="P622" s="45"/>
      <c r="Q622" s="34"/>
      <c r="R622" s="34"/>
      <c r="S622" s="34"/>
      <c r="T622" s="34"/>
      <c r="U622" s="39"/>
      <c r="V622" s="40"/>
      <c r="W622" s="40"/>
      <c r="X622" s="41"/>
      <c r="Y622" s="42"/>
      <c r="Z622" s="39"/>
      <c r="AA622" s="40"/>
      <c r="AB622" s="40"/>
      <c r="AC622" s="41"/>
      <c r="AD622" s="42"/>
      <c r="AE622" s="39"/>
      <c r="AF622" s="40"/>
      <c r="AG622" s="40"/>
      <c r="AH622" s="41"/>
      <c r="AI622" s="42"/>
      <c r="AJ622" s="41"/>
      <c r="AK622" s="30"/>
      <c r="AL622" s="30"/>
      <c r="AM622" s="30"/>
      <c r="AN622" s="44"/>
      <c r="AR622" s="32"/>
    </row>
    <row r="623" spans="4:44">
      <c r="D623" s="29"/>
      <c r="I623" s="34"/>
      <c r="J623" s="34"/>
      <c r="K623" s="33"/>
      <c r="L623" s="33"/>
      <c r="M623" s="45"/>
      <c r="N623" s="45"/>
      <c r="O623" s="45"/>
      <c r="P623" s="45"/>
      <c r="Q623" s="34"/>
      <c r="R623" s="34"/>
      <c r="S623" s="34"/>
      <c r="T623" s="34"/>
      <c r="U623" s="39"/>
      <c r="V623" s="40"/>
      <c r="W623" s="40"/>
      <c r="X623" s="41"/>
      <c r="Y623" s="42"/>
      <c r="Z623" s="39"/>
      <c r="AA623" s="40"/>
      <c r="AB623" s="40"/>
      <c r="AC623" s="41"/>
      <c r="AD623" s="42"/>
      <c r="AE623" s="39"/>
      <c r="AF623" s="40"/>
      <c r="AG623" s="40"/>
      <c r="AH623" s="41"/>
      <c r="AI623" s="42"/>
      <c r="AJ623" s="41"/>
      <c r="AK623" s="30"/>
      <c r="AL623" s="30"/>
      <c r="AM623" s="30"/>
      <c r="AN623" s="44"/>
      <c r="AR623" s="32"/>
    </row>
    <row r="624" spans="4:44">
      <c r="D624" s="29"/>
      <c r="I624" s="34"/>
      <c r="J624" s="34"/>
      <c r="K624" s="33"/>
      <c r="L624" s="33"/>
      <c r="M624" s="45"/>
      <c r="N624" s="45"/>
      <c r="O624" s="45"/>
      <c r="P624" s="45"/>
      <c r="Q624" s="34"/>
      <c r="R624" s="34"/>
      <c r="S624" s="34"/>
      <c r="T624" s="34"/>
      <c r="U624" s="39"/>
      <c r="V624" s="40"/>
      <c r="W624" s="40"/>
      <c r="X624" s="41"/>
      <c r="Y624" s="42"/>
      <c r="Z624" s="39"/>
      <c r="AA624" s="40"/>
      <c r="AB624" s="40"/>
      <c r="AC624" s="41"/>
      <c r="AD624" s="42"/>
      <c r="AE624" s="39"/>
      <c r="AF624" s="40"/>
      <c r="AG624" s="40"/>
      <c r="AH624" s="41"/>
      <c r="AI624" s="42"/>
      <c r="AJ624" s="41"/>
      <c r="AK624" s="30"/>
      <c r="AL624" s="30"/>
      <c r="AM624" s="30"/>
      <c r="AN624" s="44"/>
      <c r="AR624" s="32"/>
    </row>
    <row r="625" spans="4:44">
      <c r="D625" s="29"/>
      <c r="I625" s="34"/>
      <c r="J625" s="34"/>
      <c r="K625" s="33"/>
      <c r="L625" s="33"/>
      <c r="M625" s="45"/>
      <c r="N625" s="45"/>
      <c r="O625" s="45"/>
      <c r="P625" s="45"/>
      <c r="Q625" s="34"/>
      <c r="R625" s="34"/>
      <c r="S625" s="34"/>
      <c r="T625" s="34"/>
      <c r="U625" s="39"/>
      <c r="V625" s="40"/>
      <c r="W625" s="40"/>
      <c r="X625" s="41"/>
      <c r="Y625" s="42"/>
      <c r="Z625" s="39"/>
      <c r="AA625" s="40"/>
      <c r="AB625" s="40"/>
      <c r="AC625" s="41"/>
      <c r="AD625" s="42"/>
      <c r="AE625" s="39"/>
      <c r="AF625" s="40"/>
      <c r="AG625" s="40"/>
      <c r="AH625" s="41"/>
      <c r="AI625" s="42"/>
      <c r="AJ625" s="41"/>
      <c r="AK625" s="30"/>
      <c r="AL625" s="30"/>
      <c r="AM625" s="30"/>
      <c r="AN625" s="44"/>
      <c r="AR625" s="32"/>
    </row>
    <row r="626" spans="4:44">
      <c r="AR626" s="32"/>
    </row>
    <row r="627" spans="4:44">
      <c r="AR627" s="32"/>
    </row>
    <row r="628" spans="4:44">
      <c r="AR628" s="32"/>
    </row>
    <row r="629" spans="4:44">
      <c r="AR629" s="32"/>
    </row>
    <row r="630" spans="4:44">
      <c r="M630" s="5"/>
      <c r="N630" s="5"/>
      <c r="O630" s="5"/>
      <c r="P630" s="5"/>
      <c r="AM630" s="5"/>
      <c r="AR630" s="32"/>
    </row>
    <row r="631" spans="4:44">
      <c r="M631" s="5"/>
      <c r="N631" s="5"/>
      <c r="O631" s="5"/>
      <c r="P631" s="5"/>
      <c r="AM631" s="5"/>
      <c r="AR631" s="32"/>
    </row>
    <row r="632" spans="4:44">
      <c r="M632" s="5"/>
      <c r="N632" s="5"/>
      <c r="O632" s="5"/>
      <c r="P632" s="5"/>
      <c r="AM632" s="5"/>
      <c r="AR632" s="32"/>
    </row>
    <row r="633" spans="4:44">
      <c r="M633" s="5"/>
      <c r="N633" s="5"/>
      <c r="O633" s="5"/>
      <c r="P633" s="5"/>
      <c r="AM633" s="5"/>
      <c r="AR633" s="32"/>
    </row>
    <row r="634" spans="4:44">
      <c r="M634" s="5"/>
      <c r="N634" s="5"/>
      <c r="O634" s="5"/>
      <c r="P634" s="5"/>
      <c r="AM634" s="5"/>
      <c r="AR634" s="32"/>
    </row>
    <row r="635" spans="4:44">
      <c r="M635" s="5"/>
      <c r="N635" s="5"/>
      <c r="O635" s="5"/>
      <c r="P635" s="5"/>
      <c r="AM635" s="5"/>
      <c r="AR635" s="32"/>
    </row>
    <row r="636" spans="4:44">
      <c r="M636" s="5"/>
      <c r="N636" s="5"/>
      <c r="O636" s="5"/>
      <c r="P636" s="5"/>
      <c r="AM636" s="5"/>
      <c r="AR636" s="32"/>
    </row>
    <row r="637" spans="4:44">
      <c r="M637" s="5"/>
      <c r="N637" s="5"/>
      <c r="O637" s="5"/>
      <c r="P637" s="5"/>
      <c r="AM637" s="5"/>
      <c r="AR637" s="32"/>
    </row>
    <row r="638" spans="4:44">
      <c r="M638" s="5"/>
      <c r="N638" s="5"/>
      <c r="O638" s="5"/>
      <c r="P638" s="5"/>
      <c r="AM638" s="5"/>
      <c r="AR638" s="32"/>
    </row>
    <row r="639" spans="4:44">
      <c r="M639" s="5"/>
      <c r="N639" s="5"/>
      <c r="O639" s="5"/>
      <c r="P639" s="5"/>
      <c r="AM639" s="5"/>
      <c r="AR639" s="32"/>
    </row>
    <row r="640" spans="4:44">
      <c r="M640" s="5"/>
      <c r="N640" s="5"/>
      <c r="O640" s="5"/>
      <c r="P640" s="5"/>
      <c r="AM640" s="5"/>
      <c r="AR640" s="32"/>
    </row>
    <row r="641" spans="13:44">
      <c r="M641" s="5"/>
      <c r="N641" s="5"/>
      <c r="O641" s="5"/>
      <c r="P641" s="5"/>
      <c r="AM641" s="5"/>
      <c r="AR641" s="32"/>
    </row>
    <row r="642" spans="13:44">
      <c r="M642" s="5"/>
      <c r="N642" s="5"/>
      <c r="O642" s="5"/>
      <c r="P642" s="5"/>
      <c r="AM642" s="5"/>
      <c r="AR642" s="32"/>
    </row>
    <row r="643" spans="13:44">
      <c r="M643" s="5"/>
      <c r="N643" s="5"/>
      <c r="O643" s="5"/>
      <c r="P643" s="5"/>
      <c r="AM643" s="5"/>
      <c r="AR643" s="32"/>
    </row>
    <row r="644" spans="13:44">
      <c r="M644" s="5"/>
      <c r="N644" s="5"/>
      <c r="O644" s="5"/>
      <c r="P644" s="5"/>
      <c r="AM644" s="5"/>
      <c r="AR644" s="32"/>
    </row>
    <row r="645" spans="13:44">
      <c r="M645" s="5"/>
      <c r="N645" s="5"/>
      <c r="O645" s="5"/>
      <c r="P645" s="5"/>
      <c r="AM645" s="5"/>
      <c r="AR645" s="32"/>
    </row>
    <row r="646" spans="13:44">
      <c r="M646" s="5"/>
      <c r="N646" s="5"/>
      <c r="O646" s="5"/>
      <c r="P646" s="5"/>
      <c r="AM646" s="5"/>
      <c r="AR646" s="32"/>
    </row>
    <row r="647" spans="13:44">
      <c r="M647" s="5"/>
      <c r="N647" s="5"/>
      <c r="O647" s="5"/>
      <c r="P647" s="5"/>
      <c r="AM647" s="5"/>
      <c r="AR647" s="32"/>
    </row>
    <row r="648" spans="13:44">
      <c r="M648" s="5"/>
      <c r="N648" s="5"/>
      <c r="O648" s="5"/>
      <c r="P648" s="5"/>
      <c r="AM648" s="5"/>
      <c r="AR648" s="32"/>
    </row>
    <row r="649" spans="13:44">
      <c r="M649" s="5"/>
      <c r="N649" s="5"/>
      <c r="O649" s="5"/>
      <c r="P649" s="5"/>
      <c r="AM649" s="5"/>
      <c r="AR649" s="32"/>
    </row>
    <row r="650" spans="13:44">
      <c r="M650" s="5"/>
      <c r="N650" s="5"/>
      <c r="O650" s="5"/>
      <c r="P650" s="5"/>
      <c r="AM650" s="5"/>
      <c r="AR650" s="32"/>
    </row>
    <row r="651" spans="13:44">
      <c r="M651" s="5"/>
      <c r="N651" s="5"/>
      <c r="O651" s="5"/>
      <c r="P651" s="5"/>
      <c r="AM651" s="5"/>
      <c r="AR651" s="32"/>
    </row>
    <row r="652" spans="13:44">
      <c r="M652" s="5"/>
      <c r="N652" s="5"/>
      <c r="O652" s="5"/>
      <c r="P652" s="5"/>
      <c r="AM652" s="5"/>
      <c r="AR652" s="32"/>
    </row>
    <row r="653" spans="13:44">
      <c r="M653" s="5"/>
      <c r="N653" s="5"/>
      <c r="O653" s="5"/>
      <c r="P653" s="5"/>
      <c r="AM653" s="5"/>
      <c r="AR653" s="32"/>
    </row>
    <row r="654" spans="13:44">
      <c r="M654" s="5"/>
      <c r="N654" s="5"/>
      <c r="O654" s="5"/>
      <c r="P654" s="5"/>
      <c r="AM654" s="5"/>
      <c r="AR654" s="32"/>
    </row>
    <row r="655" spans="13:44">
      <c r="M655" s="5"/>
      <c r="N655" s="5"/>
      <c r="O655" s="5"/>
      <c r="P655" s="5"/>
      <c r="AM655" s="5"/>
      <c r="AR655" s="32"/>
    </row>
    <row r="656" spans="13:44">
      <c r="M656" s="5"/>
      <c r="N656" s="5"/>
      <c r="O656" s="5"/>
      <c r="P656" s="5"/>
      <c r="AM656" s="5"/>
      <c r="AR656" s="32"/>
    </row>
    <row r="657" spans="13:44">
      <c r="M657" s="5"/>
      <c r="N657" s="5"/>
      <c r="O657" s="5"/>
      <c r="P657" s="5"/>
      <c r="AM657" s="5"/>
      <c r="AR657" s="32"/>
    </row>
    <row r="658" spans="13:44">
      <c r="M658" s="5"/>
      <c r="N658" s="5"/>
      <c r="O658" s="5"/>
      <c r="P658" s="5"/>
      <c r="AM658" s="5"/>
      <c r="AR658" s="32"/>
    </row>
    <row r="659" spans="13:44">
      <c r="M659" s="5"/>
      <c r="N659" s="5"/>
      <c r="O659" s="5"/>
      <c r="P659" s="5"/>
      <c r="AM659" s="5"/>
      <c r="AR659" s="32"/>
    </row>
    <row r="660" spans="13:44">
      <c r="M660" s="5"/>
      <c r="N660" s="5"/>
      <c r="O660" s="5"/>
      <c r="P660" s="5"/>
      <c r="AM660" s="5"/>
      <c r="AR660" s="32"/>
    </row>
    <row r="661" spans="13:44">
      <c r="M661" s="5"/>
      <c r="N661" s="5"/>
      <c r="O661" s="5"/>
      <c r="P661" s="5"/>
      <c r="AM661" s="5"/>
      <c r="AR661" s="32"/>
    </row>
    <row r="662" spans="13:44">
      <c r="M662" s="5"/>
      <c r="N662" s="5"/>
      <c r="O662" s="5"/>
      <c r="P662" s="5"/>
      <c r="AM662" s="5"/>
      <c r="AR662" s="32"/>
    </row>
    <row r="663" spans="13:44">
      <c r="M663" s="5"/>
      <c r="N663" s="5"/>
      <c r="O663" s="5"/>
      <c r="P663" s="5"/>
      <c r="AM663" s="5"/>
      <c r="AR663" s="32"/>
    </row>
    <row r="664" spans="13:44">
      <c r="M664" s="5"/>
      <c r="N664" s="5"/>
      <c r="O664" s="5"/>
      <c r="P664" s="5"/>
      <c r="AM664" s="5"/>
      <c r="AR664" s="32"/>
    </row>
    <row r="665" spans="13:44">
      <c r="M665" s="5"/>
      <c r="N665" s="5"/>
      <c r="O665" s="5"/>
      <c r="P665" s="5"/>
      <c r="AM665" s="5"/>
      <c r="AR665" s="32"/>
    </row>
    <row r="666" spans="13:44">
      <c r="M666" s="5"/>
      <c r="N666" s="5"/>
      <c r="O666" s="5"/>
      <c r="P666" s="5"/>
      <c r="AM666" s="5"/>
      <c r="AR666" s="32"/>
    </row>
    <row r="667" spans="13:44">
      <c r="M667" s="5"/>
      <c r="N667" s="5"/>
      <c r="O667" s="5"/>
      <c r="P667" s="5"/>
      <c r="AM667" s="5"/>
      <c r="AR667" s="32"/>
    </row>
    <row r="668" spans="13:44">
      <c r="M668" s="5"/>
      <c r="N668" s="5"/>
      <c r="O668" s="5"/>
      <c r="P668" s="5"/>
      <c r="AM668" s="5"/>
      <c r="AR668" s="32"/>
    </row>
    <row r="669" spans="13:44">
      <c r="M669" s="5"/>
      <c r="N669" s="5"/>
      <c r="O669" s="5"/>
      <c r="P669" s="5"/>
      <c r="AM669" s="5"/>
      <c r="AR669" s="32"/>
    </row>
    <row r="670" spans="13:44">
      <c r="M670" s="5"/>
      <c r="N670" s="5"/>
      <c r="O670" s="5"/>
      <c r="P670" s="5"/>
      <c r="AM670" s="5"/>
      <c r="AR670" s="32"/>
    </row>
    <row r="671" spans="13:44">
      <c r="M671" s="5"/>
      <c r="N671" s="5"/>
      <c r="O671" s="5"/>
      <c r="P671" s="5"/>
      <c r="AM671" s="5"/>
      <c r="AR671" s="32"/>
    </row>
    <row r="672" spans="13:44">
      <c r="M672" s="5"/>
      <c r="N672" s="5"/>
      <c r="O672" s="5"/>
      <c r="P672" s="5"/>
      <c r="AM672" s="5"/>
      <c r="AR672" s="32"/>
    </row>
    <row r="673" spans="13:44">
      <c r="M673" s="5"/>
      <c r="N673" s="5"/>
      <c r="O673" s="5"/>
      <c r="P673" s="5"/>
      <c r="AM673" s="5"/>
      <c r="AR673" s="32"/>
    </row>
    <row r="674" spans="13:44">
      <c r="M674" s="5"/>
      <c r="N674" s="5"/>
      <c r="O674" s="5"/>
      <c r="P674" s="5"/>
      <c r="AM674" s="5"/>
      <c r="AR674" s="32"/>
    </row>
    <row r="675" spans="13:44">
      <c r="M675" s="5"/>
      <c r="N675" s="5"/>
      <c r="O675" s="5"/>
      <c r="P675" s="5"/>
      <c r="AM675" s="5"/>
      <c r="AR675" s="32"/>
    </row>
    <row r="676" spans="13:44">
      <c r="M676" s="5"/>
      <c r="N676" s="5"/>
      <c r="O676" s="5"/>
      <c r="P676" s="5"/>
      <c r="AM676" s="5"/>
      <c r="AR676" s="32"/>
    </row>
    <row r="677" spans="13:44">
      <c r="M677" s="5"/>
      <c r="N677" s="5"/>
      <c r="O677" s="5"/>
      <c r="P677" s="5"/>
      <c r="AM677" s="5"/>
      <c r="AR677" s="32"/>
    </row>
    <row r="678" spans="13:44">
      <c r="M678" s="5"/>
      <c r="N678" s="5"/>
      <c r="O678" s="5"/>
      <c r="P678" s="5"/>
      <c r="AM678" s="5"/>
      <c r="AR678" s="32"/>
    </row>
    <row r="679" spans="13:44">
      <c r="M679" s="5"/>
      <c r="N679" s="5"/>
      <c r="O679" s="5"/>
      <c r="P679" s="5"/>
      <c r="AM679" s="5"/>
      <c r="AR679" s="32"/>
    </row>
    <row r="680" spans="13:44">
      <c r="M680" s="5"/>
      <c r="N680" s="5"/>
      <c r="O680" s="5"/>
      <c r="P680" s="5"/>
      <c r="AM680" s="5"/>
      <c r="AR680" s="32"/>
    </row>
    <row r="681" spans="13:44">
      <c r="M681" s="5"/>
      <c r="N681" s="5"/>
      <c r="O681" s="5"/>
      <c r="P681" s="5"/>
      <c r="AM681" s="5"/>
      <c r="AR681" s="32"/>
    </row>
    <row r="682" spans="13:44">
      <c r="M682" s="5"/>
      <c r="N682" s="5"/>
      <c r="O682" s="5"/>
      <c r="P682" s="5"/>
      <c r="AM682" s="5"/>
      <c r="AR682" s="32"/>
    </row>
    <row r="683" spans="13:44">
      <c r="M683" s="5"/>
      <c r="N683" s="5"/>
      <c r="O683" s="5"/>
      <c r="P683" s="5"/>
      <c r="AM683" s="5"/>
      <c r="AR683" s="32"/>
    </row>
    <row r="684" spans="13:44">
      <c r="M684" s="5"/>
      <c r="N684" s="5"/>
      <c r="O684" s="5"/>
      <c r="P684" s="5"/>
      <c r="AM684" s="5"/>
      <c r="AR684" s="32"/>
    </row>
    <row r="685" spans="13:44">
      <c r="M685" s="5"/>
      <c r="N685" s="5"/>
      <c r="O685" s="5"/>
      <c r="P685" s="5"/>
      <c r="AM685" s="5"/>
      <c r="AR685" s="32"/>
    </row>
    <row r="686" spans="13:44">
      <c r="M686" s="5"/>
      <c r="N686" s="5"/>
      <c r="O686" s="5"/>
      <c r="P686" s="5"/>
      <c r="AM686" s="5"/>
      <c r="AR686" s="32"/>
    </row>
    <row r="687" spans="13:44">
      <c r="M687" s="5"/>
      <c r="N687" s="5"/>
      <c r="O687" s="5"/>
      <c r="P687" s="5"/>
      <c r="AM687" s="5"/>
      <c r="AR687" s="32"/>
    </row>
    <row r="688" spans="13:44">
      <c r="M688" s="5"/>
      <c r="N688" s="5"/>
      <c r="O688" s="5"/>
      <c r="P688" s="5"/>
      <c r="AM688" s="5"/>
      <c r="AR688" s="32"/>
    </row>
    <row r="689" spans="13:44">
      <c r="M689" s="5"/>
      <c r="N689" s="5"/>
      <c r="O689" s="5"/>
      <c r="P689" s="5"/>
      <c r="AM689" s="5"/>
      <c r="AR689" s="32"/>
    </row>
    <row r="690" spans="13:44">
      <c r="M690" s="5"/>
      <c r="N690" s="5"/>
      <c r="O690" s="5"/>
      <c r="P690" s="5"/>
      <c r="AM690" s="5"/>
      <c r="AR690" s="32"/>
    </row>
    <row r="691" spans="13:44">
      <c r="M691" s="5"/>
      <c r="N691" s="5"/>
      <c r="O691" s="5"/>
      <c r="P691" s="5"/>
      <c r="AM691" s="5"/>
      <c r="AR691" s="32"/>
    </row>
    <row r="692" spans="13:44">
      <c r="M692" s="5"/>
      <c r="N692" s="5"/>
      <c r="O692" s="5"/>
      <c r="P692" s="5"/>
      <c r="AM692" s="5"/>
      <c r="AR692" s="32"/>
    </row>
    <row r="693" spans="13:44">
      <c r="M693" s="5"/>
      <c r="N693" s="5"/>
      <c r="O693" s="5"/>
      <c r="P693" s="5"/>
      <c r="AM693" s="5"/>
      <c r="AR693" s="32"/>
    </row>
    <row r="694" spans="13:44">
      <c r="M694" s="5"/>
      <c r="N694" s="5"/>
      <c r="O694" s="5"/>
      <c r="P694" s="5"/>
      <c r="AM694" s="5"/>
      <c r="AR694" s="32"/>
    </row>
    <row r="695" spans="13:44">
      <c r="M695" s="5"/>
      <c r="N695" s="5"/>
      <c r="O695" s="5"/>
      <c r="P695" s="5"/>
      <c r="AM695" s="5"/>
      <c r="AR695" s="32"/>
    </row>
    <row r="696" spans="13:44">
      <c r="M696" s="5"/>
      <c r="N696" s="5"/>
      <c r="O696" s="5"/>
      <c r="P696" s="5"/>
      <c r="AM696" s="5"/>
      <c r="AR696" s="32"/>
    </row>
    <row r="697" spans="13:44">
      <c r="M697" s="5"/>
      <c r="N697" s="5"/>
      <c r="O697" s="5"/>
      <c r="P697" s="5"/>
      <c r="AM697" s="5"/>
      <c r="AR697" s="32"/>
    </row>
    <row r="698" spans="13:44">
      <c r="M698" s="5"/>
      <c r="N698" s="5"/>
      <c r="O698" s="5"/>
      <c r="P698" s="5"/>
      <c r="AM698" s="5"/>
      <c r="AR698" s="32"/>
    </row>
    <row r="699" spans="13:44">
      <c r="M699" s="5"/>
      <c r="N699" s="5"/>
      <c r="O699" s="5"/>
      <c r="P699" s="5"/>
      <c r="AM699" s="5"/>
      <c r="AR699" s="32"/>
    </row>
    <row r="700" spans="13:44">
      <c r="M700" s="5"/>
      <c r="N700" s="5"/>
      <c r="O700" s="5"/>
      <c r="P700" s="5"/>
      <c r="AM700" s="5"/>
      <c r="AR700" s="32"/>
    </row>
    <row r="701" spans="13:44">
      <c r="M701" s="5"/>
      <c r="N701" s="5"/>
      <c r="O701" s="5"/>
      <c r="P701" s="5"/>
      <c r="AM701" s="5"/>
      <c r="AR701" s="32"/>
    </row>
    <row r="702" spans="13:44">
      <c r="M702" s="5"/>
      <c r="N702" s="5"/>
      <c r="O702" s="5"/>
      <c r="P702" s="5"/>
      <c r="AM702" s="5"/>
      <c r="AR702" s="32"/>
    </row>
    <row r="703" spans="13:44">
      <c r="M703" s="5"/>
      <c r="N703" s="5"/>
      <c r="O703" s="5"/>
      <c r="P703" s="5"/>
      <c r="AM703" s="5"/>
      <c r="AR703" s="32"/>
    </row>
    <row r="704" spans="13:44">
      <c r="M704" s="5"/>
      <c r="N704" s="5"/>
      <c r="O704" s="5"/>
      <c r="P704" s="5"/>
      <c r="AM704" s="5"/>
      <c r="AR704" s="32"/>
    </row>
    <row r="705" spans="13:44">
      <c r="M705" s="5"/>
      <c r="N705" s="5"/>
      <c r="O705" s="5"/>
      <c r="P705" s="5"/>
      <c r="AM705" s="5"/>
      <c r="AR705" s="32"/>
    </row>
    <row r="706" spans="13:44">
      <c r="M706" s="5"/>
      <c r="N706" s="5"/>
      <c r="O706" s="5"/>
      <c r="P706" s="5"/>
      <c r="AM706" s="5"/>
      <c r="AR706" s="32"/>
    </row>
    <row r="707" spans="13:44">
      <c r="M707" s="5"/>
      <c r="N707" s="5"/>
      <c r="O707" s="5"/>
      <c r="P707" s="5"/>
      <c r="AM707" s="5"/>
      <c r="AR707" s="32"/>
    </row>
    <row r="708" spans="13:44">
      <c r="M708" s="5"/>
      <c r="N708" s="5"/>
      <c r="O708" s="5"/>
      <c r="P708" s="5"/>
      <c r="AM708" s="5"/>
      <c r="AR708" s="32"/>
    </row>
    <row r="709" spans="13:44">
      <c r="M709" s="5"/>
      <c r="N709" s="5"/>
      <c r="O709" s="5"/>
      <c r="P709" s="5"/>
      <c r="AM709" s="5"/>
      <c r="AR709" s="32"/>
    </row>
    <row r="710" spans="13:44">
      <c r="M710" s="5"/>
      <c r="N710" s="5"/>
      <c r="O710" s="5"/>
      <c r="P710" s="5"/>
      <c r="AM710" s="5"/>
      <c r="AR710" s="32"/>
    </row>
    <row r="711" spans="13:44">
      <c r="M711" s="5"/>
      <c r="N711" s="5"/>
      <c r="O711" s="5"/>
      <c r="P711" s="5"/>
      <c r="AM711" s="5"/>
      <c r="AR711" s="32"/>
    </row>
    <row r="712" spans="13:44">
      <c r="M712" s="5"/>
      <c r="N712" s="5"/>
      <c r="O712" s="5"/>
      <c r="P712" s="5"/>
      <c r="AM712" s="5"/>
      <c r="AR712" s="32"/>
    </row>
    <row r="713" spans="13:44">
      <c r="M713" s="5"/>
      <c r="N713" s="5"/>
      <c r="O713" s="5"/>
      <c r="P713" s="5"/>
      <c r="AM713" s="5"/>
      <c r="AR713" s="32"/>
    </row>
    <row r="714" spans="13:44">
      <c r="M714" s="5"/>
      <c r="N714" s="5"/>
      <c r="O714" s="5"/>
      <c r="P714" s="5"/>
      <c r="AM714" s="5"/>
      <c r="AR714" s="32"/>
    </row>
    <row r="715" spans="13:44">
      <c r="M715" s="5"/>
      <c r="N715" s="5"/>
      <c r="O715" s="5"/>
      <c r="P715" s="5"/>
      <c r="AM715" s="5"/>
      <c r="AR715" s="32"/>
    </row>
    <row r="716" spans="13:44">
      <c r="M716" s="5"/>
      <c r="N716" s="5"/>
      <c r="O716" s="5"/>
      <c r="P716" s="5"/>
      <c r="AM716" s="5"/>
      <c r="AR716" s="32"/>
    </row>
    <row r="717" spans="13:44">
      <c r="M717" s="5"/>
      <c r="N717" s="5"/>
      <c r="O717" s="5"/>
      <c r="P717" s="5"/>
      <c r="AM717" s="5"/>
      <c r="AR717" s="32"/>
    </row>
    <row r="718" spans="13:44">
      <c r="M718" s="5"/>
      <c r="N718" s="5"/>
      <c r="O718" s="5"/>
      <c r="P718" s="5"/>
      <c r="AM718" s="5"/>
      <c r="AR718" s="32"/>
    </row>
    <row r="719" spans="13:44">
      <c r="M719" s="5"/>
      <c r="N719" s="5"/>
      <c r="O719" s="5"/>
      <c r="P719" s="5"/>
      <c r="AM719" s="5"/>
      <c r="AR719" s="32"/>
    </row>
    <row r="720" spans="13:44">
      <c r="M720" s="5"/>
      <c r="N720" s="5"/>
      <c r="O720" s="5"/>
      <c r="P720" s="5"/>
      <c r="AM720" s="5"/>
      <c r="AR720" s="32"/>
    </row>
    <row r="721" spans="13:44">
      <c r="M721" s="5"/>
      <c r="N721" s="5"/>
      <c r="O721" s="5"/>
      <c r="P721" s="5"/>
      <c r="AM721" s="5"/>
      <c r="AR721" s="32"/>
    </row>
    <row r="722" spans="13:44">
      <c r="M722" s="5"/>
      <c r="N722" s="5"/>
      <c r="O722" s="5"/>
      <c r="P722" s="5"/>
      <c r="AM722" s="5"/>
      <c r="AR722" s="32"/>
    </row>
    <row r="723" spans="13:44">
      <c r="M723" s="5"/>
      <c r="N723" s="5"/>
      <c r="O723" s="5"/>
      <c r="P723" s="5"/>
      <c r="AM723" s="5"/>
      <c r="AR723" s="32"/>
    </row>
    <row r="724" spans="13:44">
      <c r="M724" s="5"/>
      <c r="N724" s="5"/>
      <c r="O724" s="5"/>
      <c r="P724" s="5"/>
      <c r="AM724" s="5"/>
      <c r="AR724" s="32"/>
    </row>
    <row r="725" spans="13:44">
      <c r="M725" s="5"/>
      <c r="N725" s="5"/>
      <c r="O725" s="5"/>
      <c r="P725" s="5"/>
      <c r="AM725" s="5"/>
      <c r="AR725" s="32"/>
    </row>
    <row r="726" spans="13:44">
      <c r="M726" s="5"/>
      <c r="N726" s="5"/>
      <c r="O726" s="5"/>
      <c r="P726" s="5"/>
      <c r="AM726" s="5"/>
      <c r="AR726" s="32"/>
    </row>
    <row r="727" spans="13:44">
      <c r="M727" s="5"/>
      <c r="N727" s="5"/>
      <c r="O727" s="5"/>
      <c r="P727" s="5"/>
      <c r="AM727" s="5"/>
      <c r="AR727" s="32"/>
    </row>
    <row r="728" spans="13:44">
      <c r="M728" s="5"/>
      <c r="N728" s="5"/>
      <c r="O728" s="5"/>
      <c r="P728" s="5"/>
      <c r="AM728" s="5"/>
      <c r="AR728" s="32"/>
    </row>
    <row r="729" spans="13:44">
      <c r="M729" s="5"/>
      <c r="N729" s="5"/>
      <c r="O729" s="5"/>
      <c r="P729" s="5"/>
      <c r="AM729" s="5"/>
      <c r="AR729" s="32"/>
    </row>
    <row r="730" spans="13:44">
      <c r="M730" s="5"/>
      <c r="N730" s="5"/>
      <c r="O730" s="5"/>
      <c r="P730" s="5"/>
      <c r="AM730" s="5"/>
      <c r="AR730" s="32"/>
    </row>
    <row r="731" spans="13:44">
      <c r="M731" s="5"/>
      <c r="N731" s="5"/>
      <c r="O731" s="5"/>
      <c r="P731" s="5"/>
      <c r="AM731" s="5"/>
      <c r="AR731" s="32"/>
    </row>
    <row r="732" spans="13:44">
      <c r="M732" s="5"/>
      <c r="N732" s="5"/>
      <c r="O732" s="5"/>
      <c r="P732" s="5"/>
      <c r="AM732" s="5"/>
      <c r="AR732" s="32"/>
    </row>
    <row r="733" spans="13:44">
      <c r="M733" s="5"/>
      <c r="N733" s="5"/>
      <c r="O733" s="5"/>
      <c r="P733" s="5"/>
      <c r="AM733" s="5"/>
      <c r="AR733" s="32"/>
    </row>
    <row r="734" spans="13:44">
      <c r="M734" s="5"/>
      <c r="N734" s="5"/>
      <c r="O734" s="5"/>
      <c r="P734" s="5"/>
      <c r="AM734" s="5"/>
      <c r="AR734" s="32"/>
    </row>
    <row r="735" spans="13:44">
      <c r="M735" s="5"/>
      <c r="N735" s="5"/>
      <c r="O735" s="5"/>
      <c r="P735" s="5"/>
      <c r="AM735" s="5"/>
      <c r="AR735" s="32"/>
    </row>
    <row r="736" spans="13:44">
      <c r="M736" s="5"/>
      <c r="N736" s="5"/>
      <c r="O736" s="5"/>
      <c r="P736" s="5"/>
      <c r="AM736" s="5"/>
      <c r="AR736" s="32"/>
    </row>
    <row r="737" spans="13:44">
      <c r="M737" s="5"/>
      <c r="N737" s="5"/>
      <c r="O737" s="5"/>
      <c r="P737" s="5"/>
      <c r="AM737" s="5"/>
      <c r="AR737" s="32"/>
    </row>
    <row r="738" spans="13:44">
      <c r="M738" s="5"/>
      <c r="N738" s="5"/>
      <c r="O738" s="5"/>
      <c r="P738" s="5"/>
      <c r="AM738" s="5"/>
      <c r="AR738" s="32"/>
    </row>
    <row r="739" spans="13:44">
      <c r="M739" s="5"/>
      <c r="N739" s="5"/>
      <c r="O739" s="5"/>
      <c r="P739" s="5"/>
      <c r="AM739" s="5"/>
      <c r="AR739" s="32"/>
    </row>
    <row r="740" spans="13:44">
      <c r="M740" s="5"/>
      <c r="N740" s="5"/>
      <c r="O740" s="5"/>
      <c r="P740" s="5"/>
      <c r="AM740" s="5"/>
      <c r="AR740" s="32"/>
    </row>
    <row r="741" spans="13:44">
      <c r="M741" s="5"/>
      <c r="N741" s="5"/>
      <c r="O741" s="5"/>
      <c r="P741" s="5"/>
      <c r="AM741" s="5"/>
      <c r="AR741" s="32"/>
    </row>
    <row r="742" spans="13:44">
      <c r="M742" s="5"/>
      <c r="N742" s="5"/>
      <c r="O742" s="5"/>
      <c r="P742" s="5"/>
      <c r="AM742" s="5"/>
      <c r="AR742" s="32"/>
    </row>
    <row r="743" spans="13:44">
      <c r="M743" s="5"/>
      <c r="N743" s="5"/>
      <c r="O743" s="5"/>
      <c r="P743" s="5"/>
      <c r="AM743" s="5"/>
      <c r="AR743" s="32"/>
    </row>
    <row r="744" spans="13:44">
      <c r="M744" s="5"/>
      <c r="N744" s="5"/>
      <c r="O744" s="5"/>
      <c r="P744" s="5"/>
      <c r="AM744" s="5"/>
      <c r="AR744" s="32"/>
    </row>
    <row r="745" spans="13:44">
      <c r="M745" s="5"/>
      <c r="N745" s="5"/>
      <c r="O745" s="5"/>
      <c r="P745" s="5"/>
      <c r="AM745" s="5"/>
      <c r="AR745" s="32"/>
    </row>
    <row r="746" spans="13:44">
      <c r="M746" s="5"/>
      <c r="N746" s="5"/>
      <c r="O746" s="5"/>
      <c r="P746" s="5"/>
      <c r="AM746" s="5"/>
      <c r="AR746" s="32"/>
    </row>
    <row r="747" spans="13:44">
      <c r="M747" s="5"/>
      <c r="N747" s="5"/>
      <c r="O747" s="5"/>
      <c r="P747" s="5"/>
      <c r="AM747" s="5"/>
      <c r="AR747" s="32"/>
    </row>
    <row r="748" spans="13:44">
      <c r="M748" s="5"/>
      <c r="N748" s="5"/>
      <c r="O748" s="5"/>
      <c r="P748" s="5"/>
      <c r="AM748" s="5"/>
      <c r="AR748" s="32"/>
    </row>
    <row r="749" spans="13:44">
      <c r="M749" s="5"/>
      <c r="N749" s="5"/>
      <c r="O749" s="5"/>
      <c r="P749" s="5"/>
      <c r="AM749" s="5"/>
      <c r="AR749" s="32"/>
    </row>
    <row r="750" spans="13:44">
      <c r="M750" s="5"/>
      <c r="N750" s="5"/>
      <c r="O750" s="5"/>
      <c r="P750" s="5"/>
      <c r="AM750" s="5"/>
      <c r="AR750" s="32"/>
    </row>
    <row r="751" spans="13:44">
      <c r="M751" s="5"/>
      <c r="N751" s="5"/>
      <c r="O751" s="5"/>
      <c r="P751" s="5"/>
      <c r="AM751" s="5"/>
      <c r="AR751" s="32"/>
    </row>
    <row r="752" spans="13:44">
      <c r="M752" s="5"/>
      <c r="N752" s="5"/>
      <c r="O752" s="5"/>
      <c r="P752" s="5"/>
      <c r="AM752" s="5"/>
      <c r="AR752" s="32"/>
    </row>
    <row r="753" spans="13:44">
      <c r="M753" s="5"/>
      <c r="N753" s="5"/>
      <c r="O753" s="5"/>
      <c r="P753" s="5"/>
      <c r="AM753" s="5"/>
      <c r="AR753" s="32"/>
    </row>
    <row r="754" spans="13:44">
      <c r="M754" s="5"/>
      <c r="N754" s="5"/>
      <c r="O754" s="5"/>
      <c r="P754" s="5"/>
      <c r="AM754" s="5"/>
      <c r="AR754" s="32"/>
    </row>
    <row r="755" spans="13:44">
      <c r="M755" s="5"/>
      <c r="N755" s="5"/>
      <c r="O755" s="5"/>
      <c r="P755" s="5"/>
      <c r="AM755" s="5"/>
      <c r="AR755" s="32"/>
    </row>
    <row r="756" spans="13:44">
      <c r="M756" s="5"/>
      <c r="N756" s="5"/>
      <c r="O756" s="5"/>
      <c r="P756" s="5"/>
      <c r="AM756" s="5"/>
      <c r="AR756" s="32"/>
    </row>
    <row r="757" spans="13:44">
      <c r="M757" s="5"/>
      <c r="N757" s="5"/>
      <c r="O757" s="5"/>
      <c r="P757" s="5"/>
      <c r="AM757" s="5"/>
      <c r="AR757" s="32"/>
    </row>
    <row r="758" spans="13:44">
      <c r="M758" s="5"/>
      <c r="N758" s="5"/>
      <c r="O758" s="5"/>
      <c r="P758" s="5"/>
      <c r="AM758" s="5"/>
      <c r="AR758" s="32"/>
    </row>
    <row r="759" spans="13:44">
      <c r="M759" s="5"/>
      <c r="N759" s="5"/>
      <c r="O759" s="5"/>
      <c r="P759" s="5"/>
      <c r="AM759" s="5"/>
      <c r="AR759" s="32"/>
    </row>
    <row r="760" spans="13:44">
      <c r="M760" s="5"/>
      <c r="N760" s="5"/>
      <c r="O760" s="5"/>
      <c r="P760" s="5"/>
      <c r="AM760" s="5"/>
      <c r="AR760" s="32"/>
    </row>
    <row r="761" spans="13:44">
      <c r="M761" s="5"/>
      <c r="N761" s="5"/>
      <c r="O761" s="5"/>
      <c r="P761" s="5"/>
      <c r="AM761" s="5"/>
      <c r="AR761" s="32"/>
    </row>
    <row r="762" spans="13:44">
      <c r="M762" s="5"/>
      <c r="N762" s="5"/>
      <c r="O762" s="5"/>
      <c r="P762" s="5"/>
      <c r="AM762" s="5"/>
      <c r="AR762" s="32"/>
    </row>
    <row r="763" spans="13:44">
      <c r="M763" s="5"/>
      <c r="N763" s="5"/>
      <c r="O763" s="5"/>
      <c r="P763" s="5"/>
      <c r="AM763" s="5"/>
      <c r="AR763" s="32"/>
    </row>
    <row r="764" spans="13:44">
      <c r="M764" s="5"/>
      <c r="N764" s="5"/>
      <c r="O764" s="5"/>
      <c r="P764" s="5"/>
      <c r="AM764" s="5"/>
      <c r="AR764" s="32"/>
    </row>
    <row r="765" spans="13:44">
      <c r="M765" s="5"/>
      <c r="N765" s="5"/>
      <c r="O765" s="5"/>
      <c r="P765" s="5"/>
      <c r="AM765" s="5"/>
      <c r="AR765" s="32"/>
    </row>
    <row r="766" spans="13:44">
      <c r="M766" s="5"/>
      <c r="N766" s="5"/>
      <c r="O766" s="5"/>
      <c r="P766" s="5"/>
      <c r="AM766" s="5"/>
      <c r="AR766" s="32"/>
    </row>
    <row r="767" spans="13:44">
      <c r="M767" s="5"/>
      <c r="N767" s="5"/>
      <c r="O767" s="5"/>
      <c r="P767" s="5"/>
      <c r="AM767" s="5"/>
      <c r="AR767" s="32"/>
    </row>
    <row r="768" spans="13:44">
      <c r="M768" s="5"/>
      <c r="N768" s="5"/>
      <c r="O768" s="5"/>
      <c r="P768" s="5"/>
      <c r="AM768" s="5"/>
      <c r="AR768" s="32"/>
    </row>
    <row r="769" spans="13:44">
      <c r="M769" s="5"/>
      <c r="N769" s="5"/>
      <c r="O769" s="5"/>
      <c r="P769" s="5"/>
      <c r="AM769" s="5"/>
      <c r="AR769" s="32"/>
    </row>
    <row r="770" spans="13:44">
      <c r="M770" s="5"/>
      <c r="N770" s="5"/>
      <c r="O770" s="5"/>
      <c r="P770" s="5"/>
      <c r="AM770" s="5"/>
      <c r="AR770" s="32"/>
    </row>
    <row r="771" spans="13:44">
      <c r="M771" s="5"/>
      <c r="N771" s="5"/>
      <c r="O771" s="5"/>
      <c r="P771" s="5"/>
      <c r="AM771" s="5"/>
      <c r="AR771" s="32"/>
    </row>
    <row r="772" spans="13:44">
      <c r="M772" s="5"/>
      <c r="N772" s="5"/>
      <c r="O772" s="5"/>
      <c r="P772" s="5"/>
      <c r="AM772" s="5"/>
      <c r="AR772" s="32"/>
    </row>
    <row r="773" spans="13:44">
      <c r="M773" s="5"/>
      <c r="N773" s="5"/>
      <c r="O773" s="5"/>
      <c r="P773" s="5"/>
      <c r="AM773" s="5"/>
      <c r="AR773" s="32"/>
    </row>
    <row r="774" spans="13:44">
      <c r="M774" s="5"/>
      <c r="N774" s="5"/>
      <c r="O774" s="5"/>
      <c r="P774" s="5"/>
      <c r="AM774" s="5"/>
      <c r="AR774" s="32"/>
    </row>
    <row r="775" spans="13:44">
      <c r="M775" s="5"/>
      <c r="N775" s="5"/>
      <c r="O775" s="5"/>
      <c r="P775" s="5"/>
      <c r="AM775" s="5"/>
      <c r="AR775" s="32"/>
    </row>
    <row r="776" spans="13:44">
      <c r="M776" s="5"/>
      <c r="N776" s="5"/>
      <c r="O776" s="5"/>
      <c r="P776" s="5"/>
      <c r="AM776" s="5"/>
      <c r="AR776" s="32"/>
    </row>
    <row r="777" spans="13:44">
      <c r="M777" s="5"/>
      <c r="N777" s="5"/>
      <c r="O777" s="5"/>
      <c r="P777" s="5"/>
      <c r="AM777" s="5"/>
      <c r="AR777" s="32"/>
    </row>
    <row r="778" spans="13:44">
      <c r="M778" s="5"/>
      <c r="N778" s="5"/>
      <c r="O778" s="5"/>
      <c r="P778" s="5"/>
      <c r="AM778" s="5"/>
      <c r="AR778" s="32"/>
    </row>
    <row r="779" spans="13:44">
      <c r="M779" s="5"/>
      <c r="N779" s="5"/>
      <c r="O779" s="5"/>
      <c r="P779" s="5"/>
      <c r="AM779" s="5"/>
      <c r="AR779" s="32"/>
    </row>
    <row r="780" spans="13:44">
      <c r="M780" s="5"/>
      <c r="N780" s="5"/>
      <c r="O780" s="5"/>
      <c r="P780" s="5"/>
      <c r="AM780" s="5"/>
      <c r="AR780" s="32"/>
    </row>
    <row r="781" spans="13:44">
      <c r="M781" s="5"/>
      <c r="N781" s="5"/>
      <c r="O781" s="5"/>
      <c r="P781" s="5"/>
      <c r="AM781" s="5"/>
      <c r="AR781" s="32"/>
    </row>
    <row r="782" spans="13:44">
      <c r="M782" s="5"/>
      <c r="N782" s="5"/>
      <c r="O782" s="5"/>
      <c r="P782" s="5"/>
      <c r="AM782" s="5"/>
      <c r="AR782" s="32"/>
    </row>
    <row r="783" spans="13:44">
      <c r="M783" s="5"/>
      <c r="N783" s="5"/>
      <c r="O783" s="5"/>
      <c r="P783" s="5"/>
      <c r="AM783" s="5"/>
      <c r="AR783" s="32"/>
    </row>
    <row r="784" spans="13:44">
      <c r="M784" s="5"/>
      <c r="N784" s="5"/>
      <c r="O784" s="5"/>
      <c r="P784" s="5"/>
      <c r="AM784" s="5"/>
      <c r="AR784" s="32"/>
    </row>
    <row r="785" spans="13:44">
      <c r="M785" s="5"/>
      <c r="N785" s="5"/>
      <c r="O785" s="5"/>
      <c r="P785" s="5"/>
      <c r="AM785" s="5"/>
      <c r="AR785" s="32"/>
    </row>
    <row r="786" spans="13:44">
      <c r="M786" s="5"/>
      <c r="N786" s="5"/>
      <c r="O786" s="5"/>
      <c r="P786" s="5"/>
      <c r="AM786" s="5"/>
      <c r="AR786" s="32"/>
    </row>
    <row r="787" spans="13:44">
      <c r="M787" s="5"/>
      <c r="N787" s="5"/>
      <c r="O787" s="5"/>
      <c r="P787" s="5"/>
      <c r="AM787" s="5"/>
      <c r="AR787" s="32"/>
    </row>
    <row r="788" spans="13:44">
      <c r="M788" s="5"/>
      <c r="N788" s="5"/>
      <c r="O788" s="5"/>
      <c r="P788" s="5"/>
      <c r="AM788" s="5"/>
      <c r="AR788" s="32"/>
    </row>
    <row r="789" spans="13:44">
      <c r="M789" s="5"/>
      <c r="N789" s="5"/>
      <c r="O789" s="5"/>
      <c r="P789" s="5"/>
      <c r="AM789" s="5"/>
      <c r="AR789" s="32"/>
    </row>
    <row r="790" spans="13:44">
      <c r="M790" s="5"/>
      <c r="N790" s="5"/>
      <c r="O790" s="5"/>
      <c r="P790" s="5"/>
      <c r="AM790" s="5"/>
      <c r="AR790" s="32"/>
    </row>
    <row r="791" spans="13:44">
      <c r="M791" s="5"/>
      <c r="N791" s="5"/>
      <c r="O791" s="5"/>
      <c r="P791" s="5"/>
      <c r="AM791" s="5"/>
      <c r="AR791" s="32"/>
    </row>
    <row r="792" spans="13:44">
      <c r="M792" s="5"/>
      <c r="N792" s="5"/>
      <c r="O792" s="5"/>
      <c r="P792" s="5"/>
      <c r="AM792" s="5"/>
      <c r="AR792" s="32"/>
    </row>
    <row r="793" spans="13:44">
      <c r="M793" s="5"/>
      <c r="N793" s="5"/>
      <c r="O793" s="5"/>
      <c r="P793" s="5"/>
      <c r="AM793" s="5"/>
      <c r="AR793" s="32"/>
    </row>
    <row r="794" spans="13:44">
      <c r="M794" s="5"/>
      <c r="N794" s="5"/>
      <c r="O794" s="5"/>
      <c r="P794" s="5"/>
      <c r="AM794" s="5"/>
      <c r="AR794" s="32"/>
    </row>
    <row r="795" spans="13:44">
      <c r="M795" s="5"/>
      <c r="N795" s="5"/>
      <c r="O795" s="5"/>
      <c r="P795" s="5"/>
      <c r="AM795" s="5"/>
      <c r="AR795" s="32"/>
    </row>
    <row r="796" spans="13:44">
      <c r="M796" s="5"/>
      <c r="N796" s="5"/>
      <c r="O796" s="5"/>
      <c r="P796" s="5"/>
      <c r="AM796" s="5"/>
      <c r="AR796" s="32"/>
    </row>
    <row r="797" spans="13:44">
      <c r="M797" s="5"/>
      <c r="N797" s="5"/>
      <c r="O797" s="5"/>
      <c r="P797" s="5"/>
      <c r="AM797" s="5"/>
      <c r="AR797" s="32"/>
    </row>
    <row r="798" spans="13:44">
      <c r="M798" s="5"/>
      <c r="N798" s="5"/>
      <c r="O798" s="5"/>
      <c r="P798" s="5"/>
      <c r="AM798" s="5"/>
      <c r="AR798" s="32"/>
    </row>
    <row r="799" spans="13:44">
      <c r="M799" s="5"/>
      <c r="N799" s="5"/>
      <c r="O799" s="5"/>
      <c r="P799" s="5"/>
      <c r="AM799" s="5"/>
      <c r="AR799" s="32"/>
    </row>
    <row r="800" spans="13:44">
      <c r="M800" s="5"/>
      <c r="N800" s="5"/>
      <c r="O800" s="5"/>
      <c r="P800" s="5"/>
      <c r="AM800" s="5"/>
      <c r="AR800" s="32"/>
    </row>
    <row r="801" spans="13:44">
      <c r="M801" s="5"/>
      <c r="N801" s="5"/>
      <c r="O801" s="5"/>
      <c r="P801" s="5"/>
      <c r="AM801" s="5"/>
      <c r="AR801" s="32"/>
    </row>
    <row r="802" spans="13:44">
      <c r="M802" s="5"/>
      <c r="N802" s="5"/>
      <c r="O802" s="5"/>
      <c r="P802" s="5"/>
      <c r="AM802" s="5"/>
      <c r="AR802" s="32"/>
    </row>
    <row r="803" spans="13:44">
      <c r="M803" s="5"/>
      <c r="N803" s="5"/>
      <c r="O803" s="5"/>
      <c r="P803" s="5"/>
      <c r="AM803" s="5"/>
      <c r="AR803" s="32"/>
    </row>
    <row r="804" spans="13:44">
      <c r="M804" s="5"/>
      <c r="N804" s="5"/>
      <c r="O804" s="5"/>
      <c r="P804" s="5"/>
      <c r="AM804" s="5"/>
      <c r="AR804" s="32"/>
    </row>
    <row r="805" spans="13:44">
      <c r="M805" s="5"/>
      <c r="N805" s="5"/>
      <c r="O805" s="5"/>
      <c r="P805" s="5"/>
      <c r="AM805" s="5"/>
      <c r="AR805" s="32"/>
    </row>
    <row r="806" spans="13:44">
      <c r="M806" s="5"/>
      <c r="N806" s="5"/>
      <c r="O806" s="5"/>
      <c r="P806" s="5"/>
      <c r="AM806" s="5"/>
      <c r="AR806" s="32"/>
    </row>
    <row r="807" spans="13:44">
      <c r="M807" s="5"/>
      <c r="N807" s="5"/>
      <c r="O807" s="5"/>
      <c r="P807" s="5"/>
      <c r="AM807" s="5"/>
      <c r="AR807" s="32"/>
    </row>
    <row r="808" spans="13:44">
      <c r="M808" s="5"/>
      <c r="N808" s="5"/>
      <c r="O808" s="5"/>
      <c r="P808" s="5"/>
      <c r="AM808" s="5"/>
      <c r="AR808" s="32"/>
    </row>
    <row r="809" spans="13:44">
      <c r="M809" s="5"/>
      <c r="N809" s="5"/>
      <c r="O809" s="5"/>
      <c r="P809" s="5"/>
      <c r="AM809" s="5"/>
      <c r="AR809" s="32"/>
    </row>
    <row r="810" spans="13:44">
      <c r="M810" s="5"/>
      <c r="N810" s="5"/>
      <c r="O810" s="5"/>
      <c r="P810" s="5"/>
      <c r="AM810" s="5"/>
      <c r="AR810" s="32"/>
    </row>
    <row r="811" spans="13:44">
      <c r="M811" s="5"/>
      <c r="N811" s="5"/>
      <c r="O811" s="5"/>
      <c r="P811" s="5"/>
      <c r="AM811" s="5"/>
      <c r="AR811" s="32"/>
    </row>
    <row r="812" spans="13:44">
      <c r="M812" s="5"/>
      <c r="N812" s="5"/>
      <c r="O812" s="5"/>
      <c r="P812" s="5"/>
      <c r="AM812" s="5"/>
      <c r="AR812" s="32"/>
    </row>
    <row r="813" spans="13:44">
      <c r="M813" s="5"/>
      <c r="N813" s="5"/>
      <c r="O813" s="5"/>
      <c r="P813" s="5"/>
      <c r="AM813" s="5"/>
      <c r="AR813" s="32"/>
    </row>
    <row r="814" spans="13:44">
      <c r="M814" s="5"/>
      <c r="N814" s="5"/>
      <c r="O814" s="5"/>
      <c r="P814" s="5"/>
      <c r="AM814" s="5"/>
      <c r="AR814" s="32"/>
    </row>
    <row r="815" spans="13:44">
      <c r="M815" s="5"/>
      <c r="N815" s="5"/>
      <c r="O815" s="5"/>
      <c r="P815" s="5"/>
      <c r="AM815" s="5"/>
      <c r="AR815" s="32"/>
    </row>
    <row r="816" spans="13:44">
      <c r="M816" s="5"/>
      <c r="N816" s="5"/>
      <c r="O816" s="5"/>
      <c r="P816" s="5"/>
      <c r="AM816" s="5"/>
      <c r="AR816" s="32"/>
    </row>
    <row r="817" spans="13:44">
      <c r="M817" s="5"/>
      <c r="N817" s="5"/>
      <c r="O817" s="5"/>
      <c r="P817" s="5"/>
      <c r="AM817" s="5"/>
      <c r="AR817" s="32"/>
    </row>
    <row r="818" spans="13:44">
      <c r="M818" s="5"/>
      <c r="N818" s="5"/>
      <c r="O818" s="5"/>
      <c r="P818" s="5"/>
      <c r="AM818" s="5"/>
      <c r="AR818" s="32"/>
    </row>
    <row r="819" spans="13:44">
      <c r="M819" s="5"/>
      <c r="N819" s="5"/>
      <c r="O819" s="5"/>
      <c r="P819" s="5"/>
      <c r="AM819" s="5"/>
      <c r="AR819" s="32"/>
    </row>
    <row r="820" spans="13:44">
      <c r="M820" s="5"/>
      <c r="N820" s="5"/>
      <c r="O820" s="5"/>
      <c r="P820" s="5"/>
      <c r="AM820" s="5"/>
      <c r="AR820" s="32"/>
    </row>
    <row r="821" spans="13:44">
      <c r="M821" s="5"/>
      <c r="N821" s="5"/>
      <c r="O821" s="5"/>
      <c r="P821" s="5"/>
      <c r="AM821" s="5"/>
      <c r="AR821" s="32"/>
    </row>
    <row r="822" spans="13:44">
      <c r="M822" s="5"/>
      <c r="N822" s="5"/>
      <c r="O822" s="5"/>
      <c r="P822" s="5"/>
      <c r="AM822" s="5"/>
      <c r="AR822" s="32"/>
    </row>
    <row r="823" spans="13:44">
      <c r="M823" s="5"/>
      <c r="N823" s="5"/>
      <c r="O823" s="5"/>
      <c r="P823" s="5"/>
      <c r="AM823" s="5"/>
      <c r="AR823" s="32"/>
    </row>
    <row r="824" spans="13:44">
      <c r="M824" s="5"/>
      <c r="N824" s="5"/>
      <c r="O824" s="5"/>
      <c r="P824" s="5"/>
      <c r="AM824" s="5"/>
      <c r="AR824" s="32"/>
    </row>
    <row r="825" spans="13:44">
      <c r="M825" s="5"/>
      <c r="N825" s="5"/>
      <c r="O825" s="5"/>
      <c r="P825" s="5"/>
      <c r="AM825" s="5"/>
      <c r="AR825" s="32"/>
    </row>
    <row r="826" spans="13:44">
      <c r="M826" s="5"/>
      <c r="N826" s="5"/>
      <c r="O826" s="5"/>
      <c r="P826" s="5"/>
      <c r="AM826" s="5"/>
      <c r="AR826" s="32"/>
    </row>
    <row r="827" spans="13:44">
      <c r="M827" s="5"/>
      <c r="N827" s="5"/>
      <c r="O827" s="5"/>
      <c r="P827" s="5"/>
      <c r="AM827" s="5"/>
      <c r="AR827" s="32"/>
    </row>
    <row r="828" spans="13:44">
      <c r="M828" s="5"/>
      <c r="N828" s="5"/>
      <c r="O828" s="5"/>
      <c r="P828" s="5"/>
      <c r="AM828" s="5"/>
      <c r="AR828" s="32"/>
    </row>
    <row r="829" spans="13:44">
      <c r="M829" s="5"/>
      <c r="N829" s="5"/>
      <c r="O829" s="5"/>
      <c r="P829" s="5"/>
      <c r="AM829" s="5"/>
      <c r="AR829" s="32"/>
    </row>
    <row r="830" spans="13:44">
      <c r="M830" s="5"/>
      <c r="N830" s="5"/>
      <c r="O830" s="5"/>
      <c r="P830" s="5"/>
      <c r="AM830" s="5"/>
      <c r="AR830" s="32"/>
    </row>
    <row r="831" spans="13:44">
      <c r="M831" s="5"/>
      <c r="N831" s="5"/>
      <c r="O831" s="5"/>
      <c r="P831" s="5"/>
      <c r="AM831" s="5"/>
      <c r="AR831" s="32"/>
    </row>
    <row r="832" spans="13:44">
      <c r="M832" s="5"/>
      <c r="N832" s="5"/>
      <c r="O832" s="5"/>
      <c r="P832" s="5"/>
      <c r="AM832" s="5"/>
      <c r="AR832" s="32"/>
    </row>
    <row r="833" spans="13:44">
      <c r="M833" s="5"/>
      <c r="N833" s="5"/>
      <c r="O833" s="5"/>
      <c r="P833" s="5"/>
      <c r="AM833" s="5"/>
      <c r="AR833" s="32"/>
    </row>
    <row r="834" spans="13:44">
      <c r="M834" s="5"/>
      <c r="N834" s="5"/>
      <c r="O834" s="5"/>
      <c r="P834" s="5"/>
      <c r="AM834" s="5"/>
      <c r="AR834" s="32"/>
    </row>
    <row r="835" spans="13:44">
      <c r="M835" s="5"/>
      <c r="N835" s="5"/>
      <c r="O835" s="5"/>
      <c r="P835" s="5"/>
      <c r="AM835" s="5"/>
      <c r="AR835" s="32"/>
    </row>
    <row r="836" spans="13:44">
      <c r="M836" s="5"/>
      <c r="N836" s="5"/>
      <c r="O836" s="5"/>
      <c r="P836" s="5"/>
      <c r="AM836" s="5"/>
      <c r="AR836" s="32"/>
    </row>
    <row r="837" spans="13:44">
      <c r="M837" s="5"/>
      <c r="N837" s="5"/>
      <c r="O837" s="5"/>
      <c r="P837" s="5"/>
      <c r="AM837" s="5"/>
      <c r="AR837" s="32"/>
    </row>
    <row r="838" spans="13:44">
      <c r="M838" s="5"/>
      <c r="N838" s="5"/>
      <c r="O838" s="5"/>
      <c r="P838" s="5"/>
      <c r="AM838" s="5"/>
      <c r="AR838" s="32"/>
    </row>
    <row r="839" spans="13:44">
      <c r="M839" s="5"/>
      <c r="N839" s="5"/>
      <c r="O839" s="5"/>
      <c r="P839" s="5"/>
      <c r="AM839" s="5"/>
      <c r="AR839" s="32"/>
    </row>
    <row r="840" spans="13:44">
      <c r="M840" s="5"/>
      <c r="N840" s="5"/>
      <c r="O840" s="5"/>
      <c r="P840" s="5"/>
      <c r="AM840" s="5"/>
      <c r="AR840" s="32"/>
    </row>
    <row r="841" spans="13:44">
      <c r="M841" s="5"/>
      <c r="N841" s="5"/>
      <c r="O841" s="5"/>
      <c r="P841" s="5"/>
      <c r="AM841" s="5"/>
      <c r="AR841" s="32"/>
    </row>
    <row r="842" spans="13:44">
      <c r="M842" s="5"/>
      <c r="N842" s="5"/>
      <c r="O842" s="5"/>
      <c r="P842" s="5"/>
      <c r="AM842" s="5"/>
      <c r="AR842" s="32"/>
    </row>
    <row r="843" spans="13:44">
      <c r="M843" s="5"/>
      <c r="N843" s="5"/>
      <c r="O843" s="5"/>
      <c r="P843" s="5"/>
      <c r="AM843" s="5"/>
      <c r="AR843" s="32"/>
    </row>
    <row r="844" spans="13:44">
      <c r="M844" s="5"/>
      <c r="N844" s="5"/>
      <c r="O844" s="5"/>
      <c r="P844" s="5"/>
      <c r="AM844" s="5"/>
      <c r="AR844" s="32"/>
    </row>
    <row r="845" spans="13:44">
      <c r="M845" s="5"/>
      <c r="N845" s="5"/>
      <c r="O845" s="5"/>
      <c r="P845" s="5"/>
      <c r="AM845" s="5"/>
      <c r="AR845" s="32"/>
    </row>
    <row r="846" spans="13:44">
      <c r="M846" s="5"/>
      <c r="N846" s="5"/>
      <c r="O846" s="5"/>
      <c r="P846" s="5"/>
      <c r="AM846" s="5"/>
      <c r="AR846" s="32"/>
    </row>
    <row r="847" spans="13:44">
      <c r="M847" s="5"/>
      <c r="N847" s="5"/>
      <c r="O847" s="5"/>
      <c r="P847" s="5"/>
      <c r="AM847" s="5"/>
      <c r="AR847" s="32"/>
    </row>
    <row r="848" spans="13:44">
      <c r="M848" s="5"/>
      <c r="N848" s="5"/>
      <c r="O848" s="5"/>
      <c r="P848" s="5"/>
      <c r="AM848" s="5"/>
      <c r="AR848" s="32"/>
    </row>
    <row r="849" spans="13:44">
      <c r="M849" s="5"/>
      <c r="N849" s="5"/>
      <c r="O849" s="5"/>
      <c r="P849" s="5"/>
      <c r="AM849" s="5"/>
      <c r="AR849" s="32"/>
    </row>
    <row r="850" spans="13:44">
      <c r="M850" s="5"/>
      <c r="N850" s="5"/>
      <c r="O850" s="5"/>
      <c r="P850" s="5"/>
      <c r="AM850" s="5"/>
      <c r="AR850" s="32"/>
    </row>
    <row r="851" spans="13:44">
      <c r="M851" s="5"/>
      <c r="N851" s="5"/>
      <c r="O851" s="5"/>
      <c r="P851" s="5"/>
      <c r="AM851" s="5"/>
      <c r="AR851" s="32"/>
    </row>
    <row r="852" spans="13:44">
      <c r="M852" s="5"/>
      <c r="N852" s="5"/>
      <c r="O852" s="5"/>
      <c r="P852" s="5"/>
      <c r="AM852" s="5"/>
      <c r="AR852" s="32"/>
    </row>
    <row r="853" spans="13:44">
      <c r="M853" s="5"/>
      <c r="N853" s="5"/>
      <c r="O853" s="5"/>
      <c r="P853" s="5"/>
      <c r="AM853" s="5"/>
      <c r="AR853" s="32"/>
    </row>
    <row r="854" spans="13:44">
      <c r="M854" s="5"/>
      <c r="N854" s="5"/>
      <c r="O854" s="5"/>
      <c r="P854" s="5"/>
      <c r="AM854" s="5"/>
      <c r="AR854" s="32"/>
    </row>
    <row r="855" spans="13:44">
      <c r="M855" s="5"/>
      <c r="N855" s="5"/>
      <c r="O855" s="5"/>
      <c r="P855" s="5"/>
      <c r="AM855" s="5"/>
      <c r="AR855" s="32"/>
    </row>
    <row r="856" spans="13:44">
      <c r="M856" s="5"/>
      <c r="N856" s="5"/>
      <c r="O856" s="5"/>
      <c r="P856" s="5"/>
      <c r="AM856" s="5"/>
      <c r="AR856" s="32"/>
    </row>
    <row r="857" spans="13:44">
      <c r="M857" s="5"/>
      <c r="N857" s="5"/>
      <c r="O857" s="5"/>
      <c r="P857" s="5"/>
      <c r="AM857" s="5"/>
      <c r="AR857" s="32"/>
    </row>
    <row r="858" spans="13:44">
      <c r="M858" s="5"/>
      <c r="N858" s="5"/>
      <c r="O858" s="5"/>
      <c r="P858" s="5"/>
      <c r="AM858" s="5"/>
      <c r="AR858" s="32"/>
    </row>
    <row r="859" spans="13:44">
      <c r="M859" s="5"/>
      <c r="N859" s="5"/>
      <c r="O859" s="5"/>
      <c r="P859" s="5"/>
      <c r="AM859" s="5"/>
      <c r="AR859" s="32"/>
    </row>
    <row r="860" spans="13:44">
      <c r="M860" s="5"/>
      <c r="N860" s="5"/>
      <c r="O860" s="5"/>
      <c r="P860" s="5"/>
      <c r="AM860" s="5"/>
      <c r="AR860" s="32"/>
    </row>
    <row r="861" spans="13:44">
      <c r="M861" s="5"/>
      <c r="N861" s="5"/>
      <c r="O861" s="5"/>
      <c r="P861" s="5"/>
      <c r="AM861" s="5"/>
      <c r="AR861" s="32"/>
    </row>
    <row r="862" spans="13:44">
      <c r="M862" s="5"/>
      <c r="N862" s="5"/>
      <c r="O862" s="5"/>
      <c r="P862" s="5"/>
      <c r="AM862" s="5"/>
      <c r="AR862" s="32"/>
    </row>
    <row r="863" spans="13:44">
      <c r="M863" s="5"/>
      <c r="N863" s="5"/>
      <c r="O863" s="5"/>
      <c r="P863" s="5"/>
      <c r="AM863" s="5"/>
      <c r="AR863" s="32"/>
    </row>
    <row r="864" spans="13:44">
      <c r="M864" s="5"/>
      <c r="N864" s="5"/>
      <c r="O864" s="5"/>
      <c r="P864" s="5"/>
      <c r="AM864" s="5"/>
      <c r="AR864" s="32"/>
    </row>
    <row r="865" spans="13:44">
      <c r="M865" s="5"/>
      <c r="N865" s="5"/>
      <c r="O865" s="5"/>
      <c r="P865" s="5"/>
      <c r="AM865" s="5"/>
      <c r="AR865" s="32"/>
    </row>
    <row r="866" spans="13:44">
      <c r="M866" s="5"/>
      <c r="N866" s="5"/>
      <c r="O866" s="5"/>
      <c r="P866" s="5"/>
      <c r="AM866" s="5"/>
      <c r="AR866" s="32"/>
    </row>
    <row r="867" spans="13:44">
      <c r="M867" s="5"/>
      <c r="N867" s="5"/>
      <c r="O867" s="5"/>
      <c r="P867" s="5"/>
      <c r="AM867" s="5"/>
      <c r="AR867" s="32"/>
    </row>
    <row r="868" spans="13:44">
      <c r="M868" s="5"/>
      <c r="N868" s="5"/>
      <c r="O868" s="5"/>
      <c r="P868" s="5"/>
      <c r="AM868" s="5"/>
      <c r="AR868" s="32"/>
    </row>
    <row r="869" spans="13:44">
      <c r="M869" s="5"/>
      <c r="N869" s="5"/>
      <c r="O869" s="5"/>
      <c r="P869" s="5"/>
      <c r="AM869" s="5"/>
      <c r="AR869" s="32"/>
    </row>
    <row r="870" spans="13:44">
      <c r="M870" s="5"/>
      <c r="N870" s="5"/>
      <c r="O870" s="5"/>
      <c r="P870" s="5"/>
      <c r="AM870" s="5"/>
      <c r="AR870" s="32"/>
    </row>
    <row r="871" spans="13:44">
      <c r="M871" s="5"/>
      <c r="N871" s="5"/>
      <c r="O871" s="5"/>
      <c r="P871" s="5"/>
      <c r="AM871" s="5"/>
      <c r="AR871" s="32"/>
    </row>
    <row r="872" spans="13:44">
      <c r="M872" s="5"/>
      <c r="N872" s="5"/>
      <c r="O872" s="5"/>
      <c r="P872" s="5"/>
      <c r="AM872" s="5"/>
      <c r="AR872" s="32"/>
    </row>
    <row r="873" spans="13:44">
      <c r="M873" s="5"/>
      <c r="N873" s="5"/>
      <c r="O873" s="5"/>
      <c r="P873" s="5"/>
      <c r="AM873" s="5"/>
      <c r="AR873" s="32"/>
    </row>
    <row r="874" spans="13:44">
      <c r="M874" s="5"/>
      <c r="N874" s="5"/>
      <c r="O874" s="5"/>
      <c r="P874" s="5"/>
      <c r="AM874" s="5"/>
      <c r="AR874" s="32"/>
    </row>
    <row r="875" spans="13:44">
      <c r="M875" s="5"/>
      <c r="N875" s="5"/>
      <c r="O875" s="5"/>
      <c r="P875" s="5"/>
      <c r="AM875" s="5"/>
      <c r="AR875" s="32"/>
    </row>
    <row r="876" spans="13:44">
      <c r="M876" s="5"/>
      <c r="N876" s="5"/>
      <c r="O876" s="5"/>
      <c r="P876" s="5"/>
      <c r="AM876" s="5"/>
      <c r="AR876" s="32"/>
    </row>
    <row r="877" spans="13:44">
      <c r="M877" s="5"/>
      <c r="N877" s="5"/>
      <c r="O877" s="5"/>
      <c r="P877" s="5"/>
      <c r="AM877" s="5"/>
      <c r="AR877" s="32"/>
    </row>
    <row r="878" spans="13:44">
      <c r="M878" s="5"/>
      <c r="N878" s="5"/>
      <c r="O878" s="5"/>
      <c r="P878" s="5"/>
      <c r="AM878" s="5"/>
      <c r="AR878" s="32"/>
    </row>
    <row r="879" spans="13:44">
      <c r="M879" s="5"/>
      <c r="N879" s="5"/>
      <c r="O879" s="5"/>
      <c r="P879" s="5"/>
      <c r="AM879" s="5"/>
      <c r="AR879" s="32"/>
    </row>
    <row r="880" spans="13:44">
      <c r="M880" s="5"/>
      <c r="N880" s="5"/>
      <c r="O880" s="5"/>
      <c r="P880" s="5"/>
      <c r="AM880" s="5"/>
      <c r="AR880" s="32"/>
    </row>
    <row r="881" spans="13:44">
      <c r="M881" s="5"/>
      <c r="N881" s="5"/>
      <c r="O881" s="5"/>
      <c r="P881" s="5"/>
      <c r="AM881" s="5"/>
      <c r="AR881" s="32"/>
    </row>
    <row r="882" spans="13:44">
      <c r="M882" s="5"/>
      <c r="N882" s="5"/>
      <c r="O882" s="5"/>
      <c r="P882" s="5"/>
      <c r="AM882" s="5"/>
      <c r="AR882" s="32"/>
    </row>
    <row r="883" spans="13:44">
      <c r="M883" s="5"/>
      <c r="N883" s="5"/>
      <c r="O883" s="5"/>
      <c r="P883" s="5"/>
      <c r="AM883" s="5"/>
      <c r="AR883" s="32"/>
    </row>
    <row r="884" spans="13:44">
      <c r="M884" s="5"/>
      <c r="N884" s="5"/>
      <c r="O884" s="5"/>
      <c r="P884" s="5"/>
      <c r="AM884" s="5"/>
      <c r="AR884" s="32"/>
    </row>
    <row r="885" spans="13:44">
      <c r="M885" s="5"/>
      <c r="N885" s="5"/>
      <c r="O885" s="5"/>
      <c r="P885" s="5"/>
      <c r="AM885" s="5"/>
      <c r="AR885" s="32"/>
    </row>
    <row r="886" spans="13:44">
      <c r="M886" s="5"/>
      <c r="N886" s="5"/>
      <c r="O886" s="5"/>
      <c r="P886" s="5"/>
      <c r="AM886" s="5"/>
      <c r="AR886" s="32"/>
    </row>
    <row r="887" spans="13:44">
      <c r="M887" s="5"/>
      <c r="N887" s="5"/>
      <c r="O887" s="5"/>
      <c r="P887" s="5"/>
      <c r="AM887" s="5"/>
      <c r="AR887" s="32"/>
    </row>
    <row r="888" spans="13:44">
      <c r="M888" s="5"/>
      <c r="N888" s="5"/>
      <c r="O888" s="5"/>
      <c r="P888" s="5"/>
      <c r="AM888" s="5"/>
      <c r="AR888" s="32"/>
    </row>
    <row r="889" spans="13:44">
      <c r="M889" s="5"/>
      <c r="N889" s="5"/>
      <c r="O889" s="5"/>
      <c r="P889" s="5"/>
      <c r="AM889" s="5"/>
      <c r="AR889" s="32"/>
    </row>
    <row r="890" spans="13:44">
      <c r="M890" s="5"/>
      <c r="N890" s="5"/>
      <c r="O890" s="5"/>
      <c r="P890" s="5"/>
      <c r="AM890" s="5"/>
      <c r="AR890" s="32"/>
    </row>
    <row r="891" spans="13:44">
      <c r="M891" s="5"/>
      <c r="N891" s="5"/>
      <c r="O891" s="5"/>
      <c r="P891" s="5"/>
      <c r="AM891" s="5"/>
      <c r="AR891" s="32"/>
    </row>
    <row r="892" spans="13:44">
      <c r="M892" s="5"/>
      <c r="N892" s="5"/>
      <c r="O892" s="5"/>
      <c r="P892" s="5"/>
      <c r="AM892" s="5"/>
      <c r="AR892" s="32"/>
    </row>
    <row r="893" spans="13:44">
      <c r="M893" s="5"/>
      <c r="N893" s="5"/>
      <c r="O893" s="5"/>
      <c r="P893" s="5"/>
      <c r="AM893" s="5"/>
      <c r="AR893" s="32"/>
    </row>
    <row r="894" spans="13:44">
      <c r="M894" s="5"/>
      <c r="N894" s="5"/>
      <c r="O894" s="5"/>
      <c r="P894" s="5"/>
      <c r="AM894" s="5"/>
      <c r="AR894" s="32"/>
    </row>
    <row r="895" spans="13:44">
      <c r="M895" s="5"/>
      <c r="N895" s="5"/>
      <c r="O895" s="5"/>
      <c r="P895" s="5"/>
      <c r="AM895" s="5"/>
      <c r="AR895" s="32"/>
    </row>
    <row r="896" spans="13:44">
      <c r="M896" s="5"/>
      <c r="N896" s="5"/>
      <c r="O896" s="5"/>
      <c r="P896" s="5"/>
      <c r="AM896" s="5"/>
      <c r="AR896" s="32"/>
    </row>
    <row r="897" spans="13:44">
      <c r="M897" s="5"/>
      <c r="N897" s="5"/>
      <c r="O897" s="5"/>
      <c r="P897" s="5"/>
      <c r="AM897" s="5"/>
      <c r="AR897" s="32"/>
    </row>
    <row r="898" spans="13:44">
      <c r="M898" s="5"/>
      <c r="N898" s="5"/>
      <c r="O898" s="5"/>
      <c r="P898" s="5"/>
      <c r="AM898" s="5"/>
      <c r="AR898" s="32"/>
    </row>
    <row r="899" spans="13:44">
      <c r="M899" s="5"/>
      <c r="N899" s="5"/>
      <c r="O899" s="5"/>
      <c r="P899" s="5"/>
      <c r="AM899" s="5"/>
      <c r="AR899" s="32"/>
    </row>
    <row r="900" spans="13:44">
      <c r="M900" s="5"/>
      <c r="N900" s="5"/>
      <c r="O900" s="5"/>
      <c r="P900" s="5"/>
      <c r="AM900" s="5"/>
      <c r="AR900" s="32"/>
    </row>
    <row r="901" spans="13:44">
      <c r="M901" s="5"/>
      <c r="N901" s="5"/>
      <c r="O901" s="5"/>
      <c r="P901" s="5"/>
      <c r="AM901" s="5"/>
      <c r="AR901" s="32"/>
    </row>
    <row r="902" spans="13:44">
      <c r="M902" s="5"/>
      <c r="N902" s="5"/>
      <c r="O902" s="5"/>
      <c r="P902" s="5"/>
      <c r="AM902" s="5"/>
      <c r="AR902" s="32"/>
    </row>
    <row r="903" spans="13:44">
      <c r="M903" s="5"/>
      <c r="N903" s="5"/>
      <c r="O903" s="5"/>
      <c r="P903" s="5"/>
      <c r="AM903" s="5"/>
      <c r="AR903" s="32"/>
    </row>
    <row r="904" spans="13:44">
      <c r="M904" s="5"/>
      <c r="N904" s="5"/>
      <c r="O904" s="5"/>
      <c r="P904" s="5"/>
      <c r="AM904" s="5"/>
      <c r="AR904" s="32"/>
    </row>
    <row r="905" spans="13:44">
      <c r="M905" s="5"/>
      <c r="N905" s="5"/>
      <c r="O905" s="5"/>
      <c r="P905" s="5"/>
      <c r="AM905" s="5"/>
      <c r="AR905" s="32"/>
    </row>
    <row r="906" spans="13:44">
      <c r="M906" s="5"/>
      <c r="N906" s="5"/>
      <c r="O906" s="5"/>
      <c r="P906" s="5"/>
      <c r="AM906" s="5"/>
      <c r="AR906" s="32"/>
    </row>
    <row r="907" spans="13:44">
      <c r="M907" s="5"/>
      <c r="N907" s="5"/>
      <c r="O907" s="5"/>
      <c r="P907" s="5"/>
      <c r="AM907" s="5"/>
      <c r="AR907" s="32"/>
    </row>
    <row r="908" spans="13:44">
      <c r="M908" s="5"/>
      <c r="N908" s="5"/>
      <c r="O908" s="5"/>
      <c r="P908" s="5"/>
      <c r="AM908" s="5"/>
      <c r="AR908" s="32"/>
    </row>
    <row r="909" spans="13:44">
      <c r="M909" s="5"/>
      <c r="N909" s="5"/>
      <c r="O909" s="5"/>
      <c r="P909" s="5"/>
      <c r="AM909" s="5"/>
      <c r="AR909" s="32"/>
    </row>
    <row r="910" spans="13:44">
      <c r="M910" s="5"/>
      <c r="N910" s="5"/>
      <c r="O910" s="5"/>
      <c r="P910" s="5"/>
      <c r="AM910" s="5"/>
      <c r="AR910" s="32"/>
    </row>
    <row r="911" spans="13:44">
      <c r="M911" s="5"/>
      <c r="N911" s="5"/>
      <c r="O911" s="5"/>
      <c r="P911" s="5"/>
      <c r="AM911" s="5"/>
      <c r="AR911" s="32"/>
    </row>
    <row r="912" spans="13:44">
      <c r="M912" s="5"/>
      <c r="N912" s="5"/>
      <c r="O912" s="5"/>
      <c r="P912" s="5"/>
      <c r="AM912" s="5"/>
      <c r="AR912" s="32"/>
    </row>
    <row r="913" spans="13:44">
      <c r="M913" s="5"/>
      <c r="N913" s="5"/>
      <c r="O913" s="5"/>
      <c r="P913" s="5"/>
      <c r="AM913" s="5"/>
      <c r="AR913" s="32"/>
    </row>
    <row r="914" spans="13:44">
      <c r="M914" s="5"/>
      <c r="N914" s="5"/>
      <c r="O914" s="5"/>
      <c r="P914" s="5"/>
      <c r="AM914" s="5"/>
      <c r="AR914" s="32"/>
    </row>
    <row r="915" spans="13:44">
      <c r="M915" s="5"/>
      <c r="N915" s="5"/>
      <c r="O915" s="5"/>
      <c r="P915" s="5"/>
      <c r="AM915" s="5"/>
      <c r="AR915" s="32"/>
    </row>
    <row r="916" spans="13:44">
      <c r="M916" s="5"/>
      <c r="N916" s="5"/>
      <c r="O916" s="5"/>
      <c r="P916" s="5"/>
      <c r="AM916" s="5"/>
      <c r="AR916" s="32"/>
    </row>
    <row r="917" spans="13:44">
      <c r="M917" s="5"/>
      <c r="N917" s="5"/>
      <c r="O917" s="5"/>
      <c r="P917" s="5"/>
      <c r="AM917" s="5"/>
      <c r="AR917" s="32"/>
    </row>
    <row r="918" spans="13:44">
      <c r="M918" s="5"/>
      <c r="N918" s="5"/>
      <c r="O918" s="5"/>
      <c r="P918" s="5"/>
      <c r="AM918" s="5"/>
      <c r="AR918" s="32"/>
    </row>
    <row r="919" spans="13:44">
      <c r="M919" s="5"/>
      <c r="N919" s="5"/>
      <c r="O919" s="5"/>
      <c r="P919" s="5"/>
      <c r="AM919" s="5"/>
      <c r="AR919" s="32"/>
    </row>
    <row r="920" spans="13:44">
      <c r="M920" s="5"/>
      <c r="N920" s="5"/>
      <c r="O920" s="5"/>
      <c r="P920" s="5"/>
      <c r="AM920" s="5"/>
      <c r="AR920" s="32"/>
    </row>
    <row r="921" spans="13:44">
      <c r="M921" s="5"/>
      <c r="N921" s="5"/>
      <c r="O921" s="5"/>
      <c r="P921" s="5"/>
      <c r="AM921" s="5"/>
      <c r="AR921" s="32"/>
    </row>
    <row r="922" spans="13:44">
      <c r="M922" s="5"/>
      <c r="N922" s="5"/>
      <c r="O922" s="5"/>
      <c r="P922" s="5"/>
      <c r="AM922" s="5"/>
      <c r="AR922" s="32"/>
    </row>
    <row r="923" spans="13:44">
      <c r="M923" s="5"/>
      <c r="N923" s="5"/>
      <c r="O923" s="5"/>
      <c r="P923" s="5"/>
      <c r="AM923" s="5"/>
      <c r="AR923" s="32"/>
    </row>
    <row r="924" spans="13:44">
      <c r="M924" s="5"/>
      <c r="N924" s="5"/>
      <c r="O924" s="5"/>
      <c r="P924" s="5"/>
      <c r="AM924" s="5"/>
      <c r="AR924" s="32"/>
    </row>
    <row r="925" spans="13:44">
      <c r="M925" s="5"/>
      <c r="N925" s="5"/>
      <c r="O925" s="5"/>
      <c r="P925" s="5"/>
      <c r="AM925" s="5"/>
      <c r="AR925" s="32"/>
    </row>
    <row r="926" spans="13:44">
      <c r="M926" s="5"/>
      <c r="N926" s="5"/>
      <c r="O926" s="5"/>
      <c r="P926" s="5"/>
      <c r="AM926" s="5"/>
      <c r="AR926" s="32"/>
    </row>
    <row r="927" spans="13:44">
      <c r="M927" s="5"/>
      <c r="N927" s="5"/>
      <c r="O927" s="5"/>
      <c r="P927" s="5"/>
      <c r="AM927" s="5"/>
      <c r="AR927" s="32"/>
    </row>
    <row r="928" spans="13:44">
      <c r="M928" s="5"/>
      <c r="N928" s="5"/>
      <c r="O928" s="5"/>
      <c r="P928" s="5"/>
      <c r="AM928" s="5"/>
      <c r="AR928" s="32"/>
    </row>
    <row r="929" spans="13:44">
      <c r="M929" s="5"/>
      <c r="N929" s="5"/>
      <c r="O929" s="5"/>
      <c r="P929" s="5"/>
      <c r="AM929" s="5"/>
      <c r="AR929" s="32"/>
    </row>
    <row r="930" spans="13:44">
      <c r="M930" s="5"/>
      <c r="N930" s="5"/>
      <c r="O930" s="5"/>
      <c r="P930" s="5"/>
      <c r="AM930" s="5"/>
      <c r="AR930" s="32"/>
    </row>
    <row r="931" spans="13:44">
      <c r="M931" s="5"/>
      <c r="N931" s="5"/>
      <c r="O931" s="5"/>
      <c r="P931" s="5"/>
      <c r="AM931" s="5"/>
      <c r="AR931" s="32"/>
    </row>
    <row r="932" spans="13:44">
      <c r="M932" s="5"/>
      <c r="N932" s="5"/>
      <c r="O932" s="5"/>
      <c r="P932" s="5"/>
      <c r="AM932" s="5"/>
      <c r="AR932" s="32"/>
    </row>
    <row r="933" spans="13:44">
      <c r="M933" s="5"/>
      <c r="N933" s="5"/>
      <c r="O933" s="5"/>
      <c r="P933" s="5"/>
      <c r="AM933" s="5"/>
      <c r="AR933" s="32"/>
    </row>
    <row r="934" spans="13:44">
      <c r="M934" s="5"/>
      <c r="N934" s="5"/>
      <c r="O934" s="5"/>
      <c r="P934" s="5"/>
      <c r="AM934" s="5"/>
      <c r="AR934" s="32"/>
    </row>
    <row r="935" spans="13:44">
      <c r="M935" s="5"/>
      <c r="N935" s="5"/>
      <c r="O935" s="5"/>
      <c r="P935" s="5"/>
      <c r="AM935" s="5"/>
      <c r="AR935" s="32"/>
    </row>
    <row r="936" spans="13:44">
      <c r="M936" s="5"/>
      <c r="N936" s="5"/>
      <c r="O936" s="5"/>
      <c r="P936" s="5"/>
      <c r="AM936" s="5"/>
      <c r="AR936" s="32"/>
    </row>
    <row r="937" spans="13:44">
      <c r="M937" s="5"/>
      <c r="N937" s="5"/>
      <c r="O937" s="5"/>
      <c r="P937" s="5"/>
      <c r="AM937" s="5"/>
      <c r="AR937" s="32"/>
    </row>
    <row r="938" spans="13:44">
      <c r="M938" s="5"/>
      <c r="N938" s="5"/>
      <c r="O938" s="5"/>
      <c r="P938" s="5"/>
      <c r="AM938" s="5"/>
      <c r="AR938" s="32"/>
    </row>
    <row r="939" spans="13:44">
      <c r="M939" s="5"/>
      <c r="N939" s="5"/>
      <c r="O939" s="5"/>
      <c r="P939" s="5"/>
      <c r="AM939" s="5"/>
      <c r="AR939" s="32"/>
    </row>
    <row r="940" spans="13:44">
      <c r="M940" s="5"/>
      <c r="N940" s="5"/>
      <c r="O940" s="5"/>
      <c r="P940" s="5"/>
      <c r="AM940" s="5"/>
      <c r="AR940" s="32"/>
    </row>
    <row r="941" spans="13:44">
      <c r="M941" s="5"/>
      <c r="N941" s="5"/>
      <c r="O941" s="5"/>
      <c r="P941" s="5"/>
      <c r="AM941" s="5"/>
      <c r="AR941" s="32"/>
    </row>
    <row r="942" spans="13:44">
      <c r="M942" s="5"/>
      <c r="N942" s="5"/>
      <c r="O942" s="5"/>
      <c r="P942" s="5"/>
      <c r="AM942" s="5"/>
      <c r="AR942" s="32"/>
    </row>
    <row r="943" spans="13:44">
      <c r="M943" s="5"/>
      <c r="N943" s="5"/>
      <c r="O943" s="5"/>
      <c r="P943" s="5"/>
      <c r="AM943" s="5"/>
      <c r="AR943" s="32"/>
    </row>
    <row r="944" spans="13:44">
      <c r="M944" s="5"/>
      <c r="N944" s="5"/>
      <c r="O944" s="5"/>
      <c r="P944" s="5"/>
      <c r="AM944" s="5"/>
      <c r="AR944" s="32"/>
    </row>
    <row r="945" spans="13:44">
      <c r="M945" s="5"/>
      <c r="N945" s="5"/>
      <c r="O945" s="5"/>
      <c r="P945" s="5"/>
      <c r="AM945" s="5"/>
      <c r="AR945" s="32"/>
    </row>
    <row r="946" spans="13:44">
      <c r="M946" s="5"/>
      <c r="N946" s="5"/>
      <c r="O946" s="5"/>
      <c r="P946" s="5"/>
      <c r="AM946" s="5"/>
      <c r="AR946" s="32"/>
    </row>
    <row r="947" spans="13:44">
      <c r="M947" s="5"/>
      <c r="N947" s="5"/>
      <c r="O947" s="5"/>
      <c r="P947" s="5"/>
      <c r="AM947" s="5"/>
      <c r="AR947" s="32"/>
    </row>
    <row r="948" spans="13:44">
      <c r="M948" s="5"/>
      <c r="N948" s="5"/>
      <c r="O948" s="5"/>
      <c r="P948" s="5"/>
      <c r="AM948" s="5"/>
      <c r="AR948" s="32"/>
    </row>
    <row r="949" spans="13:44">
      <c r="M949" s="5"/>
      <c r="N949" s="5"/>
      <c r="O949" s="5"/>
      <c r="P949" s="5"/>
      <c r="AM949" s="5"/>
      <c r="AR949" s="32"/>
    </row>
    <row r="950" spans="13:44">
      <c r="M950" s="5"/>
      <c r="N950" s="5"/>
      <c r="O950" s="5"/>
      <c r="P950" s="5"/>
      <c r="AM950" s="5"/>
      <c r="AR950" s="32"/>
    </row>
    <row r="951" spans="13:44">
      <c r="M951" s="5"/>
      <c r="N951" s="5"/>
      <c r="O951" s="5"/>
      <c r="P951" s="5"/>
      <c r="AM951" s="5"/>
      <c r="AR951" s="32"/>
    </row>
    <row r="952" spans="13:44">
      <c r="M952" s="5"/>
      <c r="N952" s="5"/>
      <c r="O952" s="5"/>
      <c r="P952" s="5"/>
      <c r="AM952" s="5"/>
      <c r="AR952" s="32"/>
    </row>
    <row r="953" spans="13:44">
      <c r="M953" s="5"/>
      <c r="N953" s="5"/>
      <c r="O953" s="5"/>
      <c r="P953" s="5"/>
      <c r="AM953" s="5"/>
      <c r="AR953" s="32"/>
    </row>
    <row r="954" spans="13:44">
      <c r="M954" s="5"/>
      <c r="N954" s="5"/>
      <c r="O954" s="5"/>
      <c r="P954" s="5"/>
      <c r="AM954" s="5"/>
      <c r="AR954" s="32"/>
    </row>
    <row r="955" spans="13:44">
      <c r="M955" s="5"/>
      <c r="N955" s="5"/>
      <c r="O955" s="5"/>
      <c r="P955" s="5"/>
      <c r="AM955" s="5"/>
      <c r="AR955" s="32"/>
    </row>
    <row r="956" spans="13:44">
      <c r="M956" s="5"/>
      <c r="N956" s="5"/>
      <c r="O956" s="5"/>
      <c r="P956" s="5"/>
      <c r="AM956" s="5"/>
      <c r="AR956" s="32"/>
    </row>
    <row r="957" spans="13:44">
      <c r="M957" s="5"/>
      <c r="N957" s="5"/>
      <c r="O957" s="5"/>
      <c r="P957" s="5"/>
      <c r="AM957" s="5"/>
      <c r="AR957" s="32"/>
    </row>
    <row r="958" spans="13:44">
      <c r="M958" s="5"/>
      <c r="N958" s="5"/>
      <c r="O958" s="5"/>
      <c r="P958" s="5"/>
      <c r="AM958" s="5"/>
      <c r="AR958" s="32"/>
    </row>
    <row r="959" spans="13:44">
      <c r="M959" s="5"/>
      <c r="N959" s="5"/>
      <c r="O959" s="5"/>
      <c r="P959" s="5"/>
      <c r="AM959" s="5"/>
      <c r="AR959" s="32"/>
    </row>
    <row r="960" spans="13:44">
      <c r="M960" s="5"/>
      <c r="N960" s="5"/>
      <c r="O960" s="5"/>
      <c r="P960" s="5"/>
      <c r="AM960" s="5"/>
      <c r="AR960" s="32"/>
    </row>
    <row r="961" spans="13:44">
      <c r="M961" s="5"/>
      <c r="N961" s="5"/>
      <c r="O961" s="5"/>
      <c r="P961" s="5"/>
      <c r="AM961" s="5"/>
      <c r="AR961" s="32"/>
    </row>
    <row r="962" spans="13:44">
      <c r="M962" s="5"/>
      <c r="N962" s="5"/>
      <c r="O962" s="5"/>
      <c r="P962" s="5"/>
      <c r="AM962" s="5"/>
      <c r="AR962" s="32"/>
    </row>
    <row r="963" spans="13:44">
      <c r="M963" s="5"/>
      <c r="N963" s="5"/>
      <c r="O963" s="5"/>
      <c r="P963" s="5"/>
      <c r="AM963" s="5"/>
      <c r="AR963" s="32"/>
    </row>
    <row r="964" spans="13:44">
      <c r="M964" s="5"/>
      <c r="N964" s="5"/>
      <c r="O964" s="5"/>
      <c r="P964" s="5"/>
      <c r="AM964" s="5"/>
      <c r="AR964" s="32"/>
    </row>
    <row r="965" spans="13:44">
      <c r="M965" s="5"/>
      <c r="N965" s="5"/>
      <c r="O965" s="5"/>
      <c r="P965" s="5"/>
      <c r="AM965" s="5"/>
      <c r="AR965" s="32"/>
    </row>
    <row r="966" spans="13:44">
      <c r="M966" s="5"/>
      <c r="N966" s="5"/>
      <c r="O966" s="5"/>
      <c r="P966" s="5"/>
      <c r="AM966" s="5"/>
      <c r="AR966" s="32"/>
    </row>
    <row r="967" spans="13:44">
      <c r="M967" s="5"/>
      <c r="N967" s="5"/>
      <c r="O967" s="5"/>
      <c r="P967" s="5"/>
      <c r="AM967" s="5"/>
      <c r="AR967" s="32"/>
    </row>
    <row r="968" spans="13:44">
      <c r="M968" s="5"/>
      <c r="N968" s="5"/>
      <c r="O968" s="5"/>
      <c r="P968" s="5"/>
      <c r="AM968" s="5"/>
      <c r="AR968" s="32"/>
    </row>
    <row r="969" spans="13:44">
      <c r="M969" s="5"/>
      <c r="N969" s="5"/>
      <c r="O969" s="5"/>
      <c r="P969" s="5"/>
      <c r="AM969" s="5"/>
      <c r="AR969" s="32"/>
    </row>
    <row r="970" spans="13:44">
      <c r="M970" s="5"/>
      <c r="N970" s="5"/>
      <c r="O970" s="5"/>
      <c r="P970" s="5"/>
      <c r="AM970" s="5"/>
      <c r="AR970" s="32"/>
    </row>
    <row r="971" spans="13:44">
      <c r="M971" s="5"/>
      <c r="N971" s="5"/>
      <c r="O971" s="5"/>
      <c r="P971" s="5"/>
      <c r="AM971" s="5"/>
      <c r="AR971" s="32"/>
    </row>
    <row r="972" spans="13:44">
      <c r="M972" s="5"/>
      <c r="N972" s="5"/>
      <c r="O972" s="5"/>
      <c r="P972" s="5"/>
      <c r="AM972" s="5"/>
      <c r="AR972" s="32"/>
    </row>
    <row r="973" spans="13:44">
      <c r="M973" s="5"/>
      <c r="N973" s="5"/>
      <c r="O973" s="5"/>
      <c r="P973" s="5"/>
      <c r="AM973" s="5"/>
      <c r="AR973" s="32"/>
    </row>
    <row r="974" spans="13:44">
      <c r="M974" s="5"/>
      <c r="N974" s="5"/>
      <c r="O974" s="5"/>
      <c r="P974" s="5"/>
      <c r="AM974" s="5"/>
      <c r="AR974" s="32"/>
    </row>
    <row r="975" spans="13:44">
      <c r="M975" s="5"/>
      <c r="N975" s="5"/>
      <c r="O975" s="5"/>
      <c r="P975" s="5"/>
      <c r="AM975" s="5"/>
      <c r="AR975" s="32"/>
    </row>
    <row r="976" spans="13:44">
      <c r="M976" s="5"/>
      <c r="N976" s="5"/>
      <c r="O976" s="5"/>
      <c r="P976" s="5"/>
      <c r="AM976" s="5"/>
      <c r="AR976" s="32"/>
    </row>
    <row r="977" spans="13:44">
      <c r="M977" s="5"/>
      <c r="N977" s="5"/>
      <c r="O977" s="5"/>
      <c r="P977" s="5"/>
      <c r="AM977" s="5"/>
      <c r="AR977" s="32"/>
    </row>
    <row r="978" spans="13:44">
      <c r="M978" s="5"/>
      <c r="N978" s="5"/>
      <c r="O978" s="5"/>
      <c r="P978" s="5"/>
      <c r="AM978" s="5"/>
      <c r="AR978" s="32"/>
    </row>
    <row r="979" spans="13:44">
      <c r="M979" s="5"/>
      <c r="N979" s="5"/>
      <c r="O979" s="5"/>
      <c r="P979" s="5"/>
      <c r="AM979" s="5"/>
      <c r="AR979" s="32"/>
    </row>
    <row r="980" spans="13:44">
      <c r="M980" s="5"/>
      <c r="N980" s="5"/>
      <c r="O980" s="5"/>
      <c r="P980" s="5"/>
      <c r="AM980" s="5"/>
      <c r="AR980" s="32"/>
    </row>
    <row r="981" spans="13:44">
      <c r="M981" s="5"/>
      <c r="N981" s="5"/>
      <c r="O981" s="5"/>
      <c r="P981" s="5"/>
      <c r="AM981" s="5"/>
      <c r="AR981" s="32"/>
    </row>
    <row r="982" spans="13:44">
      <c r="M982" s="5"/>
      <c r="N982" s="5"/>
      <c r="O982" s="5"/>
      <c r="P982" s="5"/>
      <c r="AM982" s="5"/>
      <c r="AR982" s="32"/>
    </row>
    <row r="983" spans="13:44">
      <c r="M983" s="5"/>
      <c r="N983" s="5"/>
      <c r="O983" s="5"/>
      <c r="P983" s="5"/>
      <c r="AM983" s="5"/>
      <c r="AR983" s="32"/>
    </row>
    <row r="984" spans="13:44">
      <c r="M984" s="5"/>
      <c r="N984" s="5"/>
      <c r="O984" s="5"/>
      <c r="P984" s="5"/>
      <c r="AM984" s="5"/>
      <c r="AR984" s="32"/>
    </row>
    <row r="985" spans="13:44">
      <c r="M985" s="5"/>
      <c r="N985" s="5"/>
      <c r="O985" s="5"/>
      <c r="P985" s="5"/>
      <c r="AM985" s="5"/>
      <c r="AR985" s="32"/>
    </row>
    <row r="986" spans="13:44">
      <c r="M986" s="5"/>
      <c r="N986" s="5"/>
      <c r="O986" s="5"/>
      <c r="P986" s="5"/>
      <c r="AM986" s="5"/>
      <c r="AR986" s="32"/>
    </row>
    <row r="987" spans="13:44">
      <c r="M987" s="5"/>
      <c r="N987" s="5"/>
      <c r="O987" s="5"/>
      <c r="P987" s="5"/>
      <c r="AM987" s="5"/>
      <c r="AR987" s="32"/>
    </row>
    <row r="988" spans="13:44">
      <c r="M988" s="5"/>
      <c r="N988" s="5"/>
      <c r="O988" s="5"/>
      <c r="P988" s="5"/>
      <c r="AM988" s="5"/>
      <c r="AR988" s="32"/>
    </row>
    <row r="989" spans="13:44">
      <c r="M989" s="5"/>
      <c r="N989" s="5"/>
      <c r="O989" s="5"/>
      <c r="P989" s="5"/>
      <c r="AM989" s="5"/>
      <c r="AR989" s="32"/>
    </row>
    <row r="990" spans="13:44">
      <c r="M990" s="5"/>
      <c r="N990" s="5"/>
      <c r="O990" s="5"/>
      <c r="P990" s="5"/>
      <c r="AM990" s="5"/>
      <c r="AR990" s="32"/>
    </row>
    <row r="991" spans="13:44">
      <c r="M991" s="5"/>
      <c r="N991" s="5"/>
      <c r="O991" s="5"/>
      <c r="P991" s="5"/>
      <c r="AM991" s="5"/>
      <c r="AR991" s="32"/>
    </row>
    <row r="992" spans="13:44">
      <c r="M992" s="5"/>
      <c r="N992" s="5"/>
      <c r="O992" s="5"/>
      <c r="P992" s="5"/>
      <c r="AM992" s="5"/>
      <c r="AR992" s="32"/>
    </row>
    <row r="993" spans="13:44">
      <c r="M993" s="5"/>
      <c r="N993" s="5"/>
      <c r="O993" s="5"/>
      <c r="P993" s="5"/>
      <c r="AM993" s="5"/>
      <c r="AR993" s="32"/>
    </row>
    <row r="994" spans="13:44">
      <c r="M994" s="5"/>
      <c r="N994" s="5"/>
      <c r="O994" s="5"/>
      <c r="P994" s="5"/>
      <c r="AM994" s="5"/>
      <c r="AR994" s="32"/>
    </row>
    <row r="995" spans="13:44">
      <c r="M995" s="5"/>
      <c r="N995" s="5"/>
      <c r="O995" s="5"/>
      <c r="P995" s="5"/>
      <c r="AM995" s="5"/>
      <c r="AR995" s="32"/>
    </row>
    <row r="996" spans="13:44">
      <c r="M996" s="5"/>
      <c r="N996" s="5"/>
      <c r="O996" s="5"/>
      <c r="P996" s="5"/>
      <c r="AM996" s="5"/>
      <c r="AR996" s="32"/>
    </row>
    <row r="997" spans="13:44">
      <c r="M997" s="5"/>
      <c r="N997" s="5"/>
      <c r="O997" s="5"/>
      <c r="P997" s="5"/>
      <c r="AM997" s="5"/>
      <c r="AR997" s="32"/>
    </row>
    <row r="998" spans="13:44">
      <c r="M998" s="5"/>
      <c r="N998" s="5"/>
      <c r="O998" s="5"/>
      <c r="P998" s="5"/>
      <c r="AM998" s="5"/>
      <c r="AR998" s="32"/>
    </row>
    <row r="999" spans="13:44">
      <c r="M999" s="5"/>
      <c r="N999" s="5"/>
      <c r="O999" s="5"/>
      <c r="P999" s="5"/>
      <c r="AM999" s="5"/>
      <c r="AR999" s="32"/>
    </row>
    <row r="1000" spans="13:44">
      <c r="M1000" s="5"/>
      <c r="N1000" s="5"/>
      <c r="O1000" s="5"/>
      <c r="P1000" s="5"/>
      <c r="AM1000" s="5"/>
      <c r="AR1000" s="32"/>
    </row>
    <row r="1001" spans="13:44">
      <c r="M1001" s="5"/>
      <c r="N1001" s="5"/>
      <c r="O1001" s="5"/>
      <c r="P1001" s="5"/>
      <c r="AM1001" s="5"/>
      <c r="AR1001" s="32"/>
    </row>
    <row r="1002" spans="13:44">
      <c r="M1002" s="5"/>
      <c r="N1002" s="5"/>
      <c r="O1002" s="5"/>
      <c r="P1002" s="5"/>
      <c r="AM1002" s="5"/>
      <c r="AR1002" s="32"/>
    </row>
    <row r="1003" spans="13:44">
      <c r="M1003" s="5"/>
      <c r="N1003" s="5"/>
      <c r="O1003" s="5"/>
      <c r="P1003" s="5"/>
      <c r="AM1003" s="5"/>
      <c r="AR1003" s="32"/>
    </row>
    <row r="1004" spans="13:44">
      <c r="M1004" s="5"/>
      <c r="N1004" s="5"/>
      <c r="O1004" s="5"/>
      <c r="P1004" s="5"/>
      <c r="AM1004" s="5"/>
      <c r="AR1004" s="32"/>
    </row>
    <row r="1005" spans="13:44">
      <c r="M1005" s="5"/>
      <c r="N1005" s="5"/>
      <c r="O1005" s="5"/>
      <c r="P1005" s="5"/>
      <c r="AM1005" s="5"/>
      <c r="AR1005" s="32"/>
    </row>
    <row r="1006" spans="13:44">
      <c r="M1006" s="5"/>
      <c r="N1006" s="5"/>
      <c r="O1006" s="5"/>
      <c r="P1006" s="5"/>
      <c r="AM1006" s="5"/>
      <c r="AR1006" s="32"/>
    </row>
    <row r="1007" spans="13:44">
      <c r="M1007" s="5"/>
      <c r="N1007" s="5"/>
      <c r="O1007" s="5"/>
      <c r="P1007" s="5"/>
      <c r="AM1007" s="5"/>
      <c r="AR1007" s="32"/>
    </row>
    <row r="1008" spans="13:44">
      <c r="M1008" s="5"/>
      <c r="N1008" s="5"/>
      <c r="O1008" s="5"/>
      <c r="P1008" s="5"/>
      <c r="AM1008" s="5"/>
      <c r="AR1008" s="32"/>
    </row>
    <row r="1009" spans="13:44">
      <c r="M1009" s="5"/>
      <c r="N1009" s="5"/>
      <c r="O1009" s="5"/>
      <c r="P1009" s="5"/>
      <c r="AM1009" s="5"/>
      <c r="AR1009" s="32"/>
    </row>
    <row r="1010" spans="13:44">
      <c r="M1010" s="5"/>
      <c r="N1010" s="5"/>
      <c r="O1010" s="5"/>
      <c r="P1010" s="5"/>
      <c r="AM1010" s="5"/>
      <c r="AR1010" s="32"/>
    </row>
    <row r="1011" spans="13:44">
      <c r="M1011" s="5"/>
      <c r="N1011" s="5"/>
      <c r="O1011" s="5"/>
      <c r="P1011" s="5"/>
      <c r="AM1011" s="5"/>
      <c r="AR1011" s="32"/>
    </row>
    <row r="1012" spans="13:44">
      <c r="M1012" s="5"/>
      <c r="N1012" s="5"/>
      <c r="O1012" s="5"/>
      <c r="P1012" s="5"/>
      <c r="AM1012" s="5"/>
      <c r="AR1012" s="32"/>
    </row>
    <row r="1013" spans="13:44">
      <c r="M1013" s="5"/>
      <c r="N1013" s="5"/>
      <c r="O1013" s="5"/>
      <c r="P1013" s="5"/>
      <c r="AM1013" s="5"/>
      <c r="AR1013" s="32"/>
    </row>
    <row r="1014" spans="13:44">
      <c r="M1014" s="5"/>
      <c r="N1014" s="5"/>
      <c r="O1014" s="5"/>
      <c r="P1014" s="5"/>
      <c r="AM1014" s="5"/>
      <c r="AR1014" s="32"/>
    </row>
    <row r="1015" spans="13:44">
      <c r="M1015" s="5"/>
      <c r="N1015" s="5"/>
      <c r="O1015" s="5"/>
      <c r="P1015" s="5"/>
      <c r="AM1015" s="5"/>
      <c r="AR1015" s="32"/>
    </row>
    <row r="1016" spans="13:44">
      <c r="M1016" s="5"/>
      <c r="N1016" s="5"/>
      <c r="O1016" s="5"/>
      <c r="P1016" s="5"/>
      <c r="AM1016" s="5"/>
      <c r="AR1016" s="32"/>
    </row>
    <row r="1017" spans="13:44">
      <c r="M1017" s="5"/>
      <c r="N1017" s="5"/>
      <c r="O1017" s="5"/>
      <c r="P1017" s="5"/>
      <c r="AM1017" s="5"/>
      <c r="AR1017" s="32"/>
    </row>
    <row r="1018" spans="13:44">
      <c r="M1018" s="5"/>
      <c r="N1018" s="5"/>
      <c r="O1018" s="5"/>
      <c r="P1018" s="5"/>
      <c r="AM1018" s="5"/>
      <c r="AR1018" s="32"/>
    </row>
    <row r="1019" spans="13:44">
      <c r="M1019" s="5"/>
      <c r="N1019" s="5"/>
      <c r="O1019" s="5"/>
      <c r="P1019" s="5"/>
      <c r="AM1019" s="5"/>
      <c r="AR1019" s="32"/>
    </row>
    <row r="1020" spans="13:44">
      <c r="M1020" s="5"/>
      <c r="N1020" s="5"/>
      <c r="O1020" s="5"/>
      <c r="P1020" s="5"/>
      <c r="AM1020" s="5"/>
      <c r="AR1020" s="32"/>
    </row>
    <row r="1021" spans="13:44">
      <c r="M1021" s="5"/>
      <c r="N1021" s="5"/>
      <c r="O1021" s="5"/>
      <c r="P1021" s="5"/>
      <c r="AM1021" s="5"/>
      <c r="AR1021" s="32"/>
    </row>
    <row r="1022" spans="13:44">
      <c r="M1022" s="5"/>
      <c r="N1022" s="5"/>
      <c r="O1022" s="5"/>
      <c r="P1022" s="5"/>
      <c r="AM1022" s="5"/>
      <c r="AR1022" s="32"/>
    </row>
    <row r="1023" spans="13:44">
      <c r="M1023" s="5"/>
      <c r="N1023" s="5"/>
      <c r="O1023" s="5"/>
      <c r="P1023" s="5"/>
      <c r="AM1023" s="5"/>
      <c r="AR1023" s="32"/>
    </row>
    <row r="1024" spans="13:44">
      <c r="M1024" s="5"/>
      <c r="N1024" s="5"/>
      <c r="O1024" s="5"/>
      <c r="P1024" s="5"/>
      <c r="AM1024" s="5"/>
      <c r="AR1024" s="32"/>
    </row>
    <row r="1025" spans="13:44">
      <c r="M1025" s="5"/>
      <c r="N1025" s="5"/>
      <c r="O1025" s="5"/>
      <c r="P1025" s="5"/>
      <c r="AM1025" s="5"/>
      <c r="AR1025" s="32"/>
    </row>
    <row r="1026" spans="13:44">
      <c r="M1026" s="5"/>
      <c r="N1026" s="5"/>
      <c r="O1026" s="5"/>
      <c r="P1026" s="5"/>
      <c r="AM1026" s="5"/>
      <c r="AR1026" s="32"/>
    </row>
    <row r="1027" spans="13:44">
      <c r="M1027" s="5"/>
      <c r="N1027" s="5"/>
      <c r="O1027" s="5"/>
      <c r="P1027" s="5"/>
      <c r="AM1027" s="5"/>
      <c r="AR1027" s="32"/>
    </row>
    <row r="1028" spans="13:44">
      <c r="M1028" s="5"/>
      <c r="N1028" s="5"/>
      <c r="O1028" s="5"/>
      <c r="P1028" s="5"/>
      <c r="AM1028" s="5"/>
      <c r="AR1028" s="32"/>
    </row>
    <row r="1029" spans="13:44">
      <c r="M1029" s="5"/>
      <c r="N1029" s="5"/>
      <c r="O1029" s="5"/>
      <c r="P1029" s="5"/>
      <c r="AM1029" s="5"/>
      <c r="AR1029" s="32"/>
    </row>
    <row r="1030" spans="13:44">
      <c r="M1030" s="5"/>
      <c r="N1030" s="5"/>
      <c r="O1030" s="5"/>
      <c r="P1030" s="5"/>
      <c r="AM1030" s="5"/>
      <c r="AR1030" s="32"/>
    </row>
    <row r="1031" spans="13:44">
      <c r="M1031" s="5"/>
      <c r="N1031" s="5"/>
      <c r="O1031" s="5"/>
      <c r="P1031" s="5"/>
      <c r="AM1031" s="5"/>
      <c r="AR1031" s="32"/>
    </row>
    <row r="1032" spans="13:44">
      <c r="M1032" s="5"/>
      <c r="N1032" s="5"/>
      <c r="O1032" s="5"/>
      <c r="P1032" s="5"/>
      <c r="AM1032" s="5"/>
      <c r="AR1032" s="32"/>
    </row>
    <row r="1033" spans="13:44">
      <c r="M1033" s="5"/>
      <c r="N1033" s="5"/>
      <c r="O1033" s="5"/>
      <c r="P1033" s="5"/>
      <c r="AM1033" s="5"/>
      <c r="AR1033" s="32"/>
    </row>
    <row r="1034" spans="13:44">
      <c r="M1034" s="5"/>
      <c r="N1034" s="5"/>
      <c r="O1034" s="5"/>
      <c r="P1034" s="5"/>
      <c r="AM1034" s="5"/>
      <c r="AR1034" s="32"/>
    </row>
    <row r="1035" spans="13:44">
      <c r="M1035" s="5"/>
      <c r="N1035" s="5"/>
      <c r="O1035" s="5"/>
      <c r="P1035" s="5"/>
      <c r="AM1035" s="5"/>
      <c r="AR1035" s="32"/>
    </row>
    <row r="1036" spans="13:44">
      <c r="M1036" s="5"/>
      <c r="N1036" s="5"/>
      <c r="O1036" s="5"/>
      <c r="P1036" s="5"/>
      <c r="AM1036" s="5"/>
      <c r="AR1036" s="32"/>
    </row>
    <row r="1037" spans="13:44">
      <c r="M1037" s="5"/>
      <c r="N1037" s="5"/>
      <c r="O1037" s="5"/>
      <c r="P1037" s="5"/>
      <c r="AM1037" s="5"/>
      <c r="AR1037" s="32"/>
    </row>
    <row r="1038" spans="13:44">
      <c r="M1038" s="5"/>
      <c r="N1038" s="5"/>
      <c r="O1038" s="5"/>
      <c r="P1038" s="5"/>
      <c r="AM1038" s="5"/>
      <c r="AR1038" s="32"/>
    </row>
    <row r="1039" spans="13:44">
      <c r="M1039" s="5"/>
      <c r="N1039" s="5"/>
      <c r="O1039" s="5"/>
      <c r="P1039" s="5"/>
      <c r="AM1039" s="5"/>
      <c r="AR1039" s="32"/>
    </row>
    <row r="1040" spans="13:44">
      <c r="M1040" s="5"/>
      <c r="N1040" s="5"/>
      <c r="O1040" s="5"/>
      <c r="P1040" s="5"/>
      <c r="AM1040" s="5"/>
      <c r="AR1040" s="32"/>
    </row>
    <row r="1041" spans="13:44">
      <c r="M1041" s="5"/>
      <c r="N1041" s="5"/>
      <c r="O1041" s="5"/>
      <c r="P1041" s="5"/>
      <c r="AM1041" s="5"/>
      <c r="AR1041" s="32"/>
    </row>
    <row r="1042" spans="13:44">
      <c r="M1042" s="5"/>
      <c r="N1042" s="5"/>
      <c r="O1042" s="5"/>
      <c r="P1042" s="5"/>
      <c r="AM1042" s="5"/>
      <c r="AR1042" s="32"/>
    </row>
    <row r="1043" spans="13:44">
      <c r="M1043" s="5"/>
      <c r="N1043" s="5"/>
      <c r="O1043" s="5"/>
      <c r="P1043" s="5"/>
      <c r="AM1043" s="5"/>
      <c r="AR1043" s="32"/>
    </row>
    <row r="1044" spans="13:44">
      <c r="M1044" s="5"/>
      <c r="N1044" s="5"/>
      <c r="O1044" s="5"/>
      <c r="P1044" s="5"/>
      <c r="AM1044" s="5"/>
      <c r="AR1044" s="32"/>
    </row>
    <row r="1045" spans="13:44">
      <c r="M1045" s="5"/>
      <c r="N1045" s="5"/>
      <c r="O1045" s="5"/>
      <c r="P1045" s="5"/>
      <c r="AM1045" s="5"/>
      <c r="AR1045" s="32"/>
    </row>
    <row r="1046" spans="13:44">
      <c r="M1046" s="5"/>
      <c r="N1046" s="5"/>
      <c r="O1046" s="5"/>
      <c r="P1046" s="5"/>
      <c r="AM1046" s="5"/>
      <c r="AR1046" s="32"/>
    </row>
    <row r="1047" spans="13:44">
      <c r="M1047" s="5"/>
      <c r="N1047" s="5"/>
      <c r="O1047" s="5"/>
      <c r="P1047" s="5"/>
      <c r="AM1047" s="5"/>
      <c r="AR1047" s="32"/>
    </row>
    <row r="1048" spans="13:44">
      <c r="M1048" s="5"/>
      <c r="N1048" s="5"/>
      <c r="O1048" s="5"/>
      <c r="P1048" s="5"/>
      <c r="AM1048" s="5"/>
      <c r="AR1048" s="32"/>
    </row>
    <row r="1049" spans="13:44">
      <c r="M1049" s="5"/>
      <c r="N1049" s="5"/>
      <c r="O1049" s="5"/>
      <c r="P1049" s="5"/>
      <c r="AM1049" s="5"/>
      <c r="AR1049" s="32"/>
    </row>
    <row r="1050" spans="13:44">
      <c r="M1050" s="5"/>
      <c r="N1050" s="5"/>
      <c r="O1050" s="5"/>
      <c r="P1050" s="5"/>
      <c r="AM1050" s="5"/>
      <c r="AR1050" s="32"/>
    </row>
    <row r="1051" spans="13:44">
      <c r="M1051" s="5"/>
      <c r="N1051" s="5"/>
      <c r="O1051" s="5"/>
      <c r="P1051" s="5"/>
      <c r="AM1051" s="5"/>
      <c r="AR1051" s="32"/>
    </row>
    <row r="1052" spans="13:44">
      <c r="M1052" s="5"/>
      <c r="N1052" s="5"/>
      <c r="O1052" s="5"/>
      <c r="P1052" s="5"/>
      <c r="AM1052" s="5"/>
      <c r="AR1052" s="32"/>
    </row>
    <row r="1053" spans="13:44">
      <c r="M1053" s="5"/>
      <c r="N1053" s="5"/>
      <c r="O1053" s="5"/>
      <c r="P1053" s="5"/>
      <c r="AM1053" s="5"/>
      <c r="AR1053" s="32"/>
    </row>
    <row r="1054" spans="13:44">
      <c r="M1054" s="5"/>
      <c r="N1054" s="5"/>
      <c r="O1054" s="5"/>
      <c r="P1054" s="5"/>
      <c r="AM1054" s="5"/>
      <c r="AR1054" s="32"/>
    </row>
    <row r="1055" spans="13:44">
      <c r="M1055" s="5"/>
      <c r="N1055" s="5"/>
      <c r="O1055" s="5"/>
      <c r="P1055" s="5"/>
      <c r="AM1055" s="5"/>
      <c r="AR1055" s="32"/>
    </row>
    <row r="1056" spans="13:44">
      <c r="M1056" s="5"/>
      <c r="N1056" s="5"/>
      <c r="O1056" s="5"/>
      <c r="P1056" s="5"/>
      <c r="AM1056" s="5"/>
      <c r="AR1056" s="32"/>
    </row>
    <row r="1057" spans="13:44">
      <c r="M1057" s="5"/>
      <c r="N1057" s="5"/>
      <c r="O1057" s="5"/>
      <c r="P1057" s="5"/>
      <c r="AM1057" s="5"/>
      <c r="AR1057" s="32"/>
    </row>
    <row r="1058" spans="13:44">
      <c r="M1058" s="5"/>
      <c r="N1058" s="5"/>
      <c r="O1058" s="5"/>
      <c r="P1058" s="5"/>
      <c r="AM1058" s="5"/>
      <c r="AR1058" s="32"/>
    </row>
    <row r="1059" spans="13:44">
      <c r="M1059" s="5"/>
      <c r="N1059" s="5"/>
      <c r="O1059" s="5"/>
      <c r="P1059" s="5"/>
      <c r="AM1059" s="5"/>
      <c r="AR1059" s="32"/>
    </row>
    <row r="1060" spans="13:44">
      <c r="M1060" s="5"/>
      <c r="N1060" s="5"/>
      <c r="O1060" s="5"/>
      <c r="P1060" s="5"/>
      <c r="AM1060" s="5"/>
      <c r="AR1060" s="32"/>
    </row>
    <row r="1061" spans="13:44">
      <c r="M1061" s="5"/>
      <c r="N1061" s="5"/>
      <c r="O1061" s="5"/>
      <c r="P1061" s="5"/>
      <c r="AM1061" s="5"/>
      <c r="AR1061" s="32"/>
    </row>
    <row r="1062" spans="13:44">
      <c r="M1062" s="5"/>
      <c r="N1062" s="5"/>
      <c r="O1062" s="5"/>
      <c r="P1062" s="5"/>
      <c r="AM1062" s="5"/>
      <c r="AR1062" s="32"/>
    </row>
    <row r="1063" spans="13:44">
      <c r="M1063" s="5"/>
      <c r="N1063" s="5"/>
      <c r="O1063" s="5"/>
      <c r="P1063" s="5"/>
      <c r="AM1063" s="5"/>
      <c r="AR1063" s="32"/>
    </row>
    <row r="1064" spans="13:44">
      <c r="M1064" s="5"/>
      <c r="N1064" s="5"/>
      <c r="O1064" s="5"/>
      <c r="P1064" s="5"/>
      <c r="AM1064" s="5"/>
      <c r="AR1064" s="32"/>
    </row>
    <row r="1065" spans="13:44">
      <c r="M1065" s="5"/>
      <c r="N1065" s="5"/>
      <c r="O1065" s="5"/>
      <c r="P1065" s="5"/>
      <c r="AM1065" s="5"/>
      <c r="AR1065" s="32"/>
    </row>
    <row r="1066" spans="13:44">
      <c r="M1066" s="5"/>
      <c r="N1066" s="5"/>
      <c r="O1066" s="5"/>
      <c r="P1066" s="5"/>
      <c r="AM1066" s="5"/>
      <c r="AR1066" s="32"/>
    </row>
    <row r="1067" spans="13:44">
      <c r="M1067" s="5"/>
      <c r="N1067" s="5"/>
      <c r="O1067" s="5"/>
      <c r="P1067" s="5"/>
      <c r="AM1067" s="5"/>
      <c r="AR1067" s="32"/>
    </row>
    <row r="1068" spans="13:44">
      <c r="M1068" s="5"/>
      <c r="N1068" s="5"/>
      <c r="O1068" s="5"/>
      <c r="P1068" s="5"/>
      <c r="AM1068" s="5"/>
      <c r="AR1068" s="32"/>
    </row>
    <row r="1069" spans="13:44">
      <c r="M1069" s="5"/>
      <c r="N1069" s="5"/>
      <c r="O1069" s="5"/>
      <c r="P1069" s="5"/>
      <c r="AM1069" s="5"/>
      <c r="AR1069" s="32"/>
    </row>
    <row r="1070" spans="13:44">
      <c r="M1070" s="5"/>
      <c r="N1070" s="5"/>
      <c r="O1070" s="5"/>
      <c r="P1070" s="5"/>
      <c r="AM1070" s="5"/>
      <c r="AR1070" s="32"/>
    </row>
    <row r="1071" spans="13:44">
      <c r="M1071" s="5"/>
      <c r="N1071" s="5"/>
      <c r="O1071" s="5"/>
      <c r="P1071" s="5"/>
      <c r="AM1071" s="5"/>
      <c r="AR1071" s="32"/>
    </row>
    <row r="1072" spans="13:44">
      <c r="M1072" s="5"/>
      <c r="N1072" s="5"/>
      <c r="O1072" s="5"/>
      <c r="P1072" s="5"/>
      <c r="AM1072" s="5"/>
      <c r="AR1072" s="32"/>
    </row>
    <row r="1073" spans="13:44">
      <c r="M1073" s="5"/>
      <c r="N1073" s="5"/>
      <c r="O1073" s="5"/>
      <c r="P1073" s="5"/>
      <c r="AM1073" s="5"/>
      <c r="AR1073" s="32"/>
    </row>
    <row r="1074" spans="13:44">
      <c r="M1074" s="5"/>
      <c r="N1074" s="5"/>
      <c r="O1074" s="5"/>
      <c r="P1074" s="5"/>
      <c r="AM1074" s="5"/>
      <c r="AR1074" s="32"/>
    </row>
    <row r="1075" spans="13:44">
      <c r="M1075" s="5"/>
      <c r="N1075" s="5"/>
      <c r="O1075" s="5"/>
      <c r="P1075" s="5"/>
      <c r="AM1075" s="5"/>
      <c r="AR1075" s="32"/>
    </row>
    <row r="1076" spans="13:44">
      <c r="M1076" s="5"/>
      <c r="N1076" s="5"/>
      <c r="O1076" s="5"/>
      <c r="P1076" s="5"/>
      <c r="AM1076" s="5"/>
      <c r="AR1076" s="32"/>
    </row>
    <row r="1077" spans="13:44">
      <c r="M1077" s="5"/>
      <c r="N1077" s="5"/>
      <c r="O1077" s="5"/>
      <c r="P1077" s="5"/>
      <c r="AM1077" s="5"/>
      <c r="AR1077" s="32"/>
    </row>
    <row r="1078" spans="13:44">
      <c r="M1078" s="5"/>
      <c r="N1078" s="5"/>
      <c r="O1078" s="5"/>
      <c r="P1078" s="5"/>
      <c r="AM1078" s="5"/>
      <c r="AR1078" s="32"/>
    </row>
    <row r="1079" spans="13:44">
      <c r="M1079" s="5"/>
      <c r="N1079" s="5"/>
      <c r="O1079" s="5"/>
      <c r="P1079" s="5"/>
      <c r="AM1079" s="5"/>
      <c r="AR1079" s="32"/>
    </row>
    <row r="1080" spans="13:44">
      <c r="M1080" s="5"/>
      <c r="N1080" s="5"/>
      <c r="O1080" s="5"/>
      <c r="P1080" s="5"/>
      <c r="AM1080" s="5"/>
      <c r="AR1080" s="32"/>
    </row>
    <row r="1081" spans="13:44">
      <c r="M1081" s="5"/>
      <c r="N1081" s="5"/>
      <c r="O1081" s="5"/>
      <c r="P1081" s="5"/>
      <c r="AM1081" s="5"/>
      <c r="AR1081" s="32"/>
    </row>
    <row r="1082" spans="13:44">
      <c r="M1082" s="5"/>
      <c r="N1082" s="5"/>
      <c r="O1082" s="5"/>
      <c r="P1082" s="5"/>
      <c r="AM1082" s="5"/>
      <c r="AR1082" s="32"/>
    </row>
    <row r="1083" spans="13:44">
      <c r="M1083" s="5"/>
      <c r="N1083" s="5"/>
      <c r="O1083" s="5"/>
      <c r="P1083" s="5"/>
      <c r="AM1083" s="5"/>
      <c r="AR1083" s="32"/>
    </row>
    <row r="1084" spans="13:44">
      <c r="M1084" s="5"/>
      <c r="N1084" s="5"/>
      <c r="O1084" s="5"/>
      <c r="P1084" s="5"/>
      <c r="AM1084" s="5"/>
      <c r="AR1084" s="32"/>
    </row>
    <row r="1085" spans="13:44">
      <c r="M1085" s="5"/>
      <c r="N1085" s="5"/>
      <c r="O1085" s="5"/>
      <c r="P1085" s="5"/>
      <c r="AM1085" s="5"/>
      <c r="AR1085" s="32"/>
    </row>
    <row r="1086" spans="13:44">
      <c r="M1086" s="5"/>
      <c r="N1086" s="5"/>
      <c r="O1086" s="5"/>
      <c r="P1086" s="5"/>
      <c r="AM1086" s="5"/>
      <c r="AR1086" s="32"/>
    </row>
    <row r="1087" spans="13:44">
      <c r="M1087" s="5"/>
      <c r="N1087" s="5"/>
      <c r="O1087" s="5"/>
      <c r="P1087" s="5"/>
      <c r="AM1087" s="5"/>
      <c r="AR1087" s="32"/>
    </row>
    <row r="1088" spans="13:44">
      <c r="M1088" s="5"/>
      <c r="N1088" s="5"/>
      <c r="O1088" s="5"/>
      <c r="P1088" s="5"/>
      <c r="AM1088" s="5"/>
      <c r="AR1088" s="32"/>
    </row>
    <row r="1089" spans="13:44">
      <c r="M1089" s="5"/>
      <c r="N1089" s="5"/>
      <c r="O1089" s="5"/>
      <c r="P1089" s="5"/>
      <c r="AM1089" s="5"/>
      <c r="AR1089" s="32"/>
    </row>
    <row r="1090" spans="13:44">
      <c r="M1090" s="5"/>
      <c r="N1090" s="5"/>
      <c r="O1090" s="5"/>
      <c r="P1090" s="5"/>
      <c r="AM1090" s="5"/>
      <c r="AR1090" s="32"/>
    </row>
    <row r="1091" spans="13:44">
      <c r="M1091" s="5"/>
      <c r="N1091" s="5"/>
      <c r="O1091" s="5"/>
      <c r="P1091" s="5"/>
      <c r="AM1091" s="5"/>
      <c r="AR1091" s="32"/>
    </row>
    <row r="1092" spans="13:44">
      <c r="M1092" s="5"/>
      <c r="N1092" s="5"/>
      <c r="O1092" s="5"/>
      <c r="P1092" s="5"/>
      <c r="AM1092" s="5"/>
      <c r="AR1092" s="32"/>
    </row>
    <row r="1093" spans="13:44">
      <c r="M1093" s="5"/>
      <c r="N1093" s="5"/>
      <c r="O1093" s="5"/>
      <c r="P1093" s="5"/>
      <c r="AM1093" s="5"/>
      <c r="AR1093" s="32"/>
    </row>
    <row r="1094" spans="13:44">
      <c r="M1094" s="5"/>
      <c r="N1094" s="5"/>
      <c r="O1094" s="5"/>
      <c r="P1094" s="5"/>
      <c r="AM1094" s="5"/>
      <c r="AR1094" s="32"/>
    </row>
    <row r="1095" spans="13:44">
      <c r="M1095" s="5"/>
      <c r="N1095" s="5"/>
      <c r="O1095" s="5"/>
      <c r="P1095" s="5"/>
      <c r="AM1095" s="5"/>
      <c r="AR1095" s="32"/>
    </row>
    <row r="1096" spans="13:44">
      <c r="M1096" s="5"/>
      <c r="N1096" s="5"/>
      <c r="O1096" s="5"/>
      <c r="P1096" s="5"/>
      <c r="AM1096" s="5"/>
      <c r="AR1096" s="32"/>
    </row>
    <row r="1097" spans="13:44">
      <c r="M1097" s="5"/>
      <c r="N1097" s="5"/>
      <c r="O1097" s="5"/>
      <c r="P1097" s="5"/>
      <c r="AM1097" s="5"/>
      <c r="AR1097" s="32"/>
    </row>
    <row r="1098" spans="13:44">
      <c r="M1098" s="5"/>
      <c r="N1098" s="5"/>
      <c r="O1098" s="5"/>
      <c r="P1098" s="5"/>
      <c r="AM1098" s="5"/>
      <c r="AR1098" s="32"/>
    </row>
    <row r="1099" spans="13:44">
      <c r="M1099" s="5"/>
      <c r="N1099" s="5"/>
      <c r="O1099" s="5"/>
      <c r="P1099" s="5"/>
      <c r="AM1099" s="5"/>
      <c r="AR1099" s="32"/>
    </row>
    <row r="1100" spans="13:44">
      <c r="M1100" s="5"/>
      <c r="N1100" s="5"/>
      <c r="O1100" s="5"/>
      <c r="P1100" s="5"/>
      <c r="AM1100" s="5"/>
      <c r="AR1100" s="32"/>
    </row>
    <row r="1101" spans="13:44">
      <c r="M1101" s="5"/>
      <c r="N1101" s="5"/>
      <c r="O1101" s="5"/>
      <c r="P1101" s="5"/>
      <c r="AM1101" s="5"/>
      <c r="AR1101" s="32"/>
    </row>
    <row r="1102" spans="13:44">
      <c r="M1102" s="5"/>
      <c r="N1102" s="5"/>
      <c r="O1102" s="5"/>
      <c r="P1102" s="5"/>
      <c r="AM1102" s="5"/>
      <c r="AR1102" s="32"/>
    </row>
    <row r="1103" spans="13:44">
      <c r="M1103" s="5"/>
      <c r="N1103" s="5"/>
      <c r="O1103" s="5"/>
      <c r="P1103" s="5"/>
      <c r="AM1103" s="5"/>
      <c r="AR1103" s="32"/>
    </row>
    <row r="1104" spans="13:44">
      <c r="M1104" s="5"/>
      <c r="N1104" s="5"/>
      <c r="O1104" s="5"/>
      <c r="P1104" s="5"/>
      <c r="AM1104" s="5"/>
      <c r="AR1104" s="32"/>
    </row>
    <row r="1105" spans="13:44">
      <c r="M1105" s="5"/>
      <c r="N1105" s="5"/>
      <c r="O1105" s="5"/>
      <c r="P1105" s="5"/>
      <c r="AM1105" s="5"/>
      <c r="AR1105" s="32"/>
    </row>
    <row r="1106" spans="13:44">
      <c r="M1106" s="5"/>
      <c r="N1106" s="5"/>
      <c r="O1106" s="5"/>
      <c r="P1106" s="5"/>
      <c r="AM1106" s="5"/>
      <c r="AR1106" s="32"/>
    </row>
    <row r="1107" spans="13:44">
      <c r="M1107" s="5"/>
      <c r="N1107" s="5"/>
      <c r="O1107" s="5"/>
      <c r="P1107" s="5"/>
      <c r="AM1107" s="5"/>
      <c r="AR1107" s="32"/>
    </row>
    <row r="1108" spans="13:44">
      <c r="M1108" s="5"/>
      <c r="N1108" s="5"/>
      <c r="O1108" s="5"/>
      <c r="P1108" s="5"/>
      <c r="AM1108" s="5"/>
      <c r="AR1108" s="32"/>
    </row>
    <row r="1109" spans="13:44">
      <c r="M1109" s="5"/>
      <c r="N1109" s="5"/>
      <c r="O1109" s="5"/>
      <c r="P1109" s="5"/>
      <c r="AM1109" s="5"/>
      <c r="AR1109" s="32"/>
    </row>
    <row r="1110" spans="13:44">
      <c r="M1110" s="5"/>
      <c r="N1110" s="5"/>
      <c r="O1110" s="5"/>
      <c r="P1110" s="5"/>
      <c r="AM1110" s="5"/>
      <c r="AR1110" s="32"/>
    </row>
    <row r="1111" spans="13:44">
      <c r="M1111" s="5"/>
      <c r="N1111" s="5"/>
      <c r="O1111" s="5"/>
      <c r="P1111" s="5"/>
      <c r="AM1111" s="5"/>
      <c r="AR1111" s="32"/>
    </row>
    <row r="1112" spans="13:44">
      <c r="M1112" s="5"/>
      <c r="N1112" s="5"/>
      <c r="O1112" s="5"/>
      <c r="P1112" s="5"/>
      <c r="AM1112" s="5"/>
      <c r="AR1112" s="32"/>
    </row>
    <row r="1113" spans="13:44">
      <c r="M1113" s="5"/>
      <c r="N1113" s="5"/>
      <c r="O1113" s="5"/>
      <c r="P1113" s="5"/>
      <c r="AM1113" s="5"/>
      <c r="AR1113" s="32"/>
    </row>
    <row r="1114" spans="13:44">
      <c r="M1114" s="5"/>
      <c r="N1114" s="5"/>
      <c r="O1114" s="5"/>
      <c r="P1114" s="5"/>
      <c r="AM1114" s="5"/>
      <c r="AR1114" s="32"/>
    </row>
    <row r="1115" spans="13:44">
      <c r="M1115" s="5"/>
      <c r="N1115" s="5"/>
      <c r="O1115" s="5"/>
      <c r="P1115" s="5"/>
      <c r="AM1115" s="5"/>
      <c r="AR1115" s="32"/>
    </row>
    <row r="1116" spans="13:44">
      <c r="M1116" s="5"/>
      <c r="N1116" s="5"/>
      <c r="O1116" s="5"/>
      <c r="P1116" s="5"/>
      <c r="AM1116" s="5"/>
      <c r="AR1116" s="32"/>
    </row>
    <row r="1117" spans="13:44">
      <c r="M1117" s="5"/>
      <c r="N1117" s="5"/>
      <c r="O1117" s="5"/>
      <c r="P1117" s="5"/>
      <c r="AM1117" s="5"/>
      <c r="AR1117" s="32"/>
    </row>
    <row r="1118" spans="13:44">
      <c r="M1118" s="5"/>
      <c r="N1118" s="5"/>
      <c r="O1118" s="5"/>
      <c r="P1118" s="5"/>
      <c r="AM1118" s="5"/>
      <c r="AR1118" s="32"/>
    </row>
    <row r="1119" spans="13:44">
      <c r="M1119" s="5"/>
      <c r="N1119" s="5"/>
      <c r="O1119" s="5"/>
      <c r="P1119" s="5"/>
      <c r="AM1119" s="5"/>
      <c r="AR1119" s="32"/>
    </row>
    <row r="1120" spans="13:44">
      <c r="M1120" s="5"/>
      <c r="N1120" s="5"/>
      <c r="O1120" s="5"/>
      <c r="P1120" s="5"/>
      <c r="AM1120" s="5"/>
      <c r="AR1120" s="32"/>
    </row>
    <row r="1121" spans="13:44">
      <c r="M1121" s="5"/>
      <c r="N1121" s="5"/>
      <c r="O1121" s="5"/>
      <c r="P1121" s="5"/>
      <c r="AM1121" s="5"/>
      <c r="AR1121" s="32"/>
    </row>
    <row r="1122" spans="13:44">
      <c r="M1122" s="5"/>
      <c r="N1122" s="5"/>
      <c r="O1122" s="5"/>
      <c r="P1122" s="5"/>
      <c r="AM1122" s="5"/>
      <c r="AR1122" s="32"/>
    </row>
    <row r="1123" spans="13:44">
      <c r="M1123" s="5"/>
      <c r="N1123" s="5"/>
      <c r="O1123" s="5"/>
      <c r="P1123" s="5"/>
      <c r="AM1123" s="5"/>
      <c r="AR1123" s="32"/>
    </row>
    <row r="1124" spans="13:44">
      <c r="M1124" s="5"/>
      <c r="N1124" s="5"/>
      <c r="O1124" s="5"/>
      <c r="P1124" s="5"/>
      <c r="AM1124" s="5"/>
      <c r="AR1124" s="32"/>
    </row>
    <row r="1125" spans="13:44">
      <c r="M1125" s="5"/>
      <c r="N1125" s="5"/>
      <c r="O1125" s="5"/>
      <c r="P1125" s="5"/>
      <c r="AM1125" s="5"/>
      <c r="AR1125" s="32"/>
    </row>
    <row r="1126" spans="13:44">
      <c r="M1126" s="5"/>
      <c r="N1126" s="5"/>
      <c r="O1126" s="5"/>
      <c r="P1126" s="5"/>
      <c r="AM1126" s="5"/>
      <c r="AR1126" s="32"/>
    </row>
    <row r="1127" spans="13:44">
      <c r="M1127" s="5"/>
      <c r="N1127" s="5"/>
      <c r="O1127" s="5"/>
      <c r="P1127" s="5"/>
      <c r="AM1127" s="5"/>
      <c r="AR1127" s="32"/>
    </row>
    <row r="1128" spans="13:44">
      <c r="M1128" s="5"/>
      <c r="N1128" s="5"/>
      <c r="O1128" s="5"/>
      <c r="P1128" s="5"/>
      <c r="AM1128" s="5"/>
      <c r="AR1128" s="32"/>
    </row>
    <row r="1129" spans="13:44">
      <c r="M1129" s="5"/>
      <c r="N1129" s="5"/>
      <c r="O1129" s="5"/>
      <c r="P1129" s="5"/>
      <c r="AM1129" s="5"/>
      <c r="AR1129" s="32"/>
    </row>
    <row r="1130" spans="13:44">
      <c r="M1130" s="5"/>
      <c r="N1130" s="5"/>
      <c r="O1130" s="5"/>
      <c r="P1130" s="5"/>
      <c r="AM1130" s="5"/>
      <c r="AR1130" s="32"/>
    </row>
    <row r="1131" spans="13:44">
      <c r="M1131" s="5"/>
      <c r="N1131" s="5"/>
      <c r="O1131" s="5"/>
      <c r="P1131" s="5"/>
      <c r="AM1131" s="5"/>
      <c r="AR1131" s="32"/>
    </row>
    <row r="1132" spans="13:44">
      <c r="M1132" s="5"/>
      <c r="N1132" s="5"/>
      <c r="O1132" s="5"/>
      <c r="P1132" s="5"/>
      <c r="AM1132" s="5"/>
      <c r="AR1132" s="32"/>
    </row>
    <row r="1133" spans="13:44">
      <c r="M1133" s="5"/>
      <c r="N1133" s="5"/>
      <c r="O1133" s="5"/>
      <c r="P1133" s="5"/>
      <c r="AM1133" s="5"/>
      <c r="AR1133" s="32"/>
    </row>
    <row r="1134" spans="13:44">
      <c r="M1134" s="5"/>
      <c r="N1134" s="5"/>
      <c r="O1134" s="5"/>
      <c r="P1134" s="5"/>
      <c r="AM1134" s="5"/>
      <c r="AR1134" s="32"/>
    </row>
    <row r="1135" spans="13:44">
      <c r="M1135" s="5"/>
      <c r="N1135" s="5"/>
      <c r="O1135" s="5"/>
      <c r="P1135" s="5"/>
      <c r="AM1135" s="5"/>
      <c r="AR1135" s="32"/>
    </row>
    <row r="1136" spans="13:44">
      <c r="M1136" s="5"/>
      <c r="N1136" s="5"/>
      <c r="O1136" s="5"/>
      <c r="P1136" s="5"/>
      <c r="AM1136" s="5"/>
      <c r="AR1136" s="32"/>
    </row>
    <row r="1137" spans="13:44">
      <c r="M1137" s="5"/>
      <c r="N1137" s="5"/>
      <c r="O1137" s="5"/>
      <c r="P1137" s="5"/>
      <c r="AM1137" s="5"/>
      <c r="AR1137" s="32"/>
    </row>
    <row r="1138" spans="13:44">
      <c r="M1138" s="5"/>
      <c r="N1138" s="5"/>
      <c r="O1138" s="5"/>
      <c r="P1138" s="5"/>
      <c r="AM1138" s="5"/>
      <c r="AR1138" s="32"/>
    </row>
    <row r="1139" spans="13:44">
      <c r="M1139" s="5"/>
      <c r="N1139" s="5"/>
      <c r="O1139" s="5"/>
      <c r="P1139" s="5"/>
      <c r="AM1139" s="5"/>
      <c r="AR1139" s="32"/>
    </row>
    <row r="1140" spans="13:44">
      <c r="M1140" s="5"/>
      <c r="N1140" s="5"/>
      <c r="O1140" s="5"/>
      <c r="P1140" s="5"/>
      <c r="AM1140" s="5"/>
      <c r="AR1140" s="32"/>
    </row>
    <row r="1141" spans="13:44">
      <c r="M1141" s="5"/>
      <c r="N1141" s="5"/>
      <c r="O1141" s="5"/>
      <c r="P1141" s="5"/>
      <c r="AM1141" s="5"/>
      <c r="AR1141" s="32"/>
    </row>
    <row r="1142" spans="13:44">
      <c r="M1142" s="5"/>
      <c r="N1142" s="5"/>
      <c r="O1142" s="5"/>
      <c r="P1142" s="5"/>
      <c r="AM1142" s="5"/>
      <c r="AR1142" s="32"/>
    </row>
    <row r="1143" spans="13:44">
      <c r="M1143" s="5"/>
      <c r="N1143" s="5"/>
      <c r="O1143" s="5"/>
      <c r="P1143" s="5"/>
      <c r="AM1143" s="5"/>
      <c r="AR1143" s="32"/>
    </row>
    <row r="1144" spans="13:44">
      <c r="M1144" s="5"/>
      <c r="N1144" s="5"/>
      <c r="O1144" s="5"/>
      <c r="P1144" s="5"/>
      <c r="AM1144" s="5"/>
      <c r="AR1144" s="32"/>
    </row>
    <row r="1145" spans="13:44">
      <c r="M1145" s="5"/>
      <c r="N1145" s="5"/>
      <c r="O1145" s="5"/>
      <c r="P1145" s="5"/>
      <c r="AM1145" s="5"/>
      <c r="AR1145" s="32"/>
    </row>
    <row r="1146" spans="13:44">
      <c r="M1146" s="5"/>
      <c r="N1146" s="5"/>
      <c r="O1146" s="5"/>
      <c r="P1146" s="5"/>
      <c r="AM1146" s="5"/>
      <c r="AR1146" s="32"/>
    </row>
    <row r="1147" spans="13:44">
      <c r="M1147" s="5"/>
      <c r="N1147" s="5"/>
      <c r="O1147" s="5"/>
      <c r="P1147" s="5"/>
      <c r="AM1147" s="5"/>
      <c r="AR1147" s="32"/>
    </row>
    <row r="1148" spans="13:44">
      <c r="M1148" s="5"/>
      <c r="N1148" s="5"/>
      <c r="O1148" s="5"/>
      <c r="P1148" s="5"/>
      <c r="AM1148" s="5"/>
      <c r="AR1148" s="32"/>
    </row>
    <row r="1149" spans="13:44">
      <c r="M1149" s="5"/>
      <c r="N1149" s="5"/>
      <c r="O1149" s="5"/>
      <c r="P1149" s="5"/>
      <c r="AM1149" s="5"/>
      <c r="AR1149" s="32"/>
    </row>
    <row r="1150" spans="13:44">
      <c r="M1150" s="5"/>
      <c r="N1150" s="5"/>
      <c r="O1150" s="5"/>
      <c r="P1150" s="5"/>
      <c r="AM1150" s="5"/>
      <c r="AR1150" s="32"/>
    </row>
    <row r="1151" spans="13:44">
      <c r="M1151" s="5"/>
      <c r="N1151" s="5"/>
      <c r="O1151" s="5"/>
      <c r="P1151" s="5"/>
      <c r="AM1151" s="5"/>
      <c r="AR1151" s="32"/>
    </row>
    <row r="1152" spans="13:44">
      <c r="M1152" s="5"/>
      <c r="N1152" s="5"/>
      <c r="O1152" s="5"/>
      <c r="P1152" s="5"/>
      <c r="AM1152" s="5"/>
      <c r="AR1152" s="32"/>
    </row>
    <row r="1153" spans="13:44">
      <c r="M1153" s="5"/>
      <c r="N1153" s="5"/>
      <c r="O1153" s="5"/>
      <c r="P1153" s="5"/>
      <c r="AM1153" s="5"/>
      <c r="AR1153" s="32"/>
    </row>
    <row r="1154" spans="13:44">
      <c r="M1154" s="5"/>
      <c r="N1154" s="5"/>
      <c r="O1154" s="5"/>
      <c r="P1154" s="5"/>
      <c r="AM1154" s="5"/>
      <c r="AR1154" s="32"/>
    </row>
    <row r="1155" spans="13:44">
      <c r="M1155" s="5"/>
      <c r="N1155" s="5"/>
      <c r="O1155" s="5"/>
      <c r="P1155" s="5"/>
      <c r="AM1155" s="5"/>
      <c r="AR1155" s="32"/>
    </row>
    <row r="1156" spans="13:44">
      <c r="M1156" s="5"/>
      <c r="N1156" s="5"/>
      <c r="O1156" s="5"/>
      <c r="P1156" s="5"/>
      <c r="AM1156" s="5"/>
      <c r="AR1156" s="32"/>
    </row>
    <row r="1157" spans="13:44">
      <c r="M1157" s="5"/>
      <c r="N1157" s="5"/>
      <c r="O1157" s="5"/>
      <c r="P1157" s="5"/>
      <c r="AM1157" s="5"/>
      <c r="AR1157" s="32"/>
    </row>
    <row r="1158" spans="13:44">
      <c r="M1158" s="5"/>
      <c r="N1158" s="5"/>
      <c r="O1158" s="5"/>
      <c r="P1158" s="5"/>
      <c r="AM1158" s="5"/>
      <c r="AR1158" s="32"/>
    </row>
    <row r="1159" spans="13:44">
      <c r="M1159" s="5"/>
      <c r="N1159" s="5"/>
      <c r="O1159" s="5"/>
      <c r="P1159" s="5"/>
      <c r="AM1159" s="5"/>
      <c r="AR1159" s="32"/>
    </row>
    <row r="1160" spans="13:44">
      <c r="M1160" s="5"/>
      <c r="N1160" s="5"/>
      <c r="O1160" s="5"/>
      <c r="P1160" s="5"/>
      <c r="AM1160" s="5"/>
      <c r="AR1160" s="32"/>
    </row>
    <row r="1161" spans="13:44">
      <c r="M1161" s="5"/>
      <c r="N1161" s="5"/>
      <c r="O1161" s="5"/>
      <c r="P1161" s="5"/>
      <c r="AM1161" s="5"/>
      <c r="AR1161" s="32"/>
    </row>
    <row r="1162" spans="13:44">
      <c r="M1162" s="5"/>
      <c r="N1162" s="5"/>
      <c r="O1162" s="5"/>
      <c r="P1162" s="5"/>
      <c r="AM1162" s="5"/>
      <c r="AR1162" s="32"/>
    </row>
    <row r="1163" spans="13:44">
      <c r="M1163" s="5"/>
      <c r="N1163" s="5"/>
      <c r="O1163" s="5"/>
      <c r="P1163" s="5"/>
      <c r="AM1163" s="5"/>
      <c r="AR1163" s="32"/>
    </row>
    <row r="1164" spans="13:44">
      <c r="M1164" s="5"/>
      <c r="N1164" s="5"/>
      <c r="O1164" s="5"/>
      <c r="P1164" s="5"/>
      <c r="AM1164" s="5"/>
      <c r="AR1164" s="32"/>
    </row>
    <row r="1165" spans="13:44">
      <c r="M1165" s="5"/>
      <c r="N1165" s="5"/>
      <c r="O1165" s="5"/>
      <c r="P1165" s="5"/>
      <c r="AM1165" s="5"/>
      <c r="AR1165" s="32"/>
    </row>
    <row r="1166" spans="13:44">
      <c r="M1166" s="5"/>
      <c r="N1166" s="5"/>
      <c r="O1166" s="5"/>
      <c r="P1166" s="5"/>
      <c r="AM1166" s="5"/>
      <c r="AR1166" s="32"/>
    </row>
    <row r="1167" spans="13:44">
      <c r="M1167" s="5"/>
      <c r="N1167" s="5"/>
      <c r="O1167" s="5"/>
      <c r="P1167" s="5"/>
      <c r="AM1167" s="5"/>
      <c r="AR1167" s="32"/>
    </row>
    <row r="1168" spans="13:44">
      <c r="M1168" s="5"/>
      <c r="N1168" s="5"/>
      <c r="O1168" s="5"/>
      <c r="P1168" s="5"/>
      <c r="AM1168" s="5"/>
      <c r="AR1168" s="32"/>
    </row>
    <row r="1169" spans="13:44">
      <c r="M1169" s="5"/>
      <c r="N1169" s="5"/>
      <c r="O1169" s="5"/>
      <c r="P1169" s="5"/>
      <c r="AM1169" s="5"/>
      <c r="AR1169" s="32"/>
    </row>
    <row r="1170" spans="13:44">
      <c r="M1170" s="5"/>
      <c r="N1170" s="5"/>
      <c r="O1170" s="5"/>
      <c r="P1170" s="5"/>
      <c r="AM1170" s="5"/>
      <c r="AR1170" s="32"/>
    </row>
    <row r="1171" spans="13:44">
      <c r="M1171" s="5"/>
      <c r="N1171" s="5"/>
      <c r="O1171" s="5"/>
      <c r="P1171" s="5"/>
      <c r="AM1171" s="5"/>
      <c r="AR1171" s="32"/>
    </row>
    <row r="1172" spans="13:44">
      <c r="M1172" s="5"/>
      <c r="N1172" s="5"/>
      <c r="O1172" s="5"/>
      <c r="P1172" s="5"/>
      <c r="AM1172" s="5"/>
      <c r="AR1172" s="32"/>
    </row>
    <row r="1173" spans="13:44">
      <c r="M1173" s="5"/>
      <c r="N1173" s="5"/>
      <c r="O1173" s="5"/>
      <c r="P1173" s="5"/>
      <c r="AM1173" s="5"/>
      <c r="AR1173" s="32"/>
    </row>
    <row r="1174" spans="13:44">
      <c r="M1174" s="5"/>
      <c r="N1174" s="5"/>
      <c r="O1174" s="5"/>
      <c r="P1174" s="5"/>
      <c r="AM1174" s="5"/>
      <c r="AR1174" s="32"/>
    </row>
    <row r="1175" spans="13:44">
      <c r="M1175" s="5"/>
      <c r="N1175" s="5"/>
      <c r="O1175" s="5"/>
      <c r="P1175" s="5"/>
      <c r="AM1175" s="5"/>
      <c r="AR1175" s="32"/>
    </row>
    <row r="1176" spans="13:44">
      <c r="M1176" s="5"/>
      <c r="N1176" s="5"/>
      <c r="O1176" s="5"/>
      <c r="P1176" s="5"/>
      <c r="AM1176" s="5"/>
      <c r="AR1176" s="32"/>
    </row>
    <row r="1177" spans="13:44">
      <c r="M1177" s="5"/>
      <c r="N1177" s="5"/>
      <c r="O1177" s="5"/>
      <c r="P1177" s="5"/>
      <c r="AM1177" s="5"/>
      <c r="AR1177" s="32"/>
    </row>
    <row r="1178" spans="13:44">
      <c r="M1178" s="5"/>
      <c r="N1178" s="5"/>
      <c r="O1178" s="5"/>
      <c r="P1178" s="5"/>
      <c r="AM1178" s="5"/>
      <c r="AR1178" s="32"/>
    </row>
    <row r="1179" spans="13:44">
      <c r="M1179" s="5"/>
      <c r="N1179" s="5"/>
      <c r="O1179" s="5"/>
      <c r="P1179" s="5"/>
      <c r="AM1179" s="5"/>
      <c r="AR1179" s="32"/>
    </row>
    <row r="1180" spans="13:44">
      <c r="M1180" s="5"/>
      <c r="N1180" s="5"/>
      <c r="O1180" s="5"/>
      <c r="P1180" s="5"/>
      <c r="AM1180" s="5"/>
      <c r="AR1180" s="32"/>
    </row>
    <row r="1181" spans="13:44">
      <c r="M1181" s="5"/>
      <c r="N1181" s="5"/>
      <c r="O1181" s="5"/>
      <c r="P1181" s="5"/>
      <c r="AM1181" s="5"/>
      <c r="AR1181" s="32"/>
    </row>
    <row r="1182" spans="13:44">
      <c r="M1182" s="5"/>
      <c r="N1182" s="5"/>
      <c r="O1182" s="5"/>
      <c r="P1182" s="5"/>
      <c r="AM1182" s="5"/>
      <c r="AR1182" s="32"/>
    </row>
    <row r="1183" spans="13:44">
      <c r="M1183" s="5"/>
      <c r="N1183" s="5"/>
      <c r="O1183" s="5"/>
      <c r="P1183" s="5"/>
      <c r="AM1183" s="5"/>
      <c r="AR1183" s="32"/>
    </row>
    <row r="1184" spans="13:44">
      <c r="M1184" s="5"/>
      <c r="N1184" s="5"/>
      <c r="O1184" s="5"/>
      <c r="P1184" s="5"/>
      <c r="AM1184" s="5"/>
      <c r="AR1184" s="32"/>
    </row>
    <row r="1185" spans="13:44">
      <c r="M1185" s="5"/>
      <c r="N1185" s="5"/>
      <c r="O1185" s="5"/>
      <c r="P1185" s="5"/>
      <c r="AM1185" s="5"/>
      <c r="AR1185" s="32"/>
    </row>
    <row r="1186" spans="13:44">
      <c r="M1186" s="5"/>
      <c r="N1186" s="5"/>
      <c r="O1186" s="5"/>
      <c r="P1186" s="5"/>
      <c r="AM1186" s="5"/>
      <c r="AR1186" s="32"/>
    </row>
    <row r="1187" spans="13:44">
      <c r="M1187" s="5"/>
      <c r="N1187" s="5"/>
      <c r="O1187" s="5"/>
      <c r="P1187" s="5"/>
      <c r="AM1187" s="5"/>
      <c r="AR1187" s="32"/>
    </row>
    <row r="1188" spans="13:44">
      <c r="M1188" s="5"/>
      <c r="N1188" s="5"/>
      <c r="O1188" s="5"/>
      <c r="P1188" s="5"/>
      <c r="AM1188" s="5"/>
      <c r="AR1188" s="32"/>
    </row>
    <row r="1189" spans="13:44">
      <c r="M1189" s="5"/>
      <c r="N1189" s="5"/>
      <c r="O1189" s="5"/>
      <c r="P1189" s="5"/>
      <c r="AM1189" s="5"/>
      <c r="AR1189" s="32"/>
    </row>
    <row r="1190" spans="13:44">
      <c r="M1190" s="5"/>
      <c r="N1190" s="5"/>
      <c r="O1190" s="5"/>
      <c r="P1190" s="5"/>
      <c r="AM1190" s="5"/>
      <c r="AR1190" s="32"/>
    </row>
    <row r="1191" spans="13:44">
      <c r="M1191" s="5"/>
      <c r="N1191" s="5"/>
      <c r="O1191" s="5"/>
      <c r="P1191" s="5"/>
      <c r="AM1191" s="5"/>
      <c r="AR1191" s="32"/>
    </row>
    <row r="1192" spans="13:44">
      <c r="M1192" s="5"/>
      <c r="N1192" s="5"/>
      <c r="O1192" s="5"/>
      <c r="P1192" s="5"/>
      <c r="AM1192" s="5"/>
      <c r="AR1192" s="32"/>
    </row>
    <row r="1193" spans="13:44">
      <c r="M1193" s="5"/>
      <c r="N1193" s="5"/>
      <c r="O1193" s="5"/>
      <c r="P1193" s="5"/>
      <c r="AM1193" s="5"/>
      <c r="AR1193" s="32"/>
    </row>
    <row r="1194" spans="13:44">
      <c r="M1194" s="5"/>
      <c r="N1194" s="5"/>
      <c r="O1194" s="5"/>
      <c r="P1194" s="5"/>
      <c r="AM1194" s="5"/>
      <c r="AR1194" s="32"/>
    </row>
    <row r="1195" spans="13:44">
      <c r="M1195" s="5"/>
      <c r="N1195" s="5"/>
      <c r="O1195" s="5"/>
      <c r="P1195" s="5"/>
      <c r="AM1195" s="5"/>
      <c r="AR1195" s="32"/>
    </row>
    <row r="1196" spans="13:44">
      <c r="M1196" s="5"/>
      <c r="N1196" s="5"/>
      <c r="O1196" s="5"/>
      <c r="P1196" s="5"/>
      <c r="AM1196" s="5"/>
      <c r="AR1196" s="32"/>
    </row>
    <row r="1197" spans="13:44">
      <c r="M1197" s="5"/>
      <c r="N1197" s="5"/>
      <c r="O1197" s="5"/>
      <c r="P1197" s="5"/>
      <c r="AM1197" s="5"/>
      <c r="AR1197" s="32"/>
    </row>
    <row r="1198" spans="13:44">
      <c r="M1198" s="5"/>
      <c r="N1198" s="5"/>
      <c r="O1198" s="5"/>
      <c r="P1198" s="5"/>
      <c r="AM1198" s="5"/>
      <c r="AR1198" s="32"/>
    </row>
    <row r="1199" spans="13:44">
      <c r="M1199" s="5"/>
      <c r="N1199" s="5"/>
      <c r="O1199" s="5"/>
      <c r="P1199" s="5"/>
      <c r="AM1199" s="5"/>
      <c r="AR1199" s="32"/>
    </row>
    <row r="1200" spans="13:44">
      <c r="M1200" s="5"/>
      <c r="N1200" s="5"/>
      <c r="O1200" s="5"/>
      <c r="P1200" s="5"/>
      <c r="AM1200" s="5"/>
      <c r="AR1200" s="32"/>
    </row>
    <row r="1201" spans="13:44">
      <c r="M1201" s="5"/>
      <c r="N1201" s="5"/>
      <c r="O1201" s="5"/>
      <c r="P1201" s="5"/>
      <c r="AM1201" s="5"/>
      <c r="AR1201" s="32"/>
    </row>
    <row r="1202" spans="13:44">
      <c r="M1202" s="5"/>
      <c r="N1202" s="5"/>
      <c r="O1202" s="5"/>
      <c r="P1202" s="5"/>
      <c r="AM1202" s="5"/>
      <c r="AR1202" s="32"/>
    </row>
    <row r="1203" spans="13:44">
      <c r="M1203" s="5"/>
      <c r="N1203" s="5"/>
      <c r="O1203" s="5"/>
      <c r="P1203" s="5"/>
      <c r="AM1203" s="5"/>
      <c r="AR1203" s="32"/>
    </row>
    <row r="1204" spans="13:44">
      <c r="M1204" s="5"/>
      <c r="N1204" s="5"/>
      <c r="O1204" s="5"/>
      <c r="P1204" s="5"/>
      <c r="AM1204" s="5"/>
      <c r="AR1204" s="32"/>
    </row>
    <row r="1205" spans="13:44">
      <c r="M1205" s="5"/>
      <c r="N1205" s="5"/>
      <c r="O1205" s="5"/>
      <c r="P1205" s="5"/>
      <c r="AM1205" s="5"/>
      <c r="AR1205" s="32"/>
    </row>
    <row r="1206" spans="13:44">
      <c r="M1206" s="5"/>
      <c r="N1206" s="5"/>
      <c r="O1206" s="5"/>
      <c r="P1206" s="5"/>
      <c r="AM1206" s="5"/>
      <c r="AR1206" s="32"/>
    </row>
    <row r="1207" spans="13:44">
      <c r="M1207" s="5"/>
      <c r="N1207" s="5"/>
      <c r="O1207" s="5"/>
      <c r="P1207" s="5"/>
      <c r="AM1207" s="5"/>
      <c r="AR1207" s="32"/>
    </row>
    <row r="1208" spans="13:44">
      <c r="M1208" s="5"/>
      <c r="N1208" s="5"/>
      <c r="O1208" s="5"/>
      <c r="P1208" s="5"/>
      <c r="AM1208" s="5"/>
      <c r="AR1208" s="32"/>
    </row>
    <row r="1209" spans="13:44">
      <c r="M1209" s="5"/>
      <c r="N1209" s="5"/>
      <c r="O1209" s="5"/>
      <c r="P1209" s="5"/>
      <c r="AM1209" s="5"/>
      <c r="AR1209" s="32"/>
    </row>
    <row r="1210" spans="13:44">
      <c r="M1210" s="5"/>
      <c r="N1210" s="5"/>
      <c r="O1210" s="5"/>
      <c r="P1210" s="5"/>
      <c r="AM1210" s="5"/>
      <c r="AR1210" s="32"/>
    </row>
    <row r="1211" spans="13:44">
      <c r="M1211" s="5"/>
      <c r="N1211" s="5"/>
      <c r="O1211" s="5"/>
      <c r="P1211" s="5"/>
      <c r="AM1211" s="5"/>
      <c r="AR1211" s="32"/>
    </row>
    <row r="1212" spans="13:44">
      <c r="M1212" s="5"/>
      <c r="N1212" s="5"/>
      <c r="O1212" s="5"/>
      <c r="P1212" s="5"/>
      <c r="AM1212" s="5"/>
      <c r="AR1212" s="32"/>
    </row>
    <row r="1213" spans="13:44">
      <c r="M1213" s="5"/>
      <c r="N1213" s="5"/>
      <c r="O1213" s="5"/>
      <c r="P1213" s="5"/>
      <c r="AM1213" s="5"/>
      <c r="AR1213" s="32"/>
    </row>
    <row r="1214" spans="13:44">
      <c r="M1214" s="5"/>
      <c r="N1214" s="5"/>
      <c r="O1214" s="5"/>
      <c r="P1214" s="5"/>
      <c r="AM1214" s="5"/>
      <c r="AR1214" s="32"/>
    </row>
    <row r="1215" spans="13:44">
      <c r="M1215" s="5"/>
      <c r="N1215" s="5"/>
      <c r="O1215" s="5"/>
      <c r="P1215" s="5"/>
      <c r="AM1215" s="5"/>
      <c r="AR1215" s="32"/>
    </row>
    <row r="1216" spans="13:44">
      <c r="M1216" s="5"/>
      <c r="N1216" s="5"/>
      <c r="O1216" s="5"/>
      <c r="P1216" s="5"/>
      <c r="AM1216" s="5"/>
      <c r="AR1216" s="32"/>
    </row>
    <row r="1217" spans="13:44">
      <c r="M1217" s="5"/>
      <c r="N1217" s="5"/>
      <c r="O1217" s="5"/>
      <c r="P1217" s="5"/>
      <c r="AM1217" s="5"/>
      <c r="AR1217" s="32"/>
    </row>
    <row r="1218" spans="13:44">
      <c r="M1218" s="5"/>
      <c r="N1218" s="5"/>
      <c r="O1218" s="5"/>
      <c r="P1218" s="5"/>
      <c r="AM1218" s="5"/>
      <c r="AR1218" s="32"/>
    </row>
    <row r="1219" spans="13:44">
      <c r="M1219" s="5"/>
      <c r="N1219" s="5"/>
      <c r="O1219" s="5"/>
      <c r="P1219" s="5"/>
      <c r="AM1219" s="5"/>
      <c r="AR1219" s="32"/>
    </row>
    <row r="1220" spans="13:44">
      <c r="M1220" s="5"/>
      <c r="N1220" s="5"/>
      <c r="O1220" s="5"/>
      <c r="P1220" s="5"/>
      <c r="AM1220" s="5"/>
      <c r="AR1220" s="32"/>
    </row>
    <row r="1221" spans="13:44">
      <c r="M1221" s="5"/>
      <c r="N1221" s="5"/>
      <c r="O1221" s="5"/>
      <c r="P1221" s="5"/>
      <c r="AM1221" s="5"/>
      <c r="AR1221" s="32"/>
    </row>
    <row r="1222" spans="13:44">
      <c r="M1222" s="5"/>
      <c r="N1222" s="5"/>
      <c r="O1222" s="5"/>
      <c r="P1222" s="5"/>
      <c r="AM1222" s="5"/>
      <c r="AR1222" s="32"/>
    </row>
    <row r="1223" spans="13:44">
      <c r="M1223" s="5"/>
      <c r="N1223" s="5"/>
      <c r="O1223" s="5"/>
      <c r="P1223" s="5"/>
      <c r="AM1223" s="5"/>
      <c r="AR1223" s="32"/>
    </row>
    <row r="1224" spans="13:44">
      <c r="M1224" s="5"/>
      <c r="N1224" s="5"/>
      <c r="O1224" s="5"/>
      <c r="P1224" s="5"/>
      <c r="AM1224" s="5"/>
      <c r="AR1224" s="32"/>
    </row>
    <row r="1225" spans="13:44">
      <c r="M1225" s="5"/>
      <c r="N1225" s="5"/>
      <c r="O1225" s="5"/>
      <c r="P1225" s="5"/>
      <c r="AM1225" s="5"/>
      <c r="AR1225" s="32"/>
    </row>
    <row r="1226" spans="13:44">
      <c r="M1226" s="5"/>
      <c r="N1226" s="5"/>
      <c r="O1226" s="5"/>
      <c r="P1226" s="5"/>
      <c r="AM1226" s="5"/>
      <c r="AR1226" s="32"/>
    </row>
    <row r="1227" spans="13:44">
      <c r="M1227" s="5"/>
      <c r="N1227" s="5"/>
      <c r="O1227" s="5"/>
      <c r="P1227" s="5"/>
      <c r="AM1227" s="5"/>
      <c r="AR1227" s="32"/>
    </row>
    <row r="1228" spans="13:44">
      <c r="M1228" s="5"/>
      <c r="N1228" s="5"/>
      <c r="O1228" s="5"/>
      <c r="P1228" s="5"/>
      <c r="AM1228" s="5"/>
      <c r="AR1228" s="32"/>
    </row>
    <row r="1229" spans="13:44">
      <c r="M1229" s="5"/>
      <c r="N1229" s="5"/>
      <c r="O1229" s="5"/>
      <c r="P1229" s="5"/>
      <c r="AM1229" s="5"/>
      <c r="AR1229" s="32"/>
    </row>
    <row r="1230" spans="13:44">
      <c r="M1230" s="5"/>
      <c r="N1230" s="5"/>
      <c r="O1230" s="5"/>
      <c r="P1230" s="5"/>
      <c r="AM1230" s="5"/>
      <c r="AR1230" s="32"/>
    </row>
    <row r="1231" spans="13:44">
      <c r="M1231" s="5"/>
      <c r="N1231" s="5"/>
      <c r="O1231" s="5"/>
      <c r="P1231" s="5"/>
      <c r="AM1231" s="5"/>
      <c r="AR1231" s="32"/>
    </row>
    <row r="1232" spans="13:44">
      <c r="M1232" s="5"/>
      <c r="N1232" s="5"/>
      <c r="O1232" s="5"/>
      <c r="P1232" s="5"/>
      <c r="AM1232" s="5"/>
      <c r="AR1232" s="32"/>
    </row>
    <row r="1233" spans="13:44">
      <c r="M1233" s="5"/>
      <c r="N1233" s="5"/>
      <c r="O1233" s="5"/>
      <c r="P1233" s="5"/>
      <c r="AM1233" s="5"/>
      <c r="AR1233" s="32"/>
    </row>
    <row r="1234" spans="13:44">
      <c r="M1234" s="5"/>
      <c r="N1234" s="5"/>
      <c r="O1234" s="5"/>
      <c r="P1234" s="5"/>
      <c r="AM1234" s="5"/>
      <c r="AR1234" s="32"/>
    </row>
    <row r="1235" spans="13:44">
      <c r="M1235" s="5"/>
      <c r="N1235" s="5"/>
      <c r="O1235" s="5"/>
      <c r="P1235" s="5"/>
      <c r="AM1235" s="5"/>
      <c r="AR1235" s="32"/>
    </row>
    <row r="1236" spans="13:44">
      <c r="M1236" s="5"/>
      <c r="N1236" s="5"/>
      <c r="O1236" s="5"/>
      <c r="P1236" s="5"/>
      <c r="AM1236" s="5"/>
      <c r="AR1236" s="32"/>
    </row>
    <row r="1237" spans="13:44">
      <c r="M1237" s="5"/>
      <c r="N1237" s="5"/>
      <c r="O1237" s="5"/>
      <c r="P1237" s="5"/>
      <c r="AM1237" s="5"/>
      <c r="AR1237" s="32"/>
    </row>
    <row r="1238" spans="13:44">
      <c r="M1238" s="5"/>
      <c r="N1238" s="5"/>
      <c r="O1238" s="5"/>
      <c r="P1238" s="5"/>
      <c r="AM1238" s="5"/>
      <c r="AR1238" s="32"/>
    </row>
    <row r="1239" spans="13:44">
      <c r="M1239" s="5"/>
      <c r="N1239" s="5"/>
      <c r="O1239" s="5"/>
      <c r="P1239" s="5"/>
      <c r="AM1239" s="5"/>
      <c r="AR1239" s="32"/>
    </row>
    <row r="1240" spans="13:44">
      <c r="M1240" s="5"/>
      <c r="N1240" s="5"/>
      <c r="O1240" s="5"/>
      <c r="P1240" s="5"/>
      <c r="AM1240" s="5"/>
      <c r="AR1240" s="32"/>
    </row>
    <row r="1241" spans="13:44">
      <c r="M1241" s="5"/>
      <c r="N1241" s="5"/>
      <c r="O1241" s="5"/>
      <c r="P1241" s="5"/>
      <c r="AM1241" s="5"/>
      <c r="AR1241" s="32"/>
    </row>
    <row r="1242" spans="13:44">
      <c r="M1242" s="5"/>
      <c r="N1242" s="5"/>
      <c r="O1242" s="5"/>
      <c r="P1242" s="5"/>
      <c r="AM1242" s="5"/>
      <c r="AR1242" s="32"/>
    </row>
    <row r="1243" spans="13:44">
      <c r="M1243" s="5"/>
      <c r="N1243" s="5"/>
      <c r="O1243" s="5"/>
      <c r="P1243" s="5"/>
      <c r="AM1243" s="5"/>
      <c r="AR1243" s="32"/>
    </row>
    <row r="1244" spans="13:44">
      <c r="M1244" s="5"/>
      <c r="N1244" s="5"/>
      <c r="O1244" s="5"/>
      <c r="P1244" s="5"/>
      <c r="AM1244" s="5"/>
      <c r="AR1244" s="32"/>
    </row>
    <row r="1245" spans="13:44">
      <c r="M1245" s="5"/>
      <c r="N1245" s="5"/>
      <c r="O1245" s="5"/>
      <c r="P1245" s="5"/>
      <c r="AM1245" s="5"/>
      <c r="AR1245" s="32"/>
    </row>
    <row r="1246" spans="13:44">
      <c r="M1246" s="5"/>
      <c r="N1246" s="5"/>
      <c r="O1246" s="5"/>
      <c r="P1246" s="5"/>
      <c r="AM1246" s="5"/>
      <c r="AR1246" s="32"/>
    </row>
    <row r="1247" spans="13:44">
      <c r="M1247" s="5"/>
      <c r="N1247" s="5"/>
      <c r="O1247" s="5"/>
      <c r="P1247" s="5"/>
      <c r="AM1247" s="5"/>
      <c r="AR1247" s="32"/>
    </row>
    <row r="1248" spans="13:44">
      <c r="M1248" s="5"/>
      <c r="N1248" s="5"/>
      <c r="O1248" s="5"/>
      <c r="P1248" s="5"/>
      <c r="AM1248" s="5"/>
      <c r="AR1248" s="32"/>
    </row>
    <row r="1249" spans="13:44">
      <c r="M1249" s="5"/>
      <c r="N1249" s="5"/>
      <c r="O1249" s="5"/>
      <c r="P1249" s="5"/>
      <c r="AM1249" s="5"/>
      <c r="AR1249" s="32"/>
    </row>
    <row r="1250" spans="13:44">
      <c r="M1250" s="5"/>
      <c r="N1250" s="5"/>
      <c r="O1250" s="5"/>
      <c r="P1250" s="5"/>
      <c r="AM1250" s="5"/>
      <c r="AR1250" s="32"/>
    </row>
    <row r="1251" spans="13:44">
      <c r="M1251" s="5"/>
      <c r="N1251" s="5"/>
      <c r="O1251" s="5"/>
      <c r="P1251" s="5"/>
      <c r="AM1251" s="5"/>
      <c r="AR1251" s="32"/>
    </row>
    <row r="1252" spans="13:44">
      <c r="M1252" s="5"/>
      <c r="N1252" s="5"/>
      <c r="O1252" s="5"/>
      <c r="P1252" s="5"/>
      <c r="AM1252" s="5"/>
      <c r="AR1252" s="32"/>
    </row>
    <row r="1253" spans="13:44">
      <c r="M1253" s="5"/>
      <c r="N1253" s="5"/>
      <c r="O1253" s="5"/>
      <c r="P1253" s="5"/>
      <c r="AM1253" s="5"/>
      <c r="AR1253" s="32"/>
    </row>
    <row r="1254" spans="13:44">
      <c r="M1254" s="5"/>
      <c r="N1254" s="5"/>
      <c r="O1254" s="5"/>
      <c r="P1254" s="5"/>
      <c r="AM1254" s="5"/>
      <c r="AR1254" s="32"/>
    </row>
    <row r="1255" spans="13:44">
      <c r="M1255" s="5"/>
      <c r="N1255" s="5"/>
      <c r="O1255" s="5"/>
      <c r="P1255" s="5"/>
      <c r="AM1255" s="5"/>
      <c r="AR1255" s="32"/>
    </row>
    <row r="1256" spans="13:44">
      <c r="M1256" s="5"/>
      <c r="N1256" s="5"/>
      <c r="O1256" s="5"/>
      <c r="P1256" s="5"/>
      <c r="AM1256" s="5"/>
      <c r="AR1256" s="32"/>
    </row>
    <row r="1257" spans="13:44">
      <c r="M1257" s="5"/>
      <c r="N1257" s="5"/>
      <c r="O1257" s="5"/>
      <c r="P1257" s="5"/>
      <c r="AM1257" s="5"/>
      <c r="AR1257" s="32"/>
    </row>
    <row r="1258" spans="13:44">
      <c r="M1258" s="5"/>
      <c r="N1258" s="5"/>
      <c r="O1258" s="5"/>
      <c r="P1258" s="5"/>
      <c r="AM1258" s="5"/>
      <c r="AR1258" s="32"/>
    </row>
    <row r="1259" spans="13:44">
      <c r="M1259" s="5"/>
      <c r="N1259" s="5"/>
      <c r="O1259" s="5"/>
      <c r="P1259" s="5"/>
      <c r="AM1259" s="5"/>
      <c r="AR1259" s="32"/>
    </row>
    <row r="1260" spans="13:44">
      <c r="M1260" s="5"/>
      <c r="N1260" s="5"/>
      <c r="O1260" s="5"/>
      <c r="P1260" s="5"/>
      <c r="AM1260" s="5"/>
      <c r="AR1260" s="32"/>
    </row>
    <row r="1261" spans="13:44">
      <c r="M1261" s="5"/>
      <c r="N1261" s="5"/>
      <c r="O1261" s="5"/>
      <c r="P1261" s="5"/>
      <c r="AM1261" s="5"/>
      <c r="AR1261" s="32"/>
    </row>
    <row r="1262" spans="13:44">
      <c r="M1262" s="5"/>
      <c r="N1262" s="5"/>
      <c r="O1262" s="5"/>
      <c r="P1262" s="5"/>
      <c r="AM1262" s="5"/>
      <c r="AR1262" s="32"/>
    </row>
    <row r="1263" spans="13:44">
      <c r="M1263" s="5"/>
      <c r="N1263" s="5"/>
      <c r="O1263" s="5"/>
      <c r="P1263" s="5"/>
      <c r="AM1263" s="5"/>
      <c r="AR1263" s="32"/>
    </row>
    <row r="1264" spans="13:44">
      <c r="M1264" s="5"/>
      <c r="N1264" s="5"/>
      <c r="O1264" s="5"/>
      <c r="P1264" s="5"/>
      <c r="AM1264" s="5"/>
      <c r="AR1264" s="32"/>
    </row>
    <row r="1265" spans="13:44">
      <c r="M1265" s="5"/>
      <c r="N1265" s="5"/>
      <c r="O1265" s="5"/>
      <c r="P1265" s="5"/>
      <c r="AM1265" s="5"/>
      <c r="AR1265" s="32"/>
    </row>
    <row r="1266" spans="13:44">
      <c r="M1266" s="5"/>
      <c r="N1266" s="5"/>
      <c r="O1266" s="5"/>
      <c r="P1266" s="5"/>
      <c r="AM1266" s="5"/>
      <c r="AR1266" s="32"/>
    </row>
    <row r="1267" spans="13:44">
      <c r="M1267" s="5"/>
      <c r="N1267" s="5"/>
      <c r="O1267" s="5"/>
      <c r="P1267" s="5"/>
      <c r="AM1267" s="5"/>
      <c r="AR1267" s="32"/>
    </row>
    <row r="1268" spans="13:44">
      <c r="M1268" s="5"/>
      <c r="N1268" s="5"/>
      <c r="O1268" s="5"/>
      <c r="P1268" s="5"/>
      <c r="AM1268" s="5"/>
      <c r="AR1268" s="32"/>
    </row>
    <row r="1269" spans="13:44">
      <c r="M1269" s="5"/>
      <c r="N1269" s="5"/>
      <c r="O1269" s="5"/>
      <c r="P1269" s="5"/>
      <c r="AM1269" s="5"/>
      <c r="AR1269" s="32"/>
    </row>
    <row r="1270" spans="13:44">
      <c r="M1270" s="5"/>
      <c r="N1270" s="5"/>
      <c r="O1270" s="5"/>
      <c r="P1270" s="5"/>
      <c r="AM1270" s="5"/>
      <c r="AR1270" s="32"/>
    </row>
    <row r="1271" spans="13:44">
      <c r="M1271" s="5"/>
      <c r="N1271" s="5"/>
      <c r="O1271" s="5"/>
      <c r="P1271" s="5"/>
      <c r="AM1271" s="5"/>
      <c r="AR1271" s="32"/>
    </row>
    <row r="1272" spans="13:44">
      <c r="M1272" s="5"/>
      <c r="N1272" s="5"/>
      <c r="O1272" s="5"/>
      <c r="P1272" s="5"/>
      <c r="AM1272" s="5"/>
      <c r="AR1272" s="32"/>
    </row>
    <row r="1273" spans="13:44">
      <c r="M1273" s="5"/>
      <c r="N1273" s="5"/>
      <c r="O1273" s="5"/>
      <c r="P1273" s="5"/>
      <c r="AM1273" s="5"/>
      <c r="AR1273" s="32"/>
    </row>
    <row r="1274" spans="13:44">
      <c r="M1274" s="5"/>
      <c r="N1274" s="5"/>
      <c r="O1274" s="5"/>
      <c r="P1274" s="5"/>
      <c r="AM1274" s="5"/>
      <c r="AR1274" s="32"/>
    </row>
    <row r="1275" spans="13:44">
      <c r="M1275" s="5"/>
      <c r="N1275" s="5"/>
      <c r="O1275" s="5"/>
      <c r="P1275" s="5"/>
      <c r="AM1275" s="5"/>
      <c r="AR1275" s="32"/>
    </row>
    <row r="1276" spans="13:44">
      <c r="M1276" s="5"/>
      <c r="N1276" s="5"/>
      <c r="O1276" s="5"/>
      <c r="P1276" s="5"/>
      <c r="AM1276" s="5"/>
      <c r="AR1276" s="32"/>
    </row>
    <row r="1277" spans="13:44">
      <c r="M1277" s="5"/>
      <c r="N1277" s="5"/>
      <c r="O1277" s="5"/>
      <c r="P1277" s="5"/>
      <c r="AM1277" s="5"/>
      <c r="AR1277" s="32"/>
    </row>
    <row r="1278" spans="13:44">
      <c r="M1278" s="5"/>
      <c r="N1278" s="5"/>
      <c r="O1278" s="5"/>
      <c r="P1278" s="5"/>
      <c r="AM1278" s="5"/>
      <c r="AR1278" s="32"/>
    </row>
    <row r="1279" spans="13:44">
      <c r="M1279" s="5"/>
      <c r="N1279" s="5"/>
      <c r="O1279" s="5"/>
      <c r="P1279" s="5"/>
      <c r="AM1279" s="5"/>
      <c r="AR1279" s="32"/>
    </row>
    <row r="1280" spans="13:44">
      <c r="M1280" s="5"/>
      <c r="N1280" s="5"/>
      <c r="O1280" s="5"/>
      <c r="P1280" s="5"/>
      <c r="AM1280" s="5"/>
      <c r="AR1280" s="32"/>
    </row>
    <row r="1281" spans="13:44">
      <c r="M1281" s="5"/>
      <c r="N1281" s="5"/>
      <c r="O1281" s="5"/>
      <c r="P1281" s="5"/>
      <c r="AM1281" s="5"/>
      <c r="AR1281" s="32"/>
    </row>
    <row r="1282" spans="13:44">
      <c r="M1282" s="5"/>
      <c r="N1282" s="5"/>
      <c r="O1282" s="5"/>
      <c r="P1282" s="5"/>
      <c r="AM1282" s="5"/>
      <c r="AR1282" s="32"/>
    </row>
    <row r="1283" spans="13:44">
      <c r="M1283" s="5"/>
      <c r="N1283" s="5"/>
      <c r="O1283" s="5"/>
      <c r="P1283" s="5"/>
      <c r="AM1283" s="5"/>
      <c r="AR1283" s="32"/>
    </row>
    <row r="1284" spans="13:44">
      <c r="M1284" s="5"/>
      <c r="N1284" s="5"/>
      <c r="O1284" s="5"/>
      <c r="P1284" s="5"/>
      <c r="AM1284" s="5"/>
      <c r="AR1284" s="32"/>
    </row>
    <row r="1285" spans="13:44">
      <c r="M1285" s="5"/>
      <c r="N1285" s="5"/>
      <c r="O1285" s="5"/>
      <c r="P1285" s="5"/>
      <c r="AM1285" s="5"/>
      <c r="AR1285" s="32"/>
    </row>
    <row r="1286" spans="13:44">
      <c r="M1286" s="5"/>
      <c r="N1286" s="5"/>
      <c r="O1286" s="5"/>
      <c r="P1286" s="5"/>
      <c r="AM1286" s="5"/>
      <c r="AR1286" s="32"/>
    </row>
    <row r="1287" spans="13:44">
      <c r="M1287" s="5"/>
      <c r="N1287" s="5"/>
      <c r="O1287" s="5"/>
      <c r="P1287" s="5"/>
      <c r="AM1287" s="5"/>
      <c r="AR1287" s="32"/>
    </row>
    <row r="1288" spans="13:44">
      <c r="M1288" s="5"/>
      <c r="N1288" s="5"/>
      <c r="O1288" s="5"/>
      <c r="P1288" s="5"/>
      <c r="AM1288" s="5"/>
      <c r="AR1288" s="32"/>
    </row>
    <row r="1289" spans="13:44">
      <c r="M1289" s="5"/>
      <c r="N1289" s="5"/>
      <c r="O1289" s="5"/>
      <c r="P1289" s="5"/>
      <c r="AM1289" s="5"/>
      <c r="AR1289" s="32"/>
    </row>
    <row r="1290" spans="13:44">
      <c r="M1290" s="5"/>
      <c r="N1290" s="5"/>
      <c r="O1290" s="5"/>
      <c r="P1290" s="5"/>
      <c r="AM1290" s="5"/>
      <c r="AR1290" s="32"/>
    </row>
    <row r="1291" spans="13:44">
      <c r="M1291" s="5"/>
      <c r="N1291" s="5"/>
      <c r="O1291" s="5"/>
      <c r="P1291" s="5"/>
      <c r="AM1291" s="5"/>
      <c r="AR1291" s="32"/>
    </row>
    <row r="1292" spans="13:44">
      <c r="M1292" s="5"/>
      <c r="N1292" s="5"/>
      <c r="O1292" s="5"/>
      <c r="P1292" s="5"/>
      <c r="AM1292" s="5"/>
      <c r="AR1292" s="32"/>
    </row>
    <row r="1293" spans="13:44">
      <c r="M1293" s="5"/>
      <c r="N1293" s="5"/>
      <c r="O1293" s="5"/>
      <c r="P1293" s="5"/>
      <c r="AM1293" s="5"/>
      <c r="AR1293" s="32"/>
    </row>
    <row r="1294" spans="13:44">
      <c r="M1294" s="5"/>
      <c r="N1294" s="5"/>
      <c r="O1294" s="5"/>
      <c r="P1294" s="5"/>
      <c r="AM1294" s="5"/>
      <c r="AR1294" s="32"/>
    </row>
    <row r="1295" spans="13:44">
      <c r="M1295" s="5"/>
      <c r="N1295" s="5"/>
      <c r="O1295" s="5"/>
      <c r="P1295" s="5"/>
      <c r="AM1295" s="5"/>
      <c r="AR1295" s="32"/>
    </row>
    <row r="1296" spans="13:44">
      <c r="M1296" s="5"/>
      <c r="N1296" s="5"/>
      <c r="O1296" s="5"/>
      <c r="P1296" s="5"/>
      <c r="AM1296" s="5"/>
      <c r="AR1296" s="32"/>
    </row>
    <row r="1297" spans="13:44">
      <c r="M1297" s="5"/>
      <c r="N1297" s="5"/>
      <c r="O1297" s="5"/>
      <c r="P1297" s="5"/>
      <c r="AM1297" s="5"/>
      <c r="AR1297" s="32"/>
    </row>
    <row r="1298" spans="13:44">
      <c r="M1298" s="5"/>
      <c r="N1298" s="5"/>
      <c r="O1298" s="5"/>
      <c r="P1298" s="5"/>
      <c r="AM1298" s="5"/>
      <c r="AR1298" s="32"/>
    </row>
    <row r="1299" spans="13:44">
      <c r="M1299" s="5"/>
      <c r="N1299" s="5"/>
      <c r="O1299" s="5"/>
      <c r="P1299" s="5"/>
      <c r="AM1299" s="5"/>
      <c r="AR1299" s="32"/>
    </row>
    <row r="1300" spans="13:44">
      <c r="M1300" s="5"/>
      <c r="N1300" s="5"/>
      <c r="O1300" s="5"/>
      <c r="P1300" s="5"/>
      <c r="AM1300" s="5"/>
      <c r="AR1300" s="32"/>
    </row>
    <row r="1301" spans="13:44">
      <c r="M1301" s="5"/>
      <c r="N1301" s="5"/>
      <c r="O1301" s="5"/>
      <c r="P1301" s="5"/>
      <c r="AM1301" s="5"/>
      <c r="AR1301" s="32"/>
    </row>
    <row r="1302" spans="13:44">
      <c r="M1302" s="5"/>
      <c r="N1302" s="5"/>
      <c r="O1302" s="5"/>
      <c r="P1302" s="5"/>
      <c r="AM1302" s="5"/>
      <c r="AR1302" s="32"/>
    </row>
    <row r="1303" spans="13:44">
      <c r="M1303" s="5"/>
      <c r="N1303" s="5"/>
      <c r="O1303" s="5"/>
      <c r="P1303" s="5"/>
      <c r="AM1303" s="5"/>
      <c r="AR1303" s="32"/>
    </row>
    <row r="1304" spans="13:44">
      <c r="M1304" s="5"/>
      <c r="N1304" s="5"/>
      <c r="O1304" s="5"/>
      <c r="P1304" s="5"/>
      <c r="AM1304" s="5"/>
      <c r="AR1304" s="32"/>
    </row>
    <row r="1305" spans="13:44">
      <c r="M1305" s="5"/>
      <c r="N1305" s="5"/>
      <c r="O1305" s="5"/>
      <c r="P1305" s="5"/>
      <c r="AM1305" s="5"/>
      <c r="AR1305" s="32"/>
    </row>
    <row r="1306" spans="13:44">
      <c r="M1306" s="5"/>
      <c r="N1306" s="5"/>
      <c r="O1306" s="5"/>
      <c r="P1306" s="5"/>
      <c r="AM1306" s="5"/>
      <c r="AR1306" s="32"/>
    </row>
    <row r="1307" spans="13:44">
      <c r="M1307" s="5"/>
      <c r="N1307" s="5"/>
      <c r="O1307" s="5"/>
      <c r="P1307" s="5"/>
      <c r="AM1307" s="5"/>
      <c r="AR1307" s="32"/>
    </row>
    <row r="1308" spans="13:44">
      <c r="M1308" s="5"/>
      <c r="N1308" s="5"/>
      <c r="O1308" s="5"/>
      <c r="P1308" s="5"/>
      <c r="AM1308" s="5"/>
      <c r="AR1308" s="32"/>
    </row>
    <row r="1309" spans="13:44">
      <c r="M1309" s="5"/>
      <c r="N1309" s="5"/>
      <c r="O1309" s="5"/>
      <c r="P1309" s="5"/>
      <c r="AM1309" s="5"/>
      <c r="AR1309" s="32"/>
    </row>
    <row r="1310" spans="13:44">
      <c r="M1310" s="5"/>
      <c r="N1310" s="5"/>
      <c r="O1310" s="5"/>
      <c r="P1310" s="5"/>
      <c r="AM1310" s="5"/>
      <c r="AR1310" s="32"/>
    </row>
    <row r="1311" spans="13:44">
      <c r="M1311" s="5"/>
      <c r="N1311" s="5"/>
      <c r="O1311" s="5"/>
      <c r="P1311" s="5"/>
      <c r="AM1311" s="5"/>
      <c r="AR1311" s="32"/>
    </row>
    <row r="1312" spans="13:44">
      <c r="M1312" s="5"/>
      <c r="N1312" s="5"/>
      <c r="O1312" s="5"/>
      <c r="P1312" s="5"/>
      <c r="AM1312" s="5"/>
      <c r="AR1312" s="32"/>
    </row>
    <row r="1313" spans="13:44">
      <c r="M1313" s="5"/>
      <c r="N1313" s="5"/>
      <c r="O1313" s="5"/>
      <c r="P1313" s="5"/>
      <c r="AM1313" s="5"/>
      <c r="AR1313" s="32"/>
    </row>
    <row r="1314" spans="13:44">
      <c r="M1314" s="5"/>
      <c r="N1314" s="5"/>
      <c r="O1314" s="5"/>
      <c r="P1314" s="5"/>
      <c r="AM1314" s="5"/>
      <c r="AR1314" s="32"/>
    </row>
    <row r="1315" spans="13:44">
      <c r="M1315" s="5"/>
      <c r="N1315" s="5"/>
      <c r="O1315" s="5"/>
      <c r="P1315" s="5"/>
      <c r="AM1315" s="5"/>
      <c r="AR1315" s="32"/>
    </row>
    <row r="1316" spans="13:44">
      <c r="M1316" s="5"/>
      <c r="N1316" s="5"/>
      <c r="O1316" s="5"/>
      <c r="P1316" s="5"/>
      <c r="AM1316" s="5"/>
      <c r="AR1316" s="32"/>
    </row>
    <row r="1317" spans="13:44">
      <c r="M1317" s="5"/>
      <c r="N1317" s="5"/>
      <c r="O1317" s="5"/>
      <c r="P1317" s="5"/>
      <c r="AM1317" s="5"/>
      <c r="AR1317" s="32"/>
    </row>
    <row r="1318" spans="13:44">
      <c r="M1318" s="5"/>
      <c r="N1318" s="5"/>
      <c r="O1318" s="5"/>
      <c r="P1318" s="5"/>
      <c r="AM1318" s="5"/>
      <c r="AR1318" s="32"/>
    </row>
    <row r="1319" spans="13:44">
      <c r="M1319" s="5"/>
      <c r="N1319" s="5"/>
      <c r="O1319" s="5"/>
      <c r="P1319" s="5"/>
      <c r="AM1319" s="5"/>
      <c r="AR1319" s="32"/>
    </row>
    <row r="1320" spans="13:44">
      <c r="M1320" s="5"/>
      <c r="N1320" s="5"/>
      <c r="O1320" s="5"/>
      <c r="P1320" s="5"/>
      <c r="AM1320" s="5"/>
      <c r="AR1320" s="32"/>
    </row>
    <row r="1321" spans="13:44">
      <c r="M1321" s="5"/>
      <c r="N1321" s="5"/>
      <c r="O1321" s="5"/>
      <c r="P1321" s="5"/>
      <c r="AM1321" s="5"/>
      <c r="AR1321" s="32"/>
    </row>
    <row r="1322" spans="13:44">
      <c r="M1322" s="5"/>
      <c r="N1322" s="5"/>
      <c r="O1322" s="5"/>
      <c r="P1322" s="5"/>
      <c r="AM1322" s="5"/>
      <c r="AR1322" s="32"/>
    </row>
    <row r="1323" spans="13:44">
      <c r="M1323" s="5"/>
      <c r="N1323" s="5"/>
      <c r="O1323" s="5"/>
      <c r="P1323" s="5"/>
      <c r="AM1323" s="5"/>
      <c r="AR1323" s="32"/>
    </row>
    <row r="1324" spans="13:44">
      <c r="M1324" s="5"/>
      <c r="N1324" s="5"/>
      <c r="O1324" s="5"/>
      <c r="P1324" s="5"/>
      <c r="AM1324" s="5"/>
      <c r="AR1324" s="32"/>
    </row>
    <row r="1325" spans="13:44">
      <c r="M1325" s="5"/>
      <c r="N1325" s="5"/>
      <c r="O1325" s="5"/>
      <c r="P1325" s="5"/>
      <c r="AM1325" s="5"/>
      <c r="AR1325" s="32"/>
    </row>
    <row r="1326" spans="13:44">
      <c r="M1326" s="5"/>
      <c r="N1326" s="5"/>
      <c r="O1326" s="5"/>
      <c r="P1326" s="5"/>
      <c r="AM1326" s="5"/>
      <c r="AR1326" s="32"/>
    </row>
    <row r="1327" spans="13:44">
      <c r="M1327" s="5"/>
      <c r="N1327" s="5"/>
      <c r="O1327" s="5"/>
      <c r="P1327" s="5"/>
      <c r="AM1327" s="5"/>
      <c r="AR1327" s="32"/>
    </row>
    <row r="1328" spans="13:44">
      <c r="M1328" s="5"/>
      <c r="N1328" s="5"/>
      <c r="O1328" s="5"/>
      <c r="P1328" s="5"/>
      <c r="AM1328" s="5"/>
      <c r="AR1328" s="32"/>
    </row>
    <row r="1329" spans="13:44">
      <c r="M1329" s="5"/>
      <c r="N1329" s="5"/>
      <c r="O1329" s="5"/>
      <c r="P1329" s="5"/>
      <c r="AM1329" s="5"/>
      <c r="AR1329" s="32"/>
    </row>
    <row r="1330" spans="13:44">
      <c r="M1330" s="5"/>
      <c r="N1330" s="5"/>
      <c r="O1330" s="5"/>
      <c r="P1330" s="5"/>
      <c r="AM1330" s="5"/>
      <c r="AR1330" s="32"/>
    </row>
    <row r="1331" spans="13:44">
      <c r="M1331" s="5"/>
      <c r="N1331" s="5"/>
      <c r="O1331" s="5"/>
      <c r="P1331" s="5"/>
      <c r="AM1331" s="5"/>
      <c r="AR1331" s="32"/>
    </row>
    <row r="1332" spans="13:44">
      <c r="M1332" s="5"/>
      <c r="N1332" s="5"/>
      <c r="O1332" s="5"/>
      <c r="P1332" s="5"/>
      <c r="AM1332" s="5"/>
      <c r="AR1332" s="32"/>
    </row>
    <row r="1333" spans="13:44">
      <c r="M1333" s="5"/>
      <c r="N1333" s="5"/>
      <c r="O1333" s="5"/>
      <c r="P1333" s="5"/>
      <c r="AM1333" s="5"/>
      <c r="AR1333" s="32"/>
    </row>
    <row r="1334" spans="13:44">
      <c r="M1334" s="5"/>
      <c r="N1334" s="5"/>
      <c r="O1334" s="5"/>
      <c r="P1334" s="5"/>
      <c r="AM1334" s="5"/>
      <c r="AR1334" s="32"/>
    </row>
    <row r="1335" spans="13:44">
      <c r="M1335" s="5"/>
      <c r="N1335" s="5"/>
      <c r="O1335" s="5"/>
      <c r="P1335" s="5"/>
      <c r="AM1335" s="5"/>
      <c r="AR1335" s="32"/>
    </row>
    <row r="1336" spans="13:44">
      <c r="M1336" s="5"/>
      <c r="N1336" s="5"/>
      <c r="O1336" s="5"/>
      <c r="P1336" s="5"/>
      <c r="AM1336" s="5"/>
      <c r="AR1336" s="32"/>
    </row>
    <row r="1337" spans="13:44">
      <c r="M1337" s="5"/>
      <c r="N1337" s="5"/>
      <c r="O1337" s="5"/>
      <c r="P1337" s="5"/>
      <c r="AM1337" s="5"/>
      <c r="AR1337" s="32"/>
    </row>
    <row r="1338" spans="13:44">
      <c r="M1338" s="5"/>
      <c r="N1338" s="5"/>
      <c r="O1338" s="5"/>
      <c r="P1338" s="5"/>
      <c r="AM1338" s="5"/>
      <c r="AR1338" s="32"/>
    </row>
    <row r="1339" spans="13:44">
      <c r="M1339" s="5"/>
      <c r="N1339" s="5"/>
      <c r="O1339" s="5"/>
      <c r="P1339" s="5"/>
      <c r="AM1339" s="5"/>
      <c r="AR1339" s="32"/>
    </row>
    <row r="1340" spans="13:44">
      <c r="M1340" s="5"/>
      <c r="N1340" s="5"/>
      <c r="O1340" s="5"/>
      <c r="P1340" s="5"/>
      <c r="AM1340" s="5"/>
      <c r="AR1340" s="32"/>
    </row>
    <row r="1341" spans="13:44">
      <c r="M1341" s="5"/>
      <c r="N1341" s="5"/>
      <c r="O1341" s="5"/>
      <c r="P1341" s="5"/>
      <c r="AM1341" s="5"/>
      <c r="AR1341" s="32"/>
    </row>
    <row r="1342" spans="13:44">
      <c r="M1342" s="5"/>
      <c r="N1342" s="5"/>
      <c r="O1342" s="5"/>
      <c r="P1342" s="5"/>
      <c r="AM1342" s="5"/>
      <c r="AR1342" s="32"/>
    </row>
    <row r="1343" spans="13:44">
      <c r="M1343" s="5"/>
      <c r="N1343" s="5"/>
      <c r="O1343" s="5"/>
      <c r="P1343" s="5"/>
      <c r="AM1343" s="5"/>
      <c r="AR1343" s="32"/>
    </row>
    <row r="1344" spans="13:44">
      <c r="M1344" s="5"/>
      <c r="N1344" s="5"/>
      <c r="O1344" s="5"/>
      <c r="P1344" s="5"/>
      <c r="AM1344" s="5"/>
      <c r="AR1344" s="32"/>
    </row>
    <row r="1345" spans="13:44">
      <c r="M1345" s="5"/>
      <c r="N1345" s="5"/>
      <c r="O1345" s="5"/>
      <c r="P1345" s="5"/>
      <c r="AM1345" s="5"/>
      <c r="AR1345" s="32"/>
    </row>
    <row r="1346" spans="13:44">
      <c r="M1346" s="5"/>
      <c r="N1346" s="5"/>
      <c r="O1346" s="5"/>
      <c r="P1346" s="5"/>
      <c r="AM1346" s="5"/>
      <c r="AR1346" s="32"/>
    </row>
    <row r="1347" spans="13:44">
      <c r="M1347" s="5"/>
      <c r="N1347" s="5"/>
      <c r="O1347" s="5"/>
      <c r="P1347" s="5"/>
      <c r="AM1347" s="5"/>
      <c r="AR1347" s="32"/>
    </row>
    <row r="1348" spans="13:44">
      <c r="M1348" s="5"/>
      <c r="N1348" s="5"/>
      <c r="O1348" s="5"/>
      <c r="P1348" s="5"/>
      <c r="AM1348" s="5"/>
      <c r="AR1348" s="32"/>
    </row>
    <row r="1349" spans="13:44">
      <c r="M1349" s="5"/>
      <c r="N1349" s="5"/>
      <c r="O1349" s="5"/>
      <c r="P1349" s="5"/>
      <c r="AM1349" s="5"/>
      <c r="AR1349" s="32"/>
    </row>
    <row r="1350" spans="13:44">
      <c r="M1350" s="5"/>
      <c r="N1350" s="5"/>
      <c r="O1350" s="5"/>
      <c r="P1350" s="5"/>
      <c r="AM1350" s="5"/>
      <c r="AR1350" s="32"/>
    </row>
    <row r="1351" spans="13:44">
      <c r="M1351" s="5"/>
      <c r="N1351" s="5"/>
      <c r="O1351" s="5"/>
      <c r="P1351" s="5"/>
      <c r="AM1351" s="5"/>
      <c r="AR1351" s="32"/>
    </row>
    <row r="1352" spans="13:44">
      <c r="M1352" s="5"/>
      <c r="N1352" s="5"/>
      <c r="O1352" s="5"/>
      <c r="P1352" s="5"/>
      <c r="AM1352" s="5"/>
      <c r="AR1352" s="32"/>
    </row>
    <row r="1353" spans="13:44">
      <c r="M1353" s="5"/>
      <c r="N1353" s="5"/>
      <c r="O1353" s="5"/>
      <c r="P1353" s="5"/>
      <c r="AM1353" s="5"/>
      <c r="AR1353" s="32"/>
    </row>
    <row r="1354" spans="13:44">
      <c r="M1354" s="5"/>
      <c r="N1354" s="5"/>
      <c r="O1354" s="5"/>
      <c r="P1354" s="5"/>
      <c r="AM1354" s="5"/>
      <c r="AR1354" s="32"/>
    </row>
    <row r="1355" spans="13:44">
      <c r="M1355" s="5"/>
      <c r="N1355" s="5"/>
      <c r="O1355" s="5"/>
      <c r="P1355" s="5"/>
      <c r="AM1355" s="5"/>
      <c r="AR1355" s="32"/>
    </row>
    <row r="1356" spans="13:44">
      <c r="M1356" s="5"/>
      <c r="N1356" s="5"/>
      <c r="O1356" s="5"/>
      <c r="P1356" s="5"/>
      <c r="AM1356" s="5"/>
      <c r="AR1356" s="32"/>
    </row>
    <row r="1357" spans="13:44">
      <c r="M1357" s="5"/>
      <c r="N1357" s="5"/>
      <c r="O1357" s="5"/>
      <c r="P1357" s="5"/>
      <c r="AM1357" s="5"/>
      <c r="AR1357" s="32"/>
    </row>
    <row r="1358" spans="13:44">
      <c r="M1358" s="5"/>
      <c r="N1358" s="5"/>
      <c r="O1358" s="5"/>
      <c r="P1358" s="5"/>
      <c r="AM1358" s="5"/>
      <c r="AR1358" s="32"/>
    </row>
    <row r="1359" spans="13:44">
      <c r="M1359" s="5"/>
      <c r="N1359" s="5"/>
      <c r="O1359" s="5"/>
      <c r="P1359" s="5"/>
      <c r="AM1359" s="5"/>
      <c r="AR1359" s="32"/>
    </row>
    <row r="1360" spans="13:44">
      <c r="M1360" s="5"/>
      <c r="N1360" s="5"/>
      <c r="O1360" s="5"/>
      <c r="P1360" s="5"/>
      <c r="AM1360" s="5"/>
      <c r="AR1360" s="32"/>
    </row>
    <row r="1361" spans="13:44">
      <c r="M1361" s="5"/>
      <c r="N1361" s="5"/>
      <c r="O1361" s="5"/>
      <c r="P1361" s="5"/>
      <c r="AM1361" s="5"/>
      <c r="AR1361" s="32"/>
    </row>
    <row r="1362" spans="13:44">
      <c r="M1362" s="5"/>
      <c r="N1362" s="5"/>
      <c r="O1362" s="5"/>
      <c r="P1362" s="5"/>
      <c r="AM1362" s="5"/>
      <c r="AR1362" s="32"/>
    </row>
    <row r="1363" spans="13:44">
      <c r="M1363" s="5"/>
      <c r="N1363" s="5"/>
      <c r="O1363" s="5"/>
      <c r="P1363" s="5"/>
      <c r="AM1363" s="5"/>
      <c r="AR1363" s="32"/>
    </row>
    <row r="1364" spans="13:44">
      <c r="M1364" s="5"/>
      <c r="N1364" s="5"/>
      <c r="O1364" s="5"/>
      <c r="P1364" s="5"/>
      <c r="AM1364" s="5"/>
      <c r="AR1364" s="32"/>
    </row>
    <row r="1365" spans="13:44">
      <c r="M1365" s="5"/>
      <c r="N1365" s="5"/>
      <c r="O1365" s="5"/>
      <c r="P1365" s="5"/>
      <c r="AM1365" s="5"/>
      <c r="AR1365" s="32"/>
    </row>
    <row r="1366" spans="13:44">
      <c r="M1366" s="5"/>
      <c r="N1366" s="5"/>
      <c r="O1366" s="5"/>
      <c r="P1366" s="5"/>
      <c r="AM1366" s="5"/>
      <c r="AR1366" s="32"/>
    </row>
    <row r="1367" spans="13:44">
      <c r="M1367" s="5"/>
      <c r="N1367" s="5"/>
      <c r="O1367" s="5"/>
      <c r="P1367" s="5"/>
      <c r="AM1367" s="5"/>
      <c r="AR1367" s="32"/>
    </row>
    <row r="1368" spans="13:44">
      <c r="M1368" s="5"/>
      <c r="N1368" s="5"/>
      <c r="O1368" s="5"/>
      <c r="P1368" s="5"/>
      <c r="AM1368" s="5"/>
      <c r="AR1368" s="32"/>
    </row>
    <row r="1369" spans="13:44">
      <c r="M1369" s="5"/>
      <c r="N1369" s="5"/>
      <c r="O1369" s="5"/>
      <c r="P1369" s="5"/>
      <c r="AM1369" s="5"/>
      <c r="AR1369" s="32"/>
    </row>
    <row r="1370" spans="13:44">
      <c r="M1370" s="5"/>
      <c r="N1370" s="5"/>
      <c r="O1370" s="5"/>
      <c r="P1370" s="5"/>
      <c r="AM1370" s="5"/>
      <c r="AR1370" s="32"/>
    </row>
    <row r="1371" spans="13:44">
      <c r="M1371" s="5"/>
      <c r="N1371" s="5"/>
      <c r="O1371" s="5"/>
      <c r="P1371" s="5"/>
      <c r="AM1371" s="5"/>
      <c r="AR1371" s="32"/>
    </row>
    <row r="1372" spans="13:44">
      <c r="M1372" s="5"/>
      <c r="N1372" s="5"/>
      <c r="O1372" s="5"/>
      <c r="P1372" s="5"/>
      <c r="AM1372" s="5"/>
      <c r="AR1372" s="32"/>
    </row>
    <row r="1373" spans="13:44">
      <c r="M1373" s="5"/>
      <c r="N1373" s="5"/>
      <c r="O1373" s="5"/>
      <c r="P1373" s="5"/>
      <c r="AM1373" s="5"/>
      <c r="AR1373" s="32"/>
    </row>
    <row r="1374" spans="13:44">
      <c r="M1374" s="5"/>
      <c r="N1374" s="5"/>
      <c r="O1374" s="5"/>
      <c r="P1374" s="5"/>
      <c r="AM1374" s="5"/>
      <c r="AR1374" s="32"/>
    </row>
    <row r="1375" spans="13:44">
      <c r="M1375" s="5"/>
      <c r="N1375" s="5"/>
      <c r="O1375" s="5"/>
      <c r="P1375" s="5"/>
      <c r="AM1375" s="5"/>
      <c r="AR1375" s="32"/>
    </row>
    <row r="1376" spans="13:44">
      <c r="M1376" s="5"/>
      <c r="N1376" s="5"/>
      <c r="O1376" s="5"/>
      <c r="P1376" s="5"/>
      <c r="AM1376" s="5"/>
      <c r="AR1376" s="32"/>
    </row>
    <row r="1377" spans="13:44">
      <c r="M1377" s="5"/>
      <c r="N1377" s="5"/>
      <c r="O1377" s="5"/>
      <c r="P1377" s="5"/>
      <c r="AM1377" s="5"/>
      <c r="AR1377" s="32"/>
    </row>
    <row r="1378" spans="13:44">
      <c r="M1378" s="5"/>
      <c r="N1378" s="5"/>
      <c r="O1378" s="5"/>
      <c r="P1378" s="5"/>
      <c r="AM1378" s="5"/>
      <c r="AR1378" s="32"/>
    </row>
    <row r="1379" spans="13:44">
      <c r="M1379" s="5"/>
      <c r="N1379" s="5"/>
      <c r="O1379" s="5"/>
      <c r="P1379" s="5"/>
      <c r="AM1379" s="5"/>
      <c r="AR1379" s="32"/>
    </row>
    <row r="1380" spans="13:44">
      <c r="M1380" s="5"/>
      <c r="N1380" s="5"/>
      <c r="O1380" s="5"/>
      <c r="P1380" s="5"/>
      <c r="AM1380" s="5"/>
      <c r="AR1380" s="32"/>
    </row>
    <row r="1381" spans="13:44">
      <c r="M1381" s="5"/>
      <c r="N1381" s="5"/>
      <c r="O1381" s="5"/>
      <c r="P1381" s="5"/>
      <c r="AM1381" s="5"/>
      <c r="AR1381" s="32"/>
    </row>
    <row r="1382" spans="13:44">
      <c r="M1382" s="5"/>
      <c r="N1382" s="5"/>
      <c r="O1382" s="5"/>
      <c r="P1382" s="5"/>
      <c r="AM1382" s="5"/>
      <c r="AR1382" s="32"/>
    </row>
    <row r="1383" spans="13:44">
      <c r="M1383" s="5"/>
      <c r="N1383" s="5"/>
      <c r="O1383" s="5"/>
      <c r="P1383" s="5"/>
      <c r="AM1383" s="5"/>
      <c r="AR1383" s="32"/>
    </row>
    <row r="1384" spans="13:44">
      <c r="M1384" s="5"/>
      <c r="N1384" s="5"/>
      <c r="O1384" s="5"/>
      <c r="P1384" s="5"/>
      <c r="AM1384" s="5"/>
      <c r="AR1384" s="32"/>
    </row>
    <row r="1385" spans="13:44">
      <c r="M1385" s="5"/>
      <c r="N1385" s="5"/>
      <c r="O1385" s="5"/>
      <c r="P1385" s="5"/>
      <c r="AM1385" s="5"/>
      <c r="AR1385" s="32"/>
    </row>
    <row r="1386" spans="13:44">
      <c r="M1386" s="5"/>
      <c r="N1386" s="5"/>
      <c r="O1386" s="5"/>
      <c r="P1386" s="5"/>
      <c r="AM1386" s="5"/>
      <c r="AR1386" s="32"/>
    </row>
    <row r="1387" spans="13:44">
      <c r="M1387" s="5"/>
      <c r="N1387" s="5"/>
      <c r="O1387" s="5"/>
      <c r="P1387" s="5"/>
      <c r="AM1387" s="5"/>
      <c r="AR1387" s="32"/>
    </row>
    <row r="1388" spans="13:44">
      <c r="M1388" s="5"/>
      <c r="N1388" s="5"/>
      <c r="O1388" s="5"/>
      <c r="P1388" s="5"/>
      <c r="AM1388" s="5"/>
      <c r="AR1388" s="32"/>
    </row>
    <row r="1389" spans="13:44">
      <c r="M1389" s="5"/>
      <c r="N1389" s="5"/>
      <c r="O1389" s="5"/>
      <c r="P1389" s="5"/>
      <c r="AM1389" s="5"/>
      <c r="AR1389" s="32"/>
    </row>
    <row r="1390" spans="13:44">
      <c r="M1390" s="5"/>
      <c r="N1390" s="5"/>
      <c r="O1390" s="5"/>
      <c r="P1390" s="5"/>
      <c r="AM1390" s="5"/>
      <c r="AR1390" s="32"/>
    </row>
    <row r="1391" spans="13:44">
      <c r="M1391" s="5"/>
      <c r="N1391" s="5"/>
      <c r="O1391" s="5"/>
      <c r="P1391" s="5"/>
      <c r="AM1391" s="5"/>
      <c r="AR1391" s="32"/>
    </row>
    <row r="1392" spans="13:44">
      <c r="M1392" s="5"/>
      <c r="N1392" s="5"/>
      <c r="O1392" s="5"/>
      <c r="P1392" s="5"/>
      <c r="AM1392" s="5"/>
      <c r="AR1392" s="32"/>
    </row>
    <row r="1393" spans="13:44">
      <c r="M1393" s="5"/>
      <c r="N1393" s="5"/>
      <c r="O1393" s="5"/>
      <c r="P1393" s="5"/>
      <c r="AM1393" s="5"/>
      <c r="AR1393" s="32"/>
    </row>
    <row r="1394" spans="13:44">
      <c r="M1394" s="5"/>
      <c r="N1394" s="5"/>
      <c r="O1394" s="5"/>
      <c r="P1394" s="5"/>
      <c r="AM1394" s="5"/>
      <c r="AR1394" s="32"/>
    </row>
    <row r="1395" spans="13:44">
      <c r="M1395" s="5"/>
      <c r="N1395" s="5"/>
      <c r="O1395" s="5"/>
      <c r="P1395" s="5"/>
      <c r="AM1395" s="5"/>
      <c r="AR1395" s="32"/>
    </row>
    <row r="1396" spans="13:44">
      <c r="M1396" s="5"/>
      <c r="N1396" s="5"/>
      <c r="O1396" s="5"/>
      <c r="P1396" s="5"/>
      <c r="AM1396" s="5"/>
      <c r="AR1396" s="32"/>
    </row>
    <row r="1397" spans="13:44">
      <c r="M1397" s="5"/>
      <c r="N1397" s="5"/>
      <c r="O1397" s="5"/>
      <c r="P1397" s="5"/>
      <c r="AM1397" s="5"/>
      <c r="AR1397" s="32"/>
    </row>
    <row r="1398" spans="13:44">
      <c r="M1398" s="5"/>
      <c r="N1398" s="5"/>
      <c r="O1398" s="5"/>
      <c r="P1398" s="5"/>
      <c r="AM1398" s="5"/>
      <c r="AR1398" s="32"/>
    </row>
    <row r="1399" spans="13:44">
      <c r="M1399" s="5"/>
      <c r="N1399" s="5"/>
      <c r="O1399" s="5"/>
      <c r="P1399" s="5"/>
      <c r="AM1399" s="5"/>
      <c r="AR1399" s="32"/>
    </row>
    <row r="1400" spans="13:44">
      <c r="M1400" s="5"/>
      <c r="N1400" s="5"/>
      <c r="O1400" s="5"/>
      <c r="P1400" s="5"/>
      <c r="AM1400" s="5"/>
      <c r="AR1400" s="32"/>
    </row>
    <row r="1401" spans="13:44">
      <c r="M1401" s="5"/>
      <c r="N1401" s="5"/>
      <c r="O1401" s="5"/>
      <c r="P1401" s="5"/>
      <c r="AM1401" s="5"/>
      <c r="AR1401" s="32"/>
    </row>
    <row r="1402" spans="13:44">
      <c r="M1402" s="5"/>
      <c r="N1402" s="5"/>
      <c r="O1402" s="5"/>
      <c r="P1402" s="5"/>
      <c r="AM1402" s="5"/>
      <c r="AR1402" s="32"/>
    </row>
    <row r="1403" spans="13:44">
      <c r="M1403" s="5"/>
      <c r="N1403" s="5"/>
      <c r="O1403" s="5"/>
      <c r="P1403" s="5"/>
      <c r="AM1403" s="5"/>
      <c r="AR1403" s="32"/>
    </row>
    <row r="1404" spans="13:44">
      <c r="M1404" s="5"/>
      <c r="N1404" s="5"/>
      <c r="O1404" s="5"/>
      <c r="P1404" s="5"/>
      <c r="AM1404" s="5"/>
      <c r="AR1404" s="32"/>
    </row>
    <row r="1405" spans="13:44">
      <c r="M1405" s="5"/>
      <c r="N1405" s="5"/>
      <c r="O1405" s="5"/>
      <c r="P1405" s="5"/>
      <c r="AM1405" s="5"/>
      <c r="AR1405" s="32"/>
    </row>
    <row r="1406" spans="13:44">
      <c r="M1406" s="5"/>
      <c r="N1406" s="5"/>
      <c r="O1406" s="5"/>
      <c r="P1406" s="5"/>
      <c r="AM1406" s="5"/>
      <c r="AR1406" s="32"/>
    </row>
    <row r="1407" spans="13:44">
      <c r="M1407" s="5"/>
      <c r="N1407" s="5"/>
      <c r="O1407" s="5"/>
      <c r="P1407" s="5"/>
      <c r="AM1407" s="5"/>
      <c r="AR1407" s="32"/>
    </row>
    <row r="1408" spans="13:44">
      <c r="M1408" s="5"/>
      <c r="N1408" s="5"/>
      <c r="O1408" s="5"/>
      <c r="P1408" s="5"/>
      <c r="AM1408" s="5"/>
      <c r="AR1408" s="32"/>
    </row>
    <row r="1409" spans="13:44">
      <c r="M1409" s="5"/>
      <c r="N1409" s="5"/>
      <c r="O1409" s="5"/>
      <c r="P1409" s="5"/>
      <c r="AM1409" s="5"/>
      <c r="AR1409" s="32"/>
    </row>
    <row r="1410" spans="13:44">
      <c r="M1410" s="5"/>
      <c r="N1410" s="5"/>
      <c r="O1410" s="5"/>
      <c r="P1410" s="5"/>
      <c r="AM1410" s="5"/>
      <c r="AR1410" s="32"/>
    </row>
    <row r="1411" spans="13:44">
      <c r="M1411" s="5"/>
      <c r="N1411" s="5"/>
      <c r="O1411" s="5"/>
      <c r="P1411" s="5"/>
      <c r="AM1411" s="5"/>
      <c r="AR1411" s="32"/>
    </row>
    <row r="1412" spans="13:44">
      <c r="M1412" s="5"/>
      <c r="N1412" s="5"/>
      <c r="O1412" s="5"/>
      <c r="P1412" s="5"/>
      <c r="AM1412" s="5"/>
      <c r="AR1412" s="32"/>
    </row>
    <row r="1413" spans="13:44">
      <c r="M1413" s="5"/>
      <c r="N1413" s="5"/>
      <c r="O1413" s="5"/>
      <c r="P1413" s="5"/>
      <c r="AM1413" s="5"/>
      <c r="AR1413" s="32"/>
    </row>
    <row r="1414" spans="13:44">
      <c r="M1414" s="5"/>
      <c r="N1414" s="5"/>
      <c r="O1414" s="5"/>
      <c r="P1414" s="5"/>
      <c r="AM1414" s="5"/>
      <c r="AR1414" s="32"/>
    </row>
    <row r="1415" spans="13:44">
      <c r="M1415" s="5"/>
      <c r="N1415" s="5"/>
      <c r="O1415" s="5"/>
      <c r="P1415" s="5"/>
      <c r="AM1415" s="5"/>
      <c r="AR1415" s="32"/>
    </row>
    <row r="1416" spans="13:44">
      <c r="M1416" s="5"/>
      <c r="N1416" s="5"/>
      <c r="O1416" s="5"/>
      <c r="P1416" s="5"/>
      <c r="AM1416" s="5"/>
      <c r="AR1416" s="32"/>
    </row>
    <row r="1417" spans="13:44">
      <c r="M1417" s="5"/>
      <c r="N1417" s="5"/>
      <c r="O1417" s="5"/>
      <c r="P1417" s="5"/>
      <c r="AM1417" s="5"/>
      <c r="AR1417" s="32"/>
    </row>
    <row r="1418" spans="13:44">
      <c r="M1418" s="5"/>
      <c r="N1418" s="5"/>
      <c r="O1418" s="5"/>
      <c r="P1418" s="5"/>
      <c r="AM1418" s="5"/>
      <c r="AR1418" s="32"/>
    </row>
    <row r="1419" spans="13:44">
      <c r="M1419" s="5"/>
      <c r="N1419" s="5"/>
      <c r="O1419" s="5"/>
      <c r="P1419" s="5"/>
      <c r="AM1419" s="5"/>
      <c r="AR1419" s="32"/>
    </row>
    <row r="1420" spans="13:44">
      <c r="M1420" s="5"/>
      <c r="N1420" s="5"/>
      <c r="O1420" s="5"/>
      <c r="P1420" s="5"/>
      <c r="AM1420" s="5"/>
      <c r="AR1420" s="32"/>
    </row>
    <row r="1421" spans="13:44">
      <c r="M1421" s="5"/>
      <c r="N1421" s="5"/>
      <c r="O1421" s="5"/>
      <c r="P1421" s="5"/>
      <c r="AM1421" s="5"/>
      <c r="AR1421" s="32"/>
    </row>
    <row r="1422" spans="13:44">
      <c r="M1422" s="5"/>
      <c r="N1422" s="5"/>
      <c r="O1422" s="5"/>
      <c r="P1422" s="5"/>
      <c r="AM1422" s="5"/>
      <c r="AR1422" s="32"/>
    </row>
    <row r="1423" spans="13:44">
      <c r="M1423" s="5"/>
      <c r="N1423" s="5"/>
      <c r="O1423" s="5"/>
      <c r="P1423" s="5"/>
      <c r="AM1423" s="5"/>
      <c r="AR1423" s="32"/>
    </row>
    <row r="1424" spans="13:44">
      <c r="M1424" s="5"/>
      <c r="N1424" s="5"/>
      <c r="O1424" s="5"/>
      <c r="P1424" s="5"/>
      <c r="AM1424" s="5"/>
      <c r="AR1424" s="32"/>
    </row>
    <row r="1425" spans="13:44">
      <c r="M1425" s="5"/>
      <c r="N1425" s="5"/>
      <c r="O1425" s="5"/>
      <c r="P1425" s="5"/>
      <c r="AM1425" s="5"/>
      <c r="AR1425" s="32"/>
    </row>
    <row r="1426" spans="13:44">
      <c r="M1426" s="5"/>
      <c r="N1426" s="5"/>
      <c r="O1426" s="5"/>
      <c r="P1426" s="5"/>
      <c r="AM1426" s="5"/>
      <c r="AR1426" s="32"/>
    </row>
    <row r="1427" spans="13:44">
      <c r="M1427" s="5"/>
      <c r="N1427" s="5"/>
      <c r="O1427" s="5"/>
      <c r="P1427" s="5"/>
      <c r="AM1427" s="5"/>
      <c r="AR1427" s="32"/>
    </row>
    <row r="1428" spans="13:44">
      <c r="M1428" s="5"/>
      <c r="N1428" s="5"/>
      <c r="O1428" s="5"/>
      <c r="P1428" s="5"/>
      <c r="AM1428" s="5"/>
      <c r="AR1428" s="32"/>
    </row>
    <row r="1429" spans="13:44">
      <c r="M1429" s="5"/>
      <c r="N1429" s="5"/>
      <c r="O1429" s="5"/>
      <c r="P1429" s="5"/>
      <c r="AM1429" s="5"/>
      <c r="AR1429" s="32"/>
    </row>
    <row r="1430" spans="13:44">
      <c r="M1430" s="5"/>
      <c r="N1430" s="5"/>
      <c r="O1430" s="5"/>
      <c r="P1430" s="5"/>
      <c r="AM1430" s="5"/>
      <c r="AR1430" s="32"/>
    </row>
    <row r="1431" spans="13:44">
      <c r="M1431" s="5"/>
      <c r="N1431" s="5"/>
      <c r="O1431" s="5"/>
      <c r="P1431" s="5"/>
      <c r="AM1431" s="5"/>
      <c r="AR1431" s="32"/>
    </row>
    <row r="1432" spans="13:44">
      <c r="M1432" s="5"/>
      <c r="N1432" s="5"/>
      <c r="O1432" s="5"/>
      <c r="P1432" s="5"/>
      <c r="AM1432" s="5"/>
      <c r="AR1432" s="32"/>
    </row>
    <row r="1433" spans="13:44">
      <c r="M1433" s="5"/>
      <c r="N1433" s="5"/>
      <c r="O1433" s="5"/>
      <c r="P1433" s="5"/>
      <c r="AM1433" s="5"/>
      <c r="AR1433" s="32"/>
    </row>
    <row r="1434" spans="13:44">
      <c r="M1434" s="5"/>
      <c r="N1434" s="5"/>
      <c r="O1434" s="5"/>
      <c r="P1434" s="5"/>
      <c r="AM1434" s="5"/>
      <c r="AR1434" s="32"/>
    </row>
    <row r="1435" spans="13:44">
      <c r="M1435" s="5"/>
      <c r="N1435" s="5"/>
      <c r="O1435" s="5"/>
      <c r="P1435" s="5"/>
      <c r="AM1435" s="5"/>
      <c r="AR1435" s="32"/>
    </row>
    <row r="1436" spans="13:44">
      <c r="M1436" s="5"/>
      <c r="N1436" s="5"/>
      <c r="O1436" s="5"/>
      <c r="P1436" s="5"/>
      <c r="AM1436" s="5"/>
      <c r="AR1436" s="32"/>
    </row>
    <row r="1437" spans="13:44">
      <c r="M1437" s="5"/>
      <c r="N1437" s="5"/>
      <c r="O1437" s="5"/>
      <c r="P1437" s="5"/>
      <c r="AM1437" s="5"/>
      <c r="AR1437" s="32"/>
    </row>
    <row r="1438" spans="13:44">
      <c r="M1438" s="5"/>
      <c r="N1438" s="5"/>
      <c r="O1438" s="5"/>
      <c r="P1438" s="5"/>
      <c r="AM1438" s="5"/>
      <c r="AR1438" s="32"/>
    </row>
    <row r="1439" spans="13:44">
      <c r="M1439" s="5"/>
      <c r="N1439" s="5"/>
      <c r="O1439" s="5"/>
      <c r="P1439" s="5"/>
      <c r="AM1439" s="5"/>
      <c r="AR1439" s="32"/>
    </row>
    <row r="1440" spans="13:44">
      <c r="M1440" s="5"/>
      <c r="N1440" s="5"/>
      <c r="O1440" s="5"/>
      <c r="P1440" s="5"/>
      <c r="AM1440" s="5"/>
      <c r="AR1440" s="32"/>
    </row>
    <row r="1441" spans="13:44">
      <c r="M1441" s="5"/>
      <c r="N1441" s="5"/>
      <c r="O1441" s="5"/>
      <c r="P1441" s="5"/>
      <c r="AM1441" s="5"/>
      <c r="AR1441" s="32"/>
    </row>
    <row r="1442" spans="13:44">
      <c r="M1442" s="5"/>
      <c r="N1442" s="5"/>
      <c r="O1442" s="5"/>
      <c r="P1442" s="5"/>
      <c r="AM1442" s="5"/>
      <c r="AR1442" s="32"/>
    </row>
    <row r="1443" spans="13:44">
      <c r="M1443" s="5"/>
      <c r="N1443" s="5"/>
      <c r="O1443" s="5"/>
      <c r="P1443" s="5"/>
      <c r="AM1443" s="5"/>
      <c r="AR1443" s="32"/>
    </row>
    <row r="1444" spans="13:44">
      <c r="M1444" s="5"/>
      <c r="N1444" s="5"/>
      <c r="O1444" s="5"/>
      <c r="P1444" s="5"/>
      <c r="AM1444" s="5"/>
      <c r="AR1444" s="32"/>
    </row>
    <row r="1445" spans="13:44">
      <c r="M1445" s="5"/>
      <c r="N1445" s="5"/>
      <c r="O1445" s="5"/>
      <c r="P1445" s="5"/>
      <c r="AM1445" s="5"/>
      <c r="AR1445" s="32"/>
    </row>
    <row r="1446" spans="13:44">
      <c r="M1446" s="5"/>
      <c r="N1446" s="5"/>
      <c r="O1446" s="5"/>
      <c r="P1446" s="5"/>
      <c r="AM1446" s="5"/>
      <c r="AR1446" s="32"/>
    </row>
    <row r="1447" spans="13:44">
      <c r="M1447" s="5"/>
      <c r="N1447" s="5"/>
      <c r="O1447" s="5"/>
      <c r="P1447" s="5"/>
      <c r="AM1447" s="5"/>
      <c r="AR1447" s="32"/>
    </row>
    <row r="1448" spans="13:44">
      <c r="M1448" s="5"/>
      <c r="N1448" s="5"/>
      <c r="O1448" s="5"/>
      <c r="P1448" s="5"/>
      <c r="AM1448" s="5"/>
      <c r="AR1448" s="32"/>
    </row>
    <row r="1449" spans="13:44">
      <c r="M1449" s="5"/>
      <c r="N1449" s="5"/>
      <c r="O1449" s="5"/>
      <c r="P1449" s="5"/>
      <c r="AM1449" s="5"/>
      <c r="AR1449" s="32"/>
    </row>
    <row r="1450" spans="13:44">
      <c r="M1450" s="5"/>
      <c r="N1450" s="5"/>
      <c r="O1450" s="5"/>
      <c r="P1450" s="5"/>
      <c r="AM1450" s="5"/>
      <c r="AR1450" s="32"/>
    </row>
    <row r="1451" spans="13:44">
      <c r="M1451" s="5"/>
      <c r="N1451" s="5"/>
      <c r="O1451" s="5"/>
      <c r="P1451" s="5"/>
      <c r="AM1451" s="5"/>
      <c r="AR1451" s="32"/>
    </row>
    <row r="1452" spans="13:44">
      <c r="M1452" s="5"/>
      <c r="N1452" s="5"/>
      <c r="O1452" s="5"/>
      <c r="P1452" s="5"/>
      <c r="AM1452" s="5"/>
      <c r="AR1452" s="32"/>
    </row>
    <row r="1453" spans="13:44">
      <c r="M1453" s="5"/>
      <c r="N1453" s="5"/>
      <c r="O1453" s="5"/>
      <c r="P1453" s="5"/>
      <c r="AM1453" s="5"/>
      <c r="AR1453" s="32"/>
    </row>
    <row r="1454" spans="13:44">
      <c r="M1454" s="5"/>
      <c r="N1454" s="5"/>
      <c r="O1454" s="5"/>
      <c r="P1454" s="5"/>
      <c r="AM1454" s="5"/>
      <c r="AR1454" s="32"/>
    </row>
    <row r="1455" spans="13:44">
      <c r="M1455" s="5"/>
      <c r="N1455" s="5"/>
      <c r="O1455" s="5"/>
      <c r="P1455" s="5"/>
      <c r="AM1455" s="5"/>
      <c r="AR1455" s="32"/>
    </row>
    <row r="1456" spans="13:44">
      <c r="M1456" s="5"/>
      <c r="N1456" s="5"/>
      <c r="O1456" s="5"/>
      <c r="P1456" s="5"/>
      <c r="AM1456" s="5"/>
      <c r="AR1456" s="32"/>
    </row>
    <row r="1457" spans="13:44">
      <c r="M1457" s="5"/>
      <c r="N1457" s="5"/>
      <c r="O1457" s="5"/>
      <c r="P1457" s="5"/>
      <c r="AM1457" s="5"/>
      <c r="AR1457" s="32"/>
    </row>
    <row r="1458" spans="13:44">
      <c r="M1458" s="5"/>
      <c r="N1458" s="5"/>
      <c r="O1458" s="5"/>
      <c r="P1458" s="5"/>
      <c r="AM1458" s="5"/>
      <c r="AR1458" s="32"/>
    </row>
    <row r="1459" spans="13:44">
      <c r="M1459" s="5"/>
      <c r="N1459" s="5"/>
      <c r="O1459" s="5"/>
      <c r="P1459" s="5"/>
      <c r="AM1459" s="5"/>
      <c r="AR1459" s="32"/>
    </row>
    <row r="1460" spans="13:44">
      <c r="M1460" s="5"/>
      <c r="N1460" s="5"/>
      <c r="O1460" s="5"/>
      <c r="P1460" s="5"/>
      <c r="AM1460" s="5"/>
      <c r="AR1460" s="32"/>
    </row>
    <row r="1461" spans="13:44">
      <c r="M1461" s="5"/>
      <c r="N1461" s="5"/>
      <c r="O1461" s="5"/>
      <c r="P1461" s="5"/>
      <c r="AM1461" s="5"/>
      <c r="AR1461" s="32"/>
    </row>
    <row r="1462" spans="13:44">
      <c r="M1462" s="5"/>
      <c r="N1462" s="5"/>
      <c r="O1462" s="5"/>
      <c r="P1462" s="5"/>
      <c r="AM1462" s="5"/>
      <c r="AR1462" s="32"/>
    </row>
    <row r="1463" spans="13:44">
      <c r="M1463" s="5"/>
      <c r="N1463" s="5"/>
      <c r="O1463" s="5"/>
      <c r="P1463" s="5"/>
      <c r="AM1463" s="5"/>
      <c r="AR1463" s="32"/>
    </row>
    <row r="1464" spans="13:44">
      <c r="M1464" s="5"/>
      <c r="N1464" s="5"/>
      <c r="O1464" s="5"/>
      <c r="P1464" s="5"/>
      <c r="AM1464" s="5"/>
      <c r="AR1464" s="32"/>
    </row>
    <row r="1465" spans="13:44">
      <c r="M1465" s="5"/>
      <c r="N1465" s="5"/>
      <c r="O1465" s="5"/>
      <c r="P1465" s="5"/>
      <c r="AM1465" s="5"/>
      <c r="AR1465" s="32"/>
    </row>
    <row r="1466" spans="13:44">
      <c r="M1466" s="5"/>
      <c r="N1466" s="5"/>
      <c r="O1466" s="5"/>
      <c r="P1466" s="5"/>
      <c r="AM1466" s="5"/>
      <c r="AR1466" s="32"/>
    </row>
    <row r="1467" spans="13:44">
      <c r="M1467" s="5"/>
      <c r="N1467" s="5"/>
      <c r="O1467" s="5"/>
      <c r="P1467" s="5"/>
      <c r="AM1467" s="5"/>
      <c r="AR1467" s="32"/>
    </row>
    <row r="1468" spans="13:44">
      <c r="M1468" s="5"/>
      <c r="N1468" s="5"/>
      <c r="O1468" s="5"/>
      <c r="P1468" s="5"/>
      <c r="AM1468" s="5"/>
      <c r="AR1468" s="32"/>
    </row>
    <row r="1469" spans="13:44">
      <c r="M1469" s="5"/>
      <c r="N1469" s="5"/>
      <c r="O1469" s="5"/>
      <c r="P1469" s="5"/>
      <c r="AM1469" s="5"/>
      <c r="AR1469" s="32"/>
    </row>
    <row r="1470" spans="13:44">
      <c r="M1470" s="5"/>
      <c r="N1470" s="5"/>
      <c r="O1470" s="5"/>
      <c r="P1470" s="5"/>
      <c r="AM1470" s="5"/>
      <c r="AR1470" s="32"/>
    </row>
    <row r="1471" spans="13:44">
      <c r="M1471" s="5"/>
      <c r="N1471" s="5"/>
      <c r="O1471" s="5"/>
      <c r="P1471" s="5"/>
      <c r="AM1471" s="5"/>
      <c r="AR1471" s="32"/>
    </row>
    <row r="1472" spans="13:44">
      <c r="M1472" s="5"/>
      <c r="N1472" s="5"/>
      <c r="O1472" s="5"/>
      <c r="P1472" s="5"/>
      <c r="AM1472" s="5"/>
      <c r="AR1472" s="32"/>
    </row>
    <row r="1473" spans="13:44">
      <c r="M1473" s="5"/>
      <c r="N1473" s="5"/>
      <c r="O1473" s="5"/>
      <c r="P1473" s="5"/>
      <c r="AM1473" s="5"/>
      <c r="AR1473" s="32"/>
    </row>
    <row r="1474" spans="13:44">
      <c r="M1474" s="5"/>
      <c r="N1474" s="5"/>
      <c r="O1474" s="5"/>
      <c r="P1474" s="5"/>
      <c r="AM1474" s="5"/>
      <c r="AR1474" s="32"/>
    </row>
    <row r="1475" spans="13:44">
      <c r="M1475" s="5"/>
      <c r="N1475" s="5"/>
      <c r="O1475" s="5"/>
      <c r="P1475" s="5"/>
      <c r="AM1475" s="5"/>
      <c r="AR1475" s="32"/>
    </row>
    <row r="1476" spans="13:44">
      <c r="M1476" s="5"/>
      <c r="N1476" s="5"/>
      <c r="O1476" s="5"/>
      <c r="P1476" s="5"/>
      <c r="AM1476" s="5"/>
      <c r="AR1476" s="32"/>
    </row>
    <row r="1477" spans="13:44">
      <c r="M1477" s="5"/>
      <c r="N1477" s="5"/>
      <c r="O1477" s="5"/>
      <c r="P1477" s="5"/>
      <c r="AM1477" s="5"/>
      <c r="AR1477" s="32"/>
    </row>
    <row r="1478" spans="13:44">
      <c r="M1478" s="5"/>
      <c r="N1478" s="5"/>
      <c r="O1478" s="5"/>
      <c r="P1478" s="5"/>
      <c r="AM1478" s="5"/>
      <c r="AR1478" s="32"/>
    </row>
    <row r="1479" spans="13:44">
      <c r="M1479" s="5"/>
      <c r="N1479" s="5"/>
      <c r="O1479" s="5"/>
      <c r="P1479" s="5"/>
      <c r="AM1479" s="5"/>
      <c r="AR1479" s="32"/>
    </row>
    <row r="1480" spans="13:44">
      <c r="M1480" s="5"/>
      <c r="N1480" s="5"/>
      <c r="O1480" s="5"/>
      <c r="P1480" s="5"/>
      <c r="AM1480" s="5"/>
      <c r="AR1480" s="32"/>
    </row>
    <row r="1481" spans="13:44">
      <c r="M1481" s="5"/>
      <c r="N1481" s="5"/>
      <c r="O1481" s="5"/>
      <c r="P1481" s="5"/>
      <c r="AM1481" s="5"/>
      <c r="AR1481" s="32"/>
    </row>
    <row r="1482" spans="13:44">
      <c r="M1482" s="5"/>
      <c r="N1482" s="5"/>
      <c r="O1482" s="5"/>
      <c r="P1482" s="5"/>
      <c r="AM1482" s="5"/>
      <c r="AR1482" s="32"/>
    </row>
    <row r="1483" spans="13:44">
      <c r="M1483" s="5"/>
      <c r="N1483" s="5"/>
      <c r="O1483" s="5"/>
      <c r="P1483" s="5"/>
      <c r="AM1483" s="5"/>
      <c r="AR1483" s="32"/>
    </row>
    <row r="1484" spans="13:44">
      <c r="M1484" s="5"/>
      <c r="N1484" s="5"/>
      <c r="O1484" s="5"/>
      <c r="P1484" s="5"/>
      <c r="AM1484" s="5"/>
      <c r="AR1484" s="32"/>
    </row>
    <row r="1485" spans="13:44">
      <c r="M1485" s="5"/>
      <c r="N1485" s="5"/>
      <c r="O1485" s="5"/>
      <c r="P1485" s="5"/>
      <c r="AM1485" s="5"/>
      <c r="AR1485" s="32"/>
    </row>
    <row r="1486" spans="13:44">
      <c r="M1486" s="5"/>
      <c r="N1486" s="5"/>
      <c r="O1486" s="5"/>
      <c r="P1486" s="5"/>
      <c r="AM1486" s="5"/>
      <c r="AR1486" s="32"/>
    </row>
    <row r="1487" spans="13:44">
      <c r="M1487" s="5"/>
      <c r="N1487" s="5"/>
      <c r="O1487" s="5"/>
      <c r="P1487" s="5"/>
      <c r="AM1487" s="5"/>
      <c r="AR1487" s="32"/>
    </row>
    <row r="1488" spans="13:44">
      <c r="M1488" s="5"/>
      <c r="N1488" s="5"/>
      <c r="O1488" s="5"/>
      <c r="P1488" s="5"/>
      <c r="AM1488" s="5"/>
      <c r="AR1488" s="32"/>
    </row>
    <row r="1489" spans="13:44">
      <c r="M1489" s="5"/>
      <c r="N1489" s="5"/>
      <c r="O1489" s="5"/>
      <c r="P1489" s="5"/>
      <c r="AM1489" s="5"/>
      <c r="AR1489" s="32"/>
    </row>
    <row r="1490" spans="13:44">
      <c r="M1490" s="5"/>
      <c r="N1490" s="5"/>
      <c r="O1490" s="5"/>
      <c r="P1490" s="5"/>
      <c r="AM1490" s="5"/>
      <c r="AR1490" s="32"/>
    </row>
    <row r="1491" spans="13:44">
      <c r="M1491" s="5"/>
      <c r="N1491" s="5"/>
      <c r="O1491" s="5"/>
      <c r="P1491" s="5"/>
      <c r="AM1491" s="5"/>
      <c r="AR1491" s="32"/>
    </row>
    <row r="1492" spans="13:44">
      <c r="M1492" s="5"/>
      <c r="N1492" s="5"/>
      <c r="O1492" s="5"/>
      <c r="P1492" s="5"/>
      <c r="AM1492" s="5"/>
      <c r="AR1492" s="32"/>
    </row>
    <row r="1493" spans="13:44">
      <c r="M1493" s="5"/>
      <c r="N1493" s="5"/>
      <c r="O1493" s="5"/>
      <c r="P1493" s="5"/>
      <c r="AM1493" s="5"/>
      <c r="AR1493" s="32"/>
    </row>
    <row r="1494" spans="13:44">
      <c r="M1494" s="5"/>
      <c r="N1494" s="5"/>
      <c r="O1494" s="5"/>
      <c r="P1494" s="5"/>
      <c r="AM1494" s="5"/>
      <c r="AR1494" s="32"/>
    </row>
    <row r="1495" spans="13:44">
      <c r="M1495" s="5"/>
      <c r="N1495" s="5"/>
      <c r="O1495" s="5"/>
      <c r="P1495" s="5"/>
      <c r="AM1495" s="5"/>
      <c r="AR1495" s="32"/>
    </row>
    <row r="1496" spans="13:44">
      <c r="M1496" s="5"/>
      <c r="N1496" s="5"/>
      <c r="O1496" s="5"/>
      <c r="P1496" s="5"/>
      <c r="AM1496" s="5"/>
      <c r="AR1496" s="32"/>
    </row>
    <row r="1497" spans="13:44">
      <c r="M1497" s="5"/>
      <c r="N1497" s="5"/>
      <c r="O1497" s="5"/>
      <c r="P1497" s="5"/>
      <c r="AM1497" s="5"/>
      <c r="AR1497" s="32"/>
    </row>
    <row r="1498" spans="13:44">
      <c r="M1498" s="5"/>
      <c r="N1498" s="5"/>
      <c r="O1498" s="5"/>
      <c r="P1498" s="5"/>
      <c r="AM1498" s="5"/>
      <c r="AR1498" s="32"/>
    </row>
    <row r="1499" spans="13:44">
      <c r="M1499" s="5"/>
      <c r="N1499" s="5"/>
      <c r="O1499" s="5"/>
      <c r="P1499" s="5"/>
      <c r="AM1499" s="5"/>
      <c r="AR1499" s="32"/>
    </row>
    <row r="1500" spans="13:44">
      <c r="M1500" s="5"/>
      <c r="N1500" s="5"/>
      <c r="O1500" s="5"/>
      <c r="P1500" s="5"/>
      <c r="AM1500" s="5"/>
      <c r="AR1500" s="32"/>
    </row>
    <row r="1501" spans="13:44">
      <c r="M1501" s="5"/>
      <c r="N1501" s="5"/>
      <c r="O1501" s="5"/>
      <c r="P1501" s="5"/>
      <c r="AM1501" s="5"/>
      <c r="AR1501" s="32"/>
    </row>
    <row r="1502" spans="13:44">
      <c r="M1502" s="5"/>
      <c r="N1502" s="5"/>
      <c r="O1502" s="5"/>
      <c r="P1502" s="5"/>
      <c r="AM1502" s="5"/>
      <c r="AR1502" s="32"/>
    </row>
    <row r="1503" spans="13:44">
      <c r="M1503" s="5"/>
      <c r="N1503" s="5"/>
      <c r="O1503" s="5"/>
      <c r="P1503" s="5"/>
      <c r="AM1503" s="5"/>
      <c r="AR1503" s="32"/>
    </row>
    <row r="1504" spans="13:44">
      <c r="M1504" s="5"/>
      <c r="N1504" s="5"/>
      <c r="O1504" s="5"/>
      <c r="P1504" s="5"/>
      <c r="AM1504" s="5"/>
      <c r="AR1504" s="32"/>
    </row>
    <row r="1505" spans="13:44">
      <c r="M1505" s="5"/>
      <c r="N1505" s="5"/>
      <c r="O1505" s="5"/>
      <c r="P1505" s="5"/>
      <c r="AM1505" s="5"/>
      <c r="AR1505" s="32"/>
    </row>
    <row r="1506" spans="13:44">
      <c r="M1506" s="5"/>
      <c r="N1506" s="5"/>
      <c r="O1506" s="5"/>
      <c r="P1506" s="5"/>
      <c r="AM1506" s="5"/>
      <c r="AR1506" s="32"/>
    </row>
    <row r="1507" spans="13:44">
      <c r="M1507" s="5"/>
      <c r="N1507" s="5"/>
      <c r="O1507" s="5"/>
      <c r="P1507" s="5"/>
      <c r="AM1507" s="5"/>
      <c r="AR1507" s="32"/>
    </row>
    <row r="1508" spans="13:44">
      <c r="M1508" s="5"/>
      <c r="N1508" s="5"/>
      <c r="O1508" s="5"/>
      <c r="P1508" s="5"/>
      <c r="AM1508" s="5"/>
      <c r="AR1508" s="32"/>
    </row>
    <row r="1509" spans="13:44">
      <c r="M1509" s="5"/>
      <c r="N1509" s="5"/>
      <c r="O1509" s="5"/>
      <c r="P1509" s="5"/>
      <c r="AM1509" s="5"/>
      <c r="AR1509" s="32"/>
    </row>
    <row r="1510" spans="13:44">
      <c r="M1510" s="5"/>
      <c r="N1510" s="5"/>
      <c r="O1510" s="5"/>
      <c r="P1510" s="5"/>
      <c r="AM1510" s="5"/>
      <c r="AR1510" s="32"/>
    </row>
    <row r="1511" spans="13:44">
      <c r="M1511" s="5"/>
      <c r="N1511" s="5"/>
      <c r="O1511" s="5"/>
      <c r="P1511" s="5"/>
      <c r="AM1511" s="5"/>
      <c r="AR1511" s="32"/>
    </row>
    <row r="1512" spans="13:44">
      <c r="M1512" s="5"/>
      <c r="N1512" s="5"/>
      <c r="O1512" s="5"/>
      <c r="P1512" s="5"/>
      <c r="AM1512" s="5"/>
      <c r="AR1512" s="32"/>
    </row>
    <row r="1513" spans="13:44">
      <c r="M1513" s="5"/>
      <c r="N1513" s="5"/>
      <c r="O1513" s="5"/>
      <c r="P1513" s="5"/>
      <c r="AM1513" s="5"/>
      <c r="AR1513" s="32"/>
    </row>
    <row r="1514" spans="13:44">
      <c r="M1514" s="5"/>
      <c r="N1514" s="5"/>
      <c r="O1514" s="5"/>
      <c r="P1514" s="5"/>
      <c r="AM1514" s="5"/>
      <c r="AR1514" s="32"/>
    </row>
    <row r="1515" spans="13:44">
      <c r="M1515" s="5"/>
      <c r="N1515" s="5"/>
      <c r="O1515" s="5"/>
      <c r="P1515" s="5"/>
      <c r="AM1515" s="5"/>
      <c r="AR1515" s="32"/>
    </row>
    <row r="1516" spans="13:44">
      <c r="M1516" s="5"/>
      <c r="N1516" s="5"/>
      <c r="O1516" s="5"/>
      <c r="P1516" s="5"/>
      <c r="AM1516" s="5"/>
      <c r="AR1516" s="32"/>
    </row>
    <row r="1517" spans="13:44">
      <c r="M1517" s="5"/>
      <c r="N1517" s="5"/>
      <c r="O1517" s="5"/>
      <c r="P1517" s="5"/>
      <c r="AM1517" s="5"/>
      <c r="AR1517" s="32"/>
    </row>
    <row r="1518" spans="13:44">
      <c r="M1518" s="5"/>
      <c r="N1518" s="5"/>
      <c r="O1518" s="5"/>
      <c r="P1518" s="5"/>
      <c r="AM1518" s="5"/>
      <c r="AR1518" s="32"/>
    </row>
    <row r="1519" spans="13:44">
      <c r="M1519" s="5"/>
      <c r="N1519" s="5"/>
      <c r="O1519" s="5"/>
      <c r="P1519" s="5"/>
      <c r="AM1519" s="5"/>
      <c r="AR1519" s="32"/>
    </row>
    <row r="1520" spans="13:44">
      <c r="M1520" s="5"/>
      <c r="N1520" s="5"/>
      <c r="O1520" s="5"/>
      <c r="P1520" s="5"/>
      <c r="AM1520" s="5"/>
      <c r="AR1520" s="32"/>
    </row>
    <row r="1521" spans="13:44">
      <c r="M1521" s="5"/>
      <c r="N1521" s="5"/>
      <c r="O1521" s="5"/>
      <c r="P1521" s="5"/>
      <c r="AM1521" s="5"/>
      <c r="AR1521" s="32"/>
    </row>
    <row r="1522" spans="13:44">
      <c r="M1522" s="5"/>
      <c r="N1522" s="5"/>
      <c r="O1522" s="5"/>
      <c r="P1522" s="5"/>
      <c r="AM1522" s="5"/>
      <c r="AR1522" s="32"/>
    </row>
    <row r="1523" spans="13:44">
      <c r="M1523" s="5"/>
      <c r="N1523" s="5"/>
      <c r="O1523" s="5"/>
      <c r="P1523" s="5"/>
      <c r="AM1523" s="5"/>
      <c r="AR1523" s="32"/>
    </row>
    <row r="1524" spans="13:44">
      <c r="M1524" s="5"/>
      <c r="N1524" s="5"/>
      <c r="O1524" s="5"/>
      <c r="P1524" s="5"/>
      <c r="AM1524" s="5"/>
      <c r="AR1524" s="32"/>
    </row>
    <row r="1525" spans="13:44">
      <c r="M1525" s="5"/>
      <c r="N1525" s="5"/>
      <c r="O1525" s="5"/>
      <c r="P1525" s="5"/>
      <c r="AM1525" s="5"/>
      <c r="AR1525" s="32"/>
    </row>
  </sheetData>
  <sortState ref="A20:AN524">
    <sortCondition descending="1" ref="AN20:AN524"/>
  </sortState>
  <phoneticPr fontId="5"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C26"/>
  <sheetViews>
    <sheetView zoomScale="85" zoomScaleNormal="85" workbookViewId="0"/>
  </sheetViews>
  <sheetFormatPr defaultRowHeight="12.75"/>
  <cols>
    <col min="1" max="16384" width="9.140625" style="2"/>
  </cols>
  <sheetData>
    <row r="26" spans="3:3">
      <c r="C26" s="1"/>
    </row>
  </sheetData>
  <phoneticPr fontId="6" type="noConversion"/>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Overall</vt:lpstr>
      <vt:lpstr>Summary</vt:lpstr>
      <vt:lpstr>TopNames</vt:lpstr>
      <vt:lpstr>S&amp;P500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86712l</cp:lastModifiedBy>
  <dcterms:created xsi:type="dcterms:W3CDTF">2009-03-11T05:08:42Z</dcterms:created>
  <dcterms:modified xsi:type="dcterms:W3CDTF">2015-08-20T14:02:49Z</dcterms:modified>
</cp:coreProperties>
</file>